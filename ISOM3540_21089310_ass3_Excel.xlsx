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e50e47dc604e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bc0867c4a63c494e"/>
    <x:sheet xmlns:r="http://schemas.openxmlformats.org/officeDocument/2006/relationships" name="Warmup_2020" sheetId="2" r:id="Rf6267e6dfec04774"/>
    <x:sheet xmlns:r="http://schemas.openxmlformats.org/officeDocument/2006/relationships" name="Daily_Data" sheetId="3" r:id="R4486911d609b42b3"/>
    <x:sheet xmlns:r="http://schemas.openxmlformats.org/officeDocument/2006/relationships" name="Backtest" sheetId="4" r:id="Rce588d6bc46849c6"/>
    <x:sheet xmlns:r="http://schemas.openxmlformats.org/officeDocument/2006/relationships" name="Excel_Charts" sheetId="5" r:id="Rccb9aafde2a548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0000"/>
    <x:numFmt numFmtId="201" formatCode="yyyy-mm-dd"/>
    <x:numFmt numFmtId="202" formatCode="0.0000"/>
    <x:numFmt numFmtId="203" formatCode="0.0000;[Red](0.0000);-"/>
    <x:numFmt numFmtId="204" formatCode="0"/>
    <x:numFmt numFmtId="205" formatCode="0%"/>
    <x:numFmt numFmtId="206" formatCode="0.00%"/>
  </x:numFmts>
  <x:fonts count="7">
    <x:font>
      <x:sz val="11"/>
      <x:name val="Carlito"/>
    </x:font>
    <x:font>
      <x:b/>
      <x:sz val="15"/>
      <x:color rgb="FFFFFFFF"/>
      <x:name val="Carlito"/>
    </x:font>
    <x:font>
      <x:b/>
      <x:sz val="10"/>
      <x:color rgb="FFFFFFFF"/>
      <x:name val="Carlito"/>
    </x:font>
    <x:font>
      <x:b/>
      <x:sz val="11"/>
      <x:color rgb="FF0000FF"/>
      <x:name val="Carlito"/>
    </x:font>
    <x:font>
      <x:sz val="11"/>
      <x:color rgb="FF0000FF"/>
      <x:name val="Carlito"/>
    </x:font>
    <x:font>
      <x:sz val="11"/>
      <x:color rgb="FF008000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52A45"/>
      </x:patternFill>
    </x:fill>
    <x:fill>
      <x:patternFill patternType="solid">
        <x:fgColor rgb="FF0B7784"/>
      </x:patternFill>
    </x:fill>
    <x:fill>
      <x:patternFill patternType="solid">
        <x:fgColor rgb="FFFFF4D6"/>
      </x:patternFill>
    </x:fill>
    <x:fill>
      <x:patternFill patternType="solid">
        <x:fgColor rgb="FFDCECF3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0" fontId="3" fillId="4" borderId="0" xfId="0" applyNumberFormat="1" applyFont="1" applyFill="1" applyBorder="1"/>
    <x:xf numFmtId="200" fontId="5" fillId="0" borderId="0" xfId="0" applyNumberFormat="1" applyFont="1" applyFill="1" applyBorder="1"/>
    <x:xf numFmtId="200" fontId="0" fillId="0" borderId="0" xfId="0" applyNumberFormat="1" applyFont="1" applyFill="1" applyBorder="1"/>
    <x:xf numFmtId="200" fontId="3" fillId="4" borderId="1" xfId="0" applyNumberFormat="1" applyFont="1" applyFill="1" applyBorder="1"/>
    <x:xf numFmtId="200" fontId="5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201" fontId="4" fillId="0" borderId="1" xfId="0" applyNumberFormat="1" applyFont="1" applyFill="1" applyBorder="1"/>
    <x:xf numFmtId="202" fontId="4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3" fontId="4" fillId="0" borderId="0" xfId="0" applyNumberFormat="1" applyFont="1" applyFill="1" applyBorder="1"/>
    <x:xf numFmtId="203" fontId="4" fillId="0" borderId="1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</x:cellXfs>
  <x:cellStyles count="1">
    <x:cellStyle name="Normal" xfId="0"/>
  </x:cellStyles>
  <x:dxfs count="4">
    <x:dxf>
      <x:fill>
        <x:patternFill patternType="solid">
          <x:bgColor rgb="FFFFE0CA"/>
        </x:patternFill>
      </x:fill>
    </x:dxf>
    <x:dxf>
      <x:fill>
        <x:patternFill patternType="solid">
          <x:bgColor rgb="FFFFE0CA"/>
        </x:patternFill>
      </x:fill>
    </x:dxf>
    <x:dxf>
      <x:fill>
        <x:patternFill patternType="solid">
          <x:bgColor rgb="FFFFE0CA"/>
        </x:patternFill>
      </x:fill>
    </x:dxf>
    <x:dxf>
      <x:fill>
        <x:patternFill patternType="solid">
          <x:bgColor rgb="FFFFE0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ece2165ce34eef" /><Relationship Type="http://schemas.openxmlformats.org/officeDocument/2006/relationships/theme" Target="/xl/theme/theme1.xml" Id="Rad9266417664421a" /><Relationship Type="http://schemas.openxmlformats.org/officeDocument/2006/relationships/sharedStrings" Target="/xl/sharedStrings.xml" Id="R37f365dd1eec477f" /><Relationship Type="http://schemas.openxmlformats.org/officeDocument/2006/relationships/worksheet" Target="/xl/worksheets/sheet1.xml" Id="Rbc0867c4a63c494e" /><Relationship Type="http://schemas.openxmlformats.org/officeDocument/2006/relationships/worksheet" Target="/xl/worksheets/sheet2.xml" Id="Rf6267e6dfec04774" /><Relationship Type="http://schemas.openxmlformats.org/officeDocument/2006/relationships/worksheet" Target="/xl/worksheets/sheet3.xml" Id="R4486911d609b42b3" /><Relationship Type="http://schemas.openxmlformats.org/officeDocument/2006/relationships/worksheet" Target="/xl/worksheets/sheet4.xml" Id="Rce588d6bc46849c6" /><Relationship Type="http://schemas.openxmlformats.org/officeDocument/2006/relationships/worksheet" Target="/xl/worksheets/sheet5.xml" Id="Rccb9aafde2a548e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d67e19ceb0c4c50" /><Relationship Type="http://schemas.openxmlformats.org/officeDocument/2006/relationships/chart" Target="/xl/drawings/charts/chart2.xml" Id="Re16c5b9520fb4536" /><Relationship Type="http://schemas.openxmlformats.org/officeDocument/2006/relationships/chart" Target="/xl/drawings/charts/chart3.xml" Id="Re3a3060e0d6a443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 | EWMA conditional variance (percentage-points squared)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EWMA sigma squared</c:v>
          </c:tx>
          <c:marker>
            <c:symbol val="none"/>
          </c:marker>
          <c:cat>
            <c:strRef>
              <c:f>'Daily_Data'!$A$8:$A$1262</c:f>
              <c:strCache>
                <c:ptCount val="0"/>
              </c:strCache>
            </c:strRef>
          </c:cat>
          <c:val>
            <c:numRef>
              <c:f>'Daily_Data'!$D$8:$D$1262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 | 5% return and one-day negative VaR thresholds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Daily return</c:v>
          </c:tx>
          <c:marker>
            <c:symbol val="none"/>
          </c:marker>
          <c:cat>
            <c:strRef>
              <c:f>'Daily_Data'!$A$8:$A$1262</c:f>
              <c:strCache>
                <c:ptCount val="0"/>
              </c:strCache>
            </c:strRef>
          </c:cat>
          <c:val>
            <c:numRef>
              <c:f>'Daily_Data'!$C$8:$C$1262</c:f>
              <c:numCache>
                <c:formatCode>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Normal 5% VaR cutoff</c:v>
          </c:tx>
          <c:marker>
            <c:symbol val="none"/>
          </c:marker>
          <c:cat>
            <c:strRef>
              <c:f>'Daily_Data'!$A$8:$A$1262</c:f>
              <c:strCache>
                <c:ptCount val="0"/>
              </c:strCache>
            </c:strRef>
          </c:cat>
          <c:val>
            <c:numRef>
              <c:f>'Daily_Data'!$N$8:$N$1262</c:f>
              <c:numCache>
                <c:formatCode>0.00</c:formatCode>
                <c:ptCount val="0"/>
              </c:numCache>
            </c:numRef>
          </c:val>
          <c:smooth val="0"/>
        </c:ser>
        <c:ser>
          <c:idx val="2"/>
          <c:order val="2"/>
          <c:tx>
            <c:v>Standardized t 5% VaR cutoff</c:v>
          </c:tx>
          <c:marker>
            <c:symbol val="none"/>
          </c:marker>
          <c:cat>
            <c:strRef>
              <c:f>'Daily_Data'!$A$8:$A$1262</c:f>
              <c:strCache>
                <c:ptCount val="0"/>
              </c:strCache>
            </c:strRef>
          </c:cat>
          <c:val>
            <c:numRef>
              <c:f>'Daily_Data'!$O$8:$O$1262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 | 1% return and one-day negative VaR thresholds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Daily return</c:v>
          </c:tx>
          <c:marker>
            <c:symbol val="none"/>
          </c:marker>
          <c:cat>
            <c:strRef>
              <c:f>'Daily_Data'!$A$8:$A$1262</c:f>
              <c:strCache>
                <c:ptCount val="0"/>
              </c:strCache>
            </c:strRef>
          </c:cat>
          <c:val>
            <c:numRef>
              <c:f>'Daily_Data'!$C$8:$C$1262</c:f>
              <c:numCache>
                <c:formatCode>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Normal 1% VaR cutoff</c:v>
          </c:tx>
          <c:marker>
            <c:symbol val="none"/>
          </c:marker>
          <c:cat>
            <c:strRef>
              <c:f>'Daily_Data'!$A$8:$A$1262</c:f>
              <c:strCache>
                <c:ptCount val="0"/>
              </c:strCache>
            </c:strRef>
          </c:cat>
          <c:val>
            <c:numRef>
              <c:f>'Daily_Data'!$P$8:$P$1262</c:f>
              <c:numCache>
                <c:formatCode>0.00</c:formatCode>
                <c:ptCount val="0"/>
              </c:numCache>
            </c:numRef>
          </c:val>
          <c:smooth val="0"/>
        </c:ser>
        <c:ser>
          <c:idx val="2"/>
          <c:order val="2"/>
          <c:tx>
            <c:v>Standardized t 1% VaR cutoff</c:v>
          </c:tx>
          <c:marker>
            <c:symbol val="none"/>
          </c:marker>
          <c:cat>
            <c:strRef>
              <c:f>'Daily_Data'!$A$8:$A$1262</c:f>
              <c:strCache>
                <c:ptCount val="0"/>
              </c:strCache>
            </c:strRef>
          </c:cat>
          <c:val>
            <c:numRef>
              <c:f>'Daily_Data'!$Q$8:$Q$1262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</xdr:row>
      <xdr:rowOff>0</xdr:rowOff>
    </xdr:from>
    <xdr:to>
      <xdr:col>15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d67e19ceb0c4c50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15</xdr:col>
      <xdr:colOff>0</xdr:colOff>
      <xdr:row>39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16c5b9520fb4536"/>
        </a:graphicData>
      </a:graphic>
    </xdr:graphicFrame>
    <xdr:clientData/>
  </xdr:twoCellAnchor>
  <xdr:twoCellAnchor>
    <xdr:from>
      <xdr:col>0</xdr:col>
      <xdr:colOff>0</xdr:colOff>
      <xdr:row>41</xdr:row>
      <xdr:rowOff>0</xdr:rowOff>
    </xdr:from>
    <xdr:to>
      <xdr:col>15</xdr:col>
      <xdr:colOff>0</xdr:colOff>
      <xdr:row>58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3a3060e0d6a443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46a95eb8a0734967" /></Relationships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66" hidden="0" customWidth="1"/>
    <x:col min="2" max="2" width="24" hidden="0" customWidth="1"/>
  </x:cols>
  <x:sheetData>
    <x:row r="1" ht="29" customHeight="1">
      <x:c r="A1" s="3" t="str">
        <x:v>ISOM 3540 | Assignment 3 | Model assumptions</x:v>
      </x:c>
      <x:c r="B1" s="3"/>
      <x:c r="C1" s="3"/>
      <x:c r="D1" s="3"/>
      <x:c r="E1" s="3"/>
      <x:c r="F1" s="3"/>
    </x:row>
    <x:row r="3" ht="30" customHeight="1">
      <x:c r="A3" s="8" t="str">
        <x:v>Parameter</x:v>
      </x:c>
      <x:c r="B3" s="8" t="str">
        <x:v>Value</x:v>
      </x:c>
    </x:row>
    <x:row r="4">
      <x:c r="A4" t="str">
        <x:v>EWMA decay factor (lambda)</x:v>
      </x:c>
      <x:c r="B4" s="20" t="n">
        <x:v>0.94</x:v>
      </x:c>
    </x:row>
    <x:row r="5">
      <x:c r="A5" t="str">
        <x:v>Student-t degrees of freedom (nu)</x:v>
      </x:c>
      <x:c r="B5" s="20" t="n">
        <x:v>5</x:v>
      </x:c>
    </x:row>
    <x:row r="6">
      <x:c r="A6" t="str">
        <x:v>Initial EWMA variance (pp squared)</x:v>
      </x:c>
      <x:c r="B6" s="21" t="n">
        <x:f>SUMSQ(Warmup_2020!C31:C90)/60</x:f>
        <x:v>1.0321496450080494</x:v>
      </x:c>
    </x:row>
    <x:row r="7">
      <x:c r="A7" t="str">
        <x:v>Normal 5% quantile</x:v>
      </x:c>
      <x:c r="B7" s="22" t="n">
        <x:f>_xlfn.NORM.S.INV(0.05)</x:f>
        <x:v>-1.6448536269514729</x:v>
      </x:c>
    </x:row>
    <x:row r="8">
      <x:c r="A8" t="str">
        <x:v>Normal 1% quantile</x:v>
      </x:c>
      <x:c r="B8" s="22" t="n">
        <x:f>_xlfn.NORM.S.INV(0.01)</x:f>
        <x:v>-2.3263478740408403</x:v>
      </x:c>
    </x:row>
    <x:row r="9">
      <x:c r="A9" t="str">
        <x:v>Standardized-t 5% quantile</x:v>
      </x:c>
      <x:c r="B9" s="22" t="n">
        <x:f>SQRT((B5-2)/B5)*_xlfn.T.INV(0.05,B5)</x:f>
        <x:v>-1.5608497343396266</x:v>
      </x:c>
    </x:row>
    <x:row r="10">
      <x:c r="A10" t="str">
        <x:v>Standardized-t 1% quantile</x:v>
      </x:c>
      <x:c r="B10" s="22" t="n">
        <x:f>SQRT((B5-2)/B5)*_xlfn.T.INV(0.01,B5)</x:f>
        <x:v>-2.6064635682357333</x:v>
      </x:c>
    </x:row>
    <x:row r="11">
      <x:c r="A11" t="str">
        <x:v>Student ID</x:v>
      </x:c>
      <x:c r="B11" s="16" t="str">
        <x:v>21089310</x:v>
      </x:c>
    </x:row>
    <x:row r="12">
      <x:c r="A12" t="str">
        <x:v>Historical backtest length (days)</x:v>
      </x:c>
      <x:c r="B12" t="n">
        <x:f>COUNTA(Daily_Data!A8:A1262)</x:f>
        <x:v>1255</x:v>
      </x:c>
    </x:row>
    <x:row r="14">
      <x:c r="A14" t="str">
        <x:v>Source of S&amp;P 500 daily index close</x:v>
      </x:c>
    </x:row>
    <x:row r="15">
      <x:c r="A15" t="str">
        <x:v>FRED: https://fred.stlouisfed.org/series/SP500</x:v>
      </x:c>
    </x:row>
    <x:row r="16">
      <x:c r="A16" t="str">
        <x:v>FRED table: https://fred.stlouisfed.org/data/SP500</x:v>
      </x:c>
    </x:row>
    <x:row r="17">
      <x:c r="A17" t="str">
        <x:v>Mirror used for 2020-2025 July historical daily values</x:v>
      </x:c>
    </x:row>
    <x:row r="18">
      <x:c r="A18" t="str">
        <x:v>https://github.com/AguilarMike/marketobservatory/blob/main/data/sp500.csv</x:v>
      </x:c>
    </x:row>
    <x:row r="20">
      <x:c r="A20" t="str">
        <x:v>Return units: percentage points (e.g., -1.5 means -1.5%).</x:v>
      </x:c>
    </x:row>
    <x:row r="21">
      <x:c r="A21" t="str">
        <x:v>Variance units: squared percentage points.</x:v>
      </x:c>
    </x:row>
    <x:row r="22">
      <x:c r="A22" t="str">
        <x:v>One-day forecast uses only information available through t-1.</x:v>
      </x:c>
    </x:row>
    <x:row r="23">
      <x:c r="A23" t="str">
        <x:v>Model assumptions are documented because the homework did not specify lambda, nu, or initialization.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16" hidden="0" customWidth="1"/>
    <x:col min="5" max="5" width="24" hidden="0" customWidth="1"/>
  </x:cols>
  <x:sheetData>
    <x:row r="1" ht="29" customHeight="1">
      <x:c r="A1" s="3" t="str">
        <x:v>Warm-up: preceding 2020 daily closes (initialization only)</x:v>
      </x:c>
      <x:c r="B1" s="3"/>
      <x:c r="C1" s="3"/>
      <x:c r="D1" s="3"/>
      <x:c r="E1" s="3"/>
    </x:row>
    <x:row r="3" ht="30" customHeight="1">
      <x:c r="A3" s="8" t="str">
        <x:v>Date</x:v>
      </x:c>
      <x:c r="B3" s="8" t="str">
        <x:v>Close (index points)</x:v>
      </x:c>
      <x:c r="C3" s="8" t="str">
        <x:v>Return (pp)</x:v>
      </x:c>
      <x:c r="D3" s="8" t="str">
        <x:v>Use in seed?</x:v>
      </x:c>
      <x:c r="E3" s="8" t="str">
        <x:v>Description</x:v>
      </x:c>
    </x:row>
    <x:row r="5">
      <x:c r="A5" t="str">
        <x:v>Daily returns in rows 31:90 (60 observations) are used to initialize variance on 2021-01-04</x:v>
      </x:c>
      <x:c r="B5" t="str"/>
      <x:c r="C5" t="str"/>
      <x:c r="D5" t="str"/>
      <x:c r="E5" t="str"/>
    </x:row>
    <x:row r="6">
      <x:c r="A6" s="30" t="n">
        <x:v>44075</x:v>
      </x:c>
      <x:c r="B6" s="31" t="n">
        <x:v>3526.65</x:v>
      </x:c>
      <x:c r="C6" s="28"/>
      <x:c r="D6" t="str"/>
    </x:row>
    <x:row r="7">
      <x:c r="A7" s="30" t="n">
        <x:v>44076</x:v>
      </x:c>
      <x:c r="B7" s="31" t="n">
        <x:v>3580.84</x:v>
      </x:c>
      <x:c r="C7" s="28" t="n">
        <x:f>(B7/B6-1)*100</x:f>
        <x:v>1.5365857116526938</x:v>
      </x:c>
      <x:c r="D7" t="str"/>
    </x:row>
    <x:row r="8">
      <x:c r="A8" s="30" t="n">
        <x:v>44077</x:v>
      </x:c>
      <x:c r="B8" s="31" t="n">
        <x:v>3455.06</x:v>
      </x:c>
      <x:c r="C8" s="28" t="n">
        <x:f>(B8/B7-1)*100</x:f>
        <x:v>-3.5125836395929477</x:v>
      </x:c>
      <x:c r="D8" t="str"/>
    </x:row>
    <x:row r="9">
      <x:c r="A9" s="30" t="n">
        <x:v>44078</x:v>
      </x:c>
      <x:c r="B9" s="31" t="n">
        <x:v>3426.96</x:v>
      </x:c>
      <x:c r="C9" s="28" t="n">
        <x:f>(B9/B8-1)*100</x:f>
        <x:v>-0.8132999137496877</x:v>
      </x:c>
      <x:c r="D9" t="str"/>
    </x:row>
    <x:row r="10">
      <x:c r="A10" s="30" t="n">
        <x:v>44082</x:v>
      </x:c>
      <x:c r="B10" s="31" t="n">
        <x:v>3331.84</x:v>
      </x:c>
      <x:c r="C10" s="28" t="n">
        <x:f>(B10/B9-1)*100</x:f>
        <x:v>-2.7756378831384043</x:v>
      </x:c>
      <x:c r="D10" t="str"/>
    </x:row>
    <x:row r="11">
      <x:c r="A11" s="30" t="n">
        <x:v>44083</x:v>
      </x:c>
      <x:c r="B11" s="31" t="n">
        <x:v>3398.96</x:v>
      </x:c>
      <x:c r="C11" s="28" t="n">
        <x:f>(B11/B10-1)*100</x:f>
        <x:v>2.0145024971186976</x:v>
      </x:c>
      <x:c r="D11" t="str"/>
    </x:row>
    <x:row r="12">
      <x:c r="A12" s="30" t="n">
        <x:v>44084</x:v>
      </x:c>
      <x:c r="B12" s="31" t="n">
        <x:v>3339.19</x:v>
      </x:c>
      <x:c r="C12" s="28" t="n">
        <x:f>(B12/B11-1)*100</x:f>
        <x:v>-1.7584790641843373</x:v>
      </x:c>
      <x:c r="D12" t="str"/>
    </x:row>
    <x:row r="13">
      <x:c r="A13" s="30" t="n">
        <x:v>44085</x:v>
      </x:c>
      <x:c r="B13" s="31" t="n">
        <x:v>3340.97</x:v>
      </x:c>
      <x:c r="C13" s="28" t="n">
        <x:f>(B13/B12-1)*100</x:f>
        <x:v>0.053306340759284865</x:v>
      </x:c>
      <x:c r="D13" t="str"/>
    </x:row>
    <x:row r="14">
      <x:c r="A14" s="30" t="n">
        <x:v>44088</x:v>
      </x:c>
      <x:c r="B14" s="31" t="n">
        <x:v>3383.54</x:v>
      </x:c>
      <x:c r="C14" s="28" t="n">
        <x:f>(B14/B13-1)*100</x:f>
        <x:v>1.274180851668838</x:v>
      </x:c>
      <x:c r="D14" t="str"/>
    </x:row>
    <x:row r="15">
      <x:c r="A15" s="30" t="n">
        <x:v>44089</x:v>
      </x:c>
      <x:c r="B15" s="31" t="n">
        <x:v>3401.2</x:v>
      </x:c>
      <x:c r="C15" s="28" t="n">
        <x:f>(B15/B14-1)*100</x:f>
        <x:v>0.5219385613883576</x:v>
      </x:c>
      <x:c r="D15" t="str"/>
    </x:row>
    <x:row r="16">
      <x:c r="A16" s="30" t="n">
        <x:v>44090</x:v>
      </x:c>
      <x:c r="B16" s="31" t="n">
        <x:v>3385.49</x:v>
      </x:c>
      <x:c r="C16" s="28" t="n">
        <x:f>(B16/B15-1)*100</x:f>
        <x:v>-0.4618958014818264</x:v>
      </x:c>
      <x:c r="D16" t="str"/>
    </x:row>
    <x:row r="17">
      <x:c r="A17" s="30" t="n">
        <x:v>44091</x:v>
      </x:c>
      <x:c r="B17" s="31" t="n">
        <x:v>3357.01</x:v>
      </x:c>
      <x:c r="C17" s="28" t="n">
        <x:f>(B17/B16-1)*100</x:f>
        <x:v>-0.8412371621242309</x:v>
      </x:c>
      <x:c r="D17" t="str"/>
    </x:row>
    <x:row r="18">
      <x:c r="A18" s="30" t="n">
        <x:v>44092</x:v>
      </x:c>
      <x:c r="B18" s="31" t="n">
        <x:v>3319.47</x:v>
      </x:c>
      <x:c r="C18" s="28" t="n">
        <x:f>(B18/B17-1)*100</x:f>
        <x:v>-1.118257020384228</x:v>
      </x:c>
      <x:c r="D18" t="str"/>
    </x:row>
    <x:row r="19">
      <x:c r="A19" s="30" t="n">
        <x:v>44095</x:v>
      </x:c>
      <x:c r="B19" s="31" t="n">
        <x:v>3281.06</x:v>
      </x:c>
      <x:c r="C19" s="28" t="n">
        <x:f>(B19/B18-1)*100</x:f>
        <x:v>-1.1571124305988612</x:v>
      </x:c>
      <x:c r="D19" t="str"/>
    </x:row>
    <x:row r="20">
      <x:c r="A20" s="30" t="n">
        <x:v>44096</x:v>
      </x:c>
      <x:c r="B20" s="31" t="n">
        <x:v>3315.57</x:v>
      </x:c>
      <x:c r="C20" s="28" t="n">
        <x:f>(B20/B19-1)*100</x:f>
        <x:v>1.0517942372282096</x:v>
      </x:c>
      <x:c r="D20" t="str"/>
    </x:row>
    <x:row r="21">
      <x:c r="A21" s="30" t="n">
        <x:v>44097</x:v>
      </x:c>
      <x:c r="B21" s="31" t="n">
        <x:v>3236.92</x:v>
      </x:c>
      <x:c r="C21" s="28" t="n">
        <x:f>(B21/B20-1)*100</x:f>
        <x:v>-2.372141140135786</x:v>
      </x:c>
      <x:c r="D21" t="str"/>
    </x:row>
    <x:row r="22">
      <x:c r="A22" s="30" t="n">
        <x:v>44098</x:v>
      </x:c>
      <x:c r="B22" s="31" t="n">
        <x:v>3246.59</x:v>
      </x:c>
      <x:c r="C22" s="28" t="n">
        <x:f>(B22/B21-1)*100</x:f>
        <x:v>0.2987407782707008</x:v>
      </x:c>
      <x:c r="D22" t="str"/>
    </x:row>
    <x:row r="23">
      <x:c r="A23" s="30" t="n">
        <x:v>44099</x:v>
      </x:c>
      <x:c r="B23" s="31" t="n">
        <x:v>3298.46</x:v>
      </x:c>
      <x:c r="C23" s="28" t="n">
        <x:f>(B23/B22-1)*100</x:f>
        <x:v>1.5976763311659203</x:v>
      </x:c>
      <x:c r="D23" t="str"/>
    </x:row>
    <x:row r="24">
      <x:c r="A24" s="30" t="n">
        <x:v>44102</x:v>
      </x:c>
      <x:c r="B24" s="31" t="n">
        <x:v>3351.6</x:v>
      </x:c>
      <x:c r="C24" s="28" t="n">
        <x:f>(B24/B23-1)*100</x:f>
        <x:v>1.6110548559024496</x:v>
      </x:c>
      <x:c r="D24" t="str"/>
    </x:row>
    <x:row r="25">
      <x:c r="A25" s="30" t="n">
        <x:v>44103</x:v>
      </x:c>
      <x:c r="B25" s="31" t="n">
        <x:v>3335.47</x:v>
      </x:c>
      <x:c r="C25" s="28" t="n">
        <x:f>(B25/B24-1)*100</x:f>
        <x:v>-0.4812626805108078</x:v>
      </x:c>
      <x:c r="D25" t="str"/>
    </x:row>
    <x:row r="26">
      <x:c r="A26" s="30" t="n">
        <x:v>44104</x:v>
      </x:c>
      <x:c r="B26" s="31" t="n">
        <x:v>3363</x:v>
      </x:c>
      <x:c r="C26" s="28" t="n">
        <x:f>(B26/B25-1)*100</x:f>
        <x:v>0.8253709372292528</x:v>
      </x:c>
      <x:c r="D26" t="str"/>
    </x:row>
    <x:row r="27">
      <x:c r="A27" s="30" t="n">
        <x:v>44105</x:v>
      </x:c>
      <x:c r="B27" s="31" t="n">
        <x:v>3380.8</x:v>
      </x:c>
      <x:c r="C27" s="28" t="n">
        <x:f>(B27/B26-1)*100</x:f>
        <x:v>0.5292893250074426</x:v>
      </x:c>
      <x:c r="D27" t="str"/>
    </x:row>
    <x:row r="28">
      <x:c r="A28" s="30" t="n">
        <x:v>44106</x:v>
      </x:c>
      <x:c r="B28" s="31" t="n">
        <x:v>3348.44</x:v>
      </x:c>
      <x:c r="C28" s="28" t="n">
        <x:f>(B28/B27-1)*100</x:f>
        <x:v>-0.9571699006152401</x:v>
      </x:c>
      <x:c r="D28" t="str"/>
    </x:row>
    <x:row r="29">
      <x:c r="A29" s="30" t="n">
        <x:v>44109</x:v>
      </x:c>
      <x:c r="B29" s="31" t="n">
        <x:v>3408.63</x:v>
      </x:c>
      <x:c r="C29" s="28" t="n">
        <x:f>(B29/B28-1)*100</x:f>
        <x:v>1.7975534875942278</x:v>
      </x:c>
      <x:c r="D29" t="str"/>
    </x:row>
    <x:row r="30">
      <x:c r="A30" s="30" t="n">
        <x:v>44110</x:v>
      </x:c>
      <x:c r="B30" s="31" t="n">
        <x:v>3360.95</x:v>
      </x:c>
      <x:c r="C30" s="28" t="n">
        <x:f>(B30/B29-1)*100</x:f>
        <x:v>-1.3988024514247743</x:v>
      </x:c>
      <x:c r="D30" t="str"/>
    </x:row>
    <x:row r="31">
      <x:c r="A31" s="30" t="n">
        <x:v>44111</x:v>
      </x:c>
      <x:c r="B31" s="31" t="n">
        <x:v>3419.45</x:v>
      </x:c>
      <x:c r="C31" s="28" t="n">
        <x:f>(B31/B30-1)*100</x:f>
        <x:v>1.740579300495404</x:v>
      </x:c>
      <x:c r="D31" t="str">
        <x:v>YES</x:v>
      </x:c>
    </x:row>
    <x:row r="32">
      <x:c r="A32" s="30" t="n">
        <x:v>44112</x:v>
      </x:c>
      <x:c r="B32" s="31" t="n">
        <x:v>3446.83</x:v>
      </x:c>
      <x:c r="C32" s="28" t="n">
        <x:f>(B32/B31-1)*100</x:f>
        <x:v>0.8007135650470065</x:v>
      </x:c>
      <x:c r="D32" t="str">
        <x:v>YES</x:v>
      </x:c>
    </x:row>
    <x:row r="33">
      <x:c r="A33" s="30" t="n">
        <x:v>44113</x:v>
      </x:c>
      <x:c r="B33" s="31" t="n">
        <x:v>3477.13</x:v>
      </x:c>
      <x:c r="C33" s="28" t="n">
        <x:f>(B33/B32-1)*100</x:f>
        <x:v>0.8790685934612519</x:v>
      </x:c>
      <x:c r="D33" t="str">
        <x:v>YES</x:v>
      </x:c>
    </x:row>
    <x:row r="34">
      <x:c r="A34" s="30" t="n">
        <x:v>44116</x:v>
      </x:c>
      <x:c r="B34" s="31" t="n">
        <x:v>3534.22</x:v>
      </x:c>
      <x:c r="C34" s="28" t="n">
        <x:f>(B34/B33-1)*100</x:f>
        <x:v>1.6418713134107588</x:v>
      </x:c>
      <x:c r="D34" t="str">
        <x:v>YES</x:v>
      </x:c>
    </x:row>
    <x:row r="35">
      <x:c r="A35" s="30" t="n">
        <x:v>44117</x:v>
      </x:c>
      <x:c r="B35" s="31" t="n">
        <x:v>3511.93</x:v>
      </x:c>
      <x:c r="C35" s="28" t="n">
        <x:f>(B35/B34-1)*100</x:f>
        <x:v>-0.6306907889152336</x:v>
      </x:c>
      <x:c r="D35" t="str">
        <x:v>YES</x:v>
      </x:c>
    </x:row>
    <x:row r="36">
      <x:c r="A36" s="30" t="n">
        <x:v>44118</x:v>
      </x:c>
      <x:c r="B36" s="31" t="n">
        <x:v>3488.67</x:v>
      </x:c>
      <x:c r="C36" s="28" t="n">
        <x:f>(B36/B35-1)*100</x:f>
        <x:v>-0.6623138843883547</x:v>
      </x:c>
      <x:c r="D36" t="str">
        <x:v>YES</x:v>
      </x:c>
    </x:row>
    <x:row r="37">
      <x:c r="A37" s="30" t="n">
        <x:v>44119</x:v>
      </x:c>
      <x:c r="B37" s="31" t="n">
        <x:v>3483.34</x:v>
      </x:c>
      <x:c r="C37" s="28" t="n">
        <x:f>(B37/B36-1)*100</x:f>
        <x:v>-0.15278028589691406</x:v>
      </x:c>
      <x:c r="D37" t="str">
        <x:v>YES</x:v>
      </x:c>
    </x:row>
    <x:row r="38">
      <x:c r="A38" s="30" t="n">
        <x:v>44120</x:v>
      </x:c>
      <x:c r="B38" s="31" t="n">
        <x:v>3483.81</x:v>
      </x:c>
      <x:c r="C38" s="28" t="n">
        <x:f>(B38/B37-1)*100</x:f>
        <x:v>0.013492797142955482</x:v>
      </x:c>
      <x:c r="D38" t="str">
        <x:v>YES</x:v>
      </x:c>
    </x:row>
    <x:row r="39">
      <x:c r="A39" s="30" t="n">
        <x:v>44123</x:v>
      </x:c>
      <x:c r="B39" s="31" t="n">
        <x:v>3426.92</x:v>
      </x:c>
      <x:c r="C39" s="28" t="n">
        <x:f>(B39/B38-1)*100</x:f>
        <x:v>-1.6329822808936134</x:v>
      </x:c>
      <x:c r="D39" t="str">
        <x:v>YES</x:v>
      </x:c>
    </x:row>
    <x:row r="40">
      <x:c r="A40" s="30" t="n">
        <x:v>44124</x:v>
      </x:c>
      <x:c r="B40" s="31" t="n">
        <x:v>3443.12</x:v>
      </x:c>
      <x:c r="C40" s="28" t="n">
        <x:f>(B40/B39-1)*100</x:f>
        <x:v>0.47272769717412455</x:v>
      </x:c>
      <x:c r="D40" t="str">
        <x:v>YES</x:v>
      </x:c>
    </x:row>
    <x:row r="41">
      <x:c r="A41" s="30" t="n">
        <x:v>44125</x:v>
      </x:c>
      <x:c r="B41" s="31" t="n">
        <x:v>3435.56</x:v>
      </x:c>
      <x:c r="C41" s="28" t="n">
        <x:f>(B41/B40-1)*100</x:f>
        <x:v>-0.21956829851994542</x:v>
      </x:c>
      <x:c r="D41" t="str">
        <x:v>YES</x:v>
      </x:c>
    </x:row>
    <x:row r="42">
      <x:c r="A42" s="30" t="n">
        <x:v>44126</x:v>
      </x:c>
      <x:c r="B42" s="31" t="n">
        <x:v>3453.49</x:v>
      </x:c>
      <x:c r="C42" s="28" t="n">
        <x:f>(B42/B41-1)*100</x:f>
        <x:v>0.5218945382994278</x:v>
      </x:c>
      <x:c r="D42" t="str">
        <x:v>YES</x:v>
      </x:c>
    </x:row>
    <x:row r="43">
      <x:c r="A43" s="30" t="n">
        <x:v>44127</x:v>
      </x:c>
      <x:c r="B43" s="31" t="n">
        <x:v>3465.39</x:v>
      </x:c>
      <x:c r="C43" s="28" t="n">
        <x:f>(B43/B42-1)*100</x:f>
        <x:v>0.34457896215134287</x:v>
      </x:c>
      <x:c r="D43" t="str">
        <x:v>YES</x:v>
      </x:c>
    </x:row>
    <x:row r="44">
      <x:c r="A44" s="30" t="n">
        <x:v>44130</x:v>
      </x:c>
      <x:c r="B44" s="31" t="n">
        <x:v>3400.97</x:v>
      </x:c>
      <x:c r="C44" s="28" t="n">
        <x:f>(B44/B43-1)*100</x:f>
        <x:v>-1.8589538262648642</x:v>
      </x:c>
      <x:c r="D44" t="str">
        <x:v>YES</x:v>
      </x:c>
    </x:row>
    <x:row r="45">
      <x:c r="A45" s="30" t="n">
        <x:v>44131</x:v>
      </x:c>
      <x:c r="B45" s="31" t="n">
        <x:v>3390.68</x:v>
      </x:c>
      <x:c r="C45" s="28" t="n">
        <x:f>(B45/B44-1)*100</x:f>
        <x:v>-0.30256074002417144</x:v>
      </x:c>
      <x:c r="D45" t="str">
        <x:v>YES</x:v>
      </x:c>
    </x:row>
    <x:row r="46">
      <x:c r="A46" s="30" t="n">
        <x:v>44132</x:v>
      </x:c>
      <x:c r="B46" s="31" t="n">
        <x:v>3271.03</x:v>
      </x:c>
      <x:c r="C46" s="28" t="n">
        <x:f>(B46/B45-1)*100</x:f>
        <x:v>-3.528790685054317</x:v>
      </x:c>
      <x:c r="D46" t="str">
        <x:v>YES</x:v>
      </x:c>
    </x:row>
    <x:row r="47">
      <x:c r="A47" s="30" t="n">
        <x:v>44133</x:v>
      </x:c>
      <x:c r="B47" s="31" t="n">
        <x:v>3310.11</x:v>
      </x:c>
      <x:c r="C47" s="28" t="n">
        <x:f>(B47/B46-1)*100</x:f>
        <x:v>1.1947307117329942</x:v>
      </x:c>
      <x:c r="D47" t="str">
        <x:v>YES</x:v>
      </x:c>
    </x:row>
    <x:row r="48">
      <x:c r="A48" s="30" t="n">
        <x:v>44134</x:v>
      </x:c>
      <x:c r="B48" s="31" t="n">
        <x:v>3269.96</x:v>
      </x:c>
      <x:c r="C48" s="28" t="n">
        <x:f>(B48/B47-1)*100</x:f>
        <x:v>-1.2129506270184387</x:v>
      </x:c>
      <x:c r="D48" t="str">
        <x:v>YES</x:v>
      </x:c>
    </x:row>
    <x:row r="49">
      <x:c r="A49" s="30" t="n">
        <x:v>44137</x:v>
      </x:c>
      <x:c r="B49" s="31" t="n">
        <x:v>3310.24</x:v>
      </x:c>
      <x:c r="C49" s="28" t="n">
        <x:f>(B49/B48-1)*100</x:f>
        <x:v>1.231819349472163</x:v>
      </x:c>
      <x:c r="D49" t="str">
        <x:v>YES</x:v>
      </x:c>
    </x:row>
    <x:row r="50">
      <x:c r="A50" s="30" t="n">
        <x:v>44138</x:v>
      </x:c>
      <x:c r="B50" s="31" t="n">
        <x:v>3369.16</x:v>
      </x:c>
      <x:c r="C50" s="28" t="n">
        <x:f>(B50/B49-1)*100</x:f>
        <x:v>1.7799313644932147</x:v>
      </x:c>
      <x:c r="D50" t="str">
        <x:v>YES</x:v>
      </x:c>
    </x:row>
    <x:row r="51">
      <x:c r="A51" s="30" t="n">
        <x:v>44139</x:v>
      </x:c>
      <x:c r="B51" s="31" t="n">
        <x:v>3443.44</x:v>
      </x:c>
      <x:c r="C51" s="28" t="n">
        <x:f>(B51/B50-1)*100</x:f>
        <x:v>2.2047038430944355</x:v>
      </x:c>
      <x:c r="D51" t="str">
        <x:v>YES</x:v>
      </x:c>
    </x:row>
    <x:row r="52">
      <x:c r="A52" s="30" t="n">
        <x:v>44140</x:v>
      </x:c>
      <x:c r="B52" s="31" t="n">
        <x:v>3510.45</x:v>
      </x:c>
      <x:c r="C52" s="28" t="n">
        <x:f>(B52/B51-1)*100</x:f>
        <x:v>1.9460190971818836</x:v>
      </x:c>
      <x:c r="D52" t="str">
        <x:v>YES</x:v>
      </x:c>
    </x:row>
    <x:row r="53">
      <x:c r="A53" s="30" t="n">
        <x:v>44141</x:v>
      </x:c>
      <x:c r="B53" s="31" t="n">
        <x:v>3509.44</x:v>
      </x:c>
      <x:c r="C53" s="28" t="n">
        <x:f>(B53/B52-1)*100</x:f>
        <x:v>-0.028771240154390476</x:v>
      </x:c>
      <x:c r="D53" t="str">
        <x:v>YES</x:v>
      </x:c>
    </x:row>
    <x:row r="54">
      <x:c r="A54" s="30" t="n">
        <x:v>44144</x:v>
      </x:c>
      <x:c r="B54" s="31" t="n">
        <x:v>3550.5</x:v>
      </x:c>
      <x:c r="C54" s="28" t="n">
        <x:f>(B54/B53-1)*100</x:f>
        <x:v>1.1699872344305584</x:v>
      </x:c>
      <x:c r="D54" t="str">
        <x:v>YES</x:v>
      </x:c>
    </x:row>
    <x:row r="55">
      <x:c r="A55" s="30" t="n">
        <x:v>44145</x:v>
      </x:c>
      <x:c r="B55" s="31" t="n">
        <x:v>3545.53</x:v>
      </x:c>
      <x:c r="C55" s="28" t="n">
        <x:f>(B55/B54-1)*100</x:f>
        <x:v>-0.1399802844669673</x:v>
      </x:c>
      <x:c r="D55" t="str">
        <x:v>YES</x:v>
      </x:c>
    </x:row>
    <x:row r="56">
      <x:c r="A56" s="30" t="n">
        <x:v>44146</x:v>
      </x:c>
      <x:c r="B56" s="31" t="n">
        <x:v>3572.66</x:v>
      </x:c>
      <x:c r="C56" s="28" t="n">
        <x:f>(B56/B55-1)*100</x:f>
        <x:v>0.7651888434169196</x:v>
      </x:c>
      <x:c r="D56" t="str">
        <x:v>YES</x:v>
      </x:c>
    </x:row>
    <x:row r="57">
      <x:c r="A57" s="30" t="n">
        <x:v>44147</x:v>
      </x:c>
      <x:c r="B57" s="31" t="n">
        <x:v>3537.01</x:v>
      </x:c>
      <x:c r="C57" s="28" t="n">
        <x:f>(B57/B56-1)*100</x:f>
        <x:v>-0.9978559392721298</x:v>
      </x:c>
      <x:c r="D57" t="str">
        <x:v>YES</x:v>
      </x:c>
    </x:row>
    <x:row r="58">
      <x:c r="A58" s="30" t="n">
        <x:v>44148</x:v>
      </x:c>
      <x:c r="B58" s="31" t="n">
        <x:v>3585.15</x:v>
      </x:c>
      <x:c r="C58" s="28" t="n">
        <x:f>(B58/B57-1)*100</x:f>
        <x:v>1.3610365817456005</x:v>
      </x:c>
      <x:c r="D58" t="str">
        <x:v>YES</x:v>
      </x:c>
    </x:row>
    <x:row r="59">
      <x:c r="A59" s="30" t="n">
        <x:v>44151</x:v>
      </x:c>
      <x:c r="B59" s="31" t="n">
        <x:v>3626.91</x:v>
      </x:c>
      <x:c r="C59" s="28" t="n">
        <x:f>(B59/B58-1)*100</x:f>
        <x:v>1.164804819882015</x:v>
      </x:c>
      <x:c r="D59" t="str">
        <x:v>YES</x:v>
      </x:c>
    </x:row>
    <x:row r="60">
      <x:c r="A60" s="30" t="n">
        <x:v>44152</x:v>
      </x:c>
      <x:c r="B60" s="31" t="n">
        <x:v>3609.53</x:v>
      </x:c>
      <x:c r="C60" s="28" t="n">
        <x:f>(B60/B59-1)*100</x:f>
        <x:v>-0.47919578925310624</x:v>
      </x:c>
      <x:c r="D60" t="str">
        <x:v>YES</x:v>
      </x:c>
    </x:row>
    <x:row r="61">
      <x:c r="A61" s="30" t="n">
        <x:v>44153</x:v>
      </x:c>
      <x:c r="B61" s="31" t="n">
        <x:v>3567.79</x:v>
      </x:c>
      <x:c r="C61" s="28" t="n">
        <x:f>(B61/B60-1)*100</x:f>
        <x:v>-1.156383241031389</x:v>
      </x:c>
      <x:c r="D61" t="str">
        <x:v>YES</x:v>
      </x:c>
    </x:row>
    <x:row r="62">
      <x:c r="A62" s="30" t="n">
        <x:v>44154</x:v>
      </x:c>
      <x:c r="B62" s="31" t="n">
        <x:v>3581.87</x:v>
      </x:c>
      <x:c r="C62" s="28" t="n">
        <x:f>(B62/B61-1)*100</x:f>
        <x:v>0.39464206133208446</x:v>
      </x:c>
      <x:c r="D62" t="str">
        <x:v>YES</x:v>
      </x:c>
    </x:row>
    <x:row r="63">
      <x:c r="A63" s="30" t="n">
        <x:v>44155</x:v>
      </x:c>
      <x:c r="B63" s="31" t="n">
        <x:v>3557.54</x:v>
      </x:c>
      <x:c r="C63" s="28" t="n">
        <x:f>(B63/B62-1)*100</x:f>
        <x:v>-0.6792541326178791</x:v>
      </x:c>
      <x:c r="D63" t="str">
        <x:v>YES</x:v>
      </x:c>
    </x:row>
    <x:row r="64">
      <x:c r="A64" s="30" t="n">
        <x:v>44158</x:v>
      </x:c>
      <x:c r="B64" s="31" t="n">
        <x:v>3577.59</x:v>
      </x:c>
      <x:c r="C64" s="28" t="n">
        <x:f>(B64/B63-1)*100</x:f>
        <x:v>0.563591695385024</x:v>
      </x:c>
      <x:c r="D64" t="str">
        <x:v>YES</x:v>
      </x:c>
    </x:row>
    <x:row r="65">
      <x:c r="A65" s="30" t="n">
        <x:v>44159</x:v>
      </x:c>
      <x:c r="B65" s="31" t="n">
        <x:v>3635.41</x:v>
      </x:c>
      <x:c r="C65" s="28" t="n">
        <x:f>(B65/B64-1)*100</x:f>
        <x:v>1.6161717804443754</x:v>
      </x:c>
      <x:c r="D65" t="str">
        <x:v>YES</x:v>
      </x:c>
    </x:row>
    <x:row r="66">
      <x:c r="A66" s="30" t="n">
        <x:v>44160</x:v>
      </x:c>
      <x:c r="B66" s="31" t="n">
        <x:v>3629.65</x:v>
      </x:c>
      <x:c r="C66" s="28" t="n">
        <x:f>(B66/B65-1)*100</x:f>
        <x:v>-0.15844155129681736</x:v>
      </x:c>
      <x:c r="D66" t="str">
        <x:v>YES</x:v>
      </x:c>
    </x:row>
    <x:row r="67">
      <x:c r="A67" s="30" t="n">
        <x:v>44162</x:v>
      </x:c>
      <x:c r="B67" s="31" t="n">
        <x:v>3638.35</x:v>
      </x:c>
      <x:c r="C67" s="28" t="n">
        <x:f>(B67/B66-1)*100</x:f>
        <x:v>0.23969253233782073</x:v>
      </x:c>
      <x:c r="D67" t="str">
        <x:v>YES</x:v>
      </x:c>
    </x:row>
    <x:row r="68">
      <x:c r="A68" s="30" t="n">
        <x:v>44165</x:v>
      </x:c>
      <x:c r="B68" s="31" t="n">
        <x:v>3621.63</x:v>
      </x:c>
      <x:c r="C68" s="28" t="n">
        <x:f>(B68/B67-1)*100</x:f>
        <x:v>-0.45954897137437944</x:v>
      </x:c>
      <x:c r="D68" t="str">
        <x:v>YES</x:v>
      </x:c>
    </x:row>
    <x:row r="69">
      <x:c r="A69" s="30" t="n">
        <x:v>44166</x:v>
      </x:c>
      <x:c r="B69" s="31" t="n">
        <x:v>3662.45</x:v>
      </x:c>
      <x:c r="C69" s="28" t="n">
        <x:f>(B69/B68-1)*100</x:f>
        <x:v>1.1271167954760575</x:v>
      </x:c>
      <x:c r="D69" t="str">
        <x:v>YES</x:v>
      </x:c>
    </x:row>
    <x:row r="70">
      <x:c r="A70" s="30" t="n">
        <x:v>44167</x:v>
      </x:c>
      <x:c r="B70" s="31" t="n">
        <x:v>3669.01</x:v>
      </x:c>
      <x:c r="C70" s="28" t="n">
        <x:f>(B70/B69-1)*100</x:f>
        <x:v>0.17911507324332998</x:v>
      </x:c>
      <x:c r="D70" t="str">
        <x:v>YES</x:v>
      </x:c>
    </x:row>
    <x:row r="71">
      <x:c r="A71" s="30" t="n">
        <x:v>44168</x:v>
      </x:c>
      <x:c r="B71" s="31" t="n">
        <x:v>3666.72</x:v>
      </x:c>
      <x:c r="C71" s="28" t="n">
        <x:f>(B71/B70-1)*100</x:f>
        <x:v>-0.06241465681479097</x:v>
      </x:c>
      <x:c r="D71" t="str">
        <x:v>YES</x:v>
      </x:c>
    </x:row>
    <x:row r="72">
      <x:c r="A72" s="30" t="n">
        <x:v>44169</x:v>
      </x:c>
      <x:c r="B72" s="31" t="n">
        <x:v>3699.12</x:v>
      </x:c>
      <x:c r="C72" s="28" t="n">
        <x:f>(B72/B71-1)*100</x:f>
        <x:v>0.8836235109307422</x:v>
      </x:c>
      <x:c r="D72" t="str">
        <x:v>YES</x:v>
      </x:c>
    </x:row>
    <x:row r="73">
      <x:c r="A73" s="30" t="n">
        <x:v>44172</x:v>
      </x:c>
      <x:c r="B73" s="31" t="n">
        <x:v>3691.96</x:v>
      </x:c>
      <x:c r="C73" s="28" t="n">
        <x:f>(B73/B72-1)*100</x:f>
        <x:v>-0.19355954929820562</x:v>
      </x:c>
      <x:c r="D73" t="str">
        <x:v>YES</x:v>
      </x:c>
    </x:row>
    <x:row r="74">
      <x:c r="A74" s="30" t="n">
        <x:v>44173</x:v>
      </x:c>
      <x:c r="B74" s="31" t="n">
        <x:v>3702.25</x:v>
      </x:c>
      <x:c r="C74" s="28" t="n">
        <x:f>(B74/B73-1)*100</x:f>
        <x:v>0.2787137455443789</x:v>
      </x:c>
      <x:c r="D74" t="str">
        <x:v>YES</x:v>
      </x:c>
    </x:row>
    <x:row r="75">
      <x:c r="A75" s="30" t="n">
        <x:v>44174</x:v>
      </x:c>
      <x:c r="B75" s="31" t="n">
        <x:v>3672.82</x:v>
      </x:c>
      <x:c r="C75" s="28" t="n">
        <x:f>(B75/B74-1)*100</x:f>
        <x:v>-0.7949220068876994</x:v>
      </x:c>
      <x:c r="D75" t="str">
        <x:v>YES</x:v>
      </x:c>
    </x:row>
    <x:row r="76">
      <x:c r="A76" s="30" t="n">
        <x:v>44175</x:v>
      </x:c>
      <x:c r="B76" s="31" t="n">
        <x:v>3668.1</x:v>
      </x:c>
      <x:c r="C76" s="28" t="n">
        <x:f>(B76/B75-1)*100</x:f>
        <x:v>-0.12851160688518437</x:v>
      </x:c>
      <x:c r="D76" t="str">
        <x:v>YES</x:v>
      </x:c>
    </x:row>
    <x:row r="77">
      <x:c r="A77" s="30" t="n">
        <x:v>44176</x:v>
      </x:c>
      <x:c r="B77" s="31" t="n">
        <x:v>3663.46</x:v>
      </x:c>
      <x:c r="C77" s="28" t="n">
        <x:f>(B77/B76-1)*100</x:f>
        <x:v>-0.1264960061067022</x:v>
      </x:c>
      <x:c r="D77" t="str">
        <x:v>YES</x:v>
      </x:c>
    </x:row>
    <x:row r="78">
      <x:c r="A78" s="30" t="n">
        <x:v>44179</x:v>
      </x:c>
      <x:c r="B78" s="31" t="n">
        <x:v>3647.49</x:v>
      </x:c>
      <x:c r="C78" s="28" t="n">
        <x:f>(B78/B77-1)*100</x:f>
        <x:v>-0.4359266922526861</x:v>
      </x:c>
      <x:c r="D78" t="str">
        <x:v>YES</x:v>
      </x:c>
    </x:row>
    <x:row r="79">
      <x:c r="A79" s="30" t="n">
        <x:v>44180</x:v>
      </x:c>
      <x:c r="B79" s="31" t="n">
        <x:v>3694.62</x:v>
      </x:c>
      <x:c r="C79" s="28" t="n">
        <x:f>(B79/B78-1)*100</x:f>
        <x:v>1.2921214314501217</x:v>
      </x:c>
      <x:c r="D79" t="str">
        <x:v>YES</x:v>
      </x:c>
    </x:row>
    <x:row r="80">
      <x:c r="A80" s="30" t="n">
        <x:v>44181</x:v>
      </x:c>
      <x:c r="B80" s="31" t="n">
        <x:v>3701.17</x:v>
      </x:c>
      <x:c r="C80" s="28" t="n">
        <x:f>(B80/B79-1)*100</x:f>
        <x:v>0.17728480872187813</x:v>
      </x:c>
      <x:c r="D80" t="str">
        <x:v>YES</x:v>
      </x:c>
    </x:row>
    <x:row r="81">
      <x:c r="A81" s="30" t="n">
        <x:v>44182</x:v>
      </x:c>
      <x:c r="B81" s="31" t="n">
        <x:v>3722.48</x:v>
      </x:c>
      <x:c r="C81" s="28" t="n">
        <x:f>(B81/B80-1)*100</x:f>
        <x:v>0.5757638800703457</x:v>
      </x:c>
      <x:c r="D81" t="str">
        <x:v>YES</x:v>
      </x:c>
    </x:row>
    <x:row r="82">
      <x:c r="A82" s="30" t="n">
        <x:v>44183</x:v>
      </x:c>
      <x:c r="B82" s="31" t="n">
        <x:v>3709.41</x:v>
      </x:c>
      <x:c r="C82" s="28" t="n">
        <x:f>(B82/B81-1)*100</x:f>
        <x:v>-0.35111001267972286</x:v>
      </x:c>
      <x:c r="D82" t="str">
        <x:v>YES</x:v>
      </x:c>
    </x:row>
    <x:row r="83">
      <x:c r="A83" s="30" t="n">
        <x:v>44186</x:v>
      </x:c>
      <x:c r="B83" s="31" t="n">
        <x:v>3694.92</x:v>
      </x:c>
      <x:c r="C83" s="28" t="n">
        <x:f>(B83/B82-1)*100</x:f>
        <x:v>-0.3906281591951277</x:v>
      </x:c>
      <x:c r="D83" t="str">
        <x:v>YES</x:v>
      </x:c>
    </x:row>
    <x:row r="84">
      <x:c r="A84" s="30" t="n">
        <x:v>44187</x:v>
      </x:c>
      <x:c r="B84" s="31" t="n">
        <x:v>3687.26</x:v>
      </x:c>
      <x:c r="C84" s="28" t="n">
        <x:f>(B84/B83-1)*100</x:f>
        <x:v>-0.20731166033364223</x:v>
      </x:c>
      <x:c r="D84" t="str">
        <x:v>YES</x:v>
      </x:c>
    </x:row>
    <x:row r="85">
      <x:c r="A85" s="30" t="n">
        <x:v>44188</x:v>
      </x:c>
      <x:c r="B85" s="31" t="n">
        <x:v>3690.01</x:v>
      </x:c>
      <x:c r="C85" s="28" t="n">
        <x:f>(B85/B84-1)*100</x:f>
        <x:v>0.07458112528002658</x:v>
      </x:c>
      <x:c r="D85" t="str">
        <x:v>YES</x:v>
      </x:c>
    </x:row>
    <x:row r="86">
      <x:c r="A86" s="30" t="n">
        <x:v>44189</x:v>
      </x:c>
      <x:c r="B86" s="31" t="n">
        <x:v>3703.06</x:v>
      </x:c>
      <x:c r="C86" s="28" t="n">
        <x:f>(B86/B85-1)*100</x:f>
        <x:v>0.3536575781637463</x:v>
      </x:c>
      <x:c r="D86" t="str">
        <x:v>YES</x:v>
      </x:c>
    </x:row>
    <x:row r="87">
      <x:c r="A87" s="30" t="n">
        <x:v>44193</x:v>
      </x:c>
      <x:c r="B87" s="31" t="n">
        <x:v>3735.36</x:v>
      </x:c>
      <x:c r="C87" s="28" t="n">
        <x:f>(B87/B86-1)*100</x:f>
        <x:v>0.8722515973276224</x:v>
      </x:c>
      <x:c r="D87" t="str">
        <x:v>YES</x:v>
      </x:c>
    </x:row>
    <x:row r="88">
      <x:c r="A88" s="30" t="n">
        <x:v>44194</x:v>
      </x:c>
      <x:c r="B88" s="31" t="n">
        <x:v>3727.04</x:v>
      </x:c>
      <x:c r="C88" s="28" t="n">
        <x:f>(B88/B87-1)*100</x:f>
        <x:v>-0.22273622890431888</x:v>
      </x:c>
      <x:c r="D88" t="str">
        <x:v>YES</x:v>
      </x:c>
    </x:row>
    <x:row r="89">
      <x:c r="A89" s="30" t="n">
        <x:v>44195</x:v>
      </x:c>
      <x:c r="B89" s="31" t="n">
        <x:v>3732.04</x:v>
      </x:c>
      <x:c r="C89" s="28" t="n">
        <x:f>(B89/B88-1)*100</x:f>
        <x:v>0.13415471795312772</x:v>
      </x:c>
      <x:c r="D89" t="str">
        <x:v>YES</x:v>
      </x:c>
    </x:row>
    <x:row r="90">
      <x:c r="A90" s="30" t="n">
        <x:v>44196</x:v>
      </x:c>
      <x:c r="B90" s="31" t="n">
        <x:v>3756.07</x:v>
      </x:c>
      <x:c r="C90" s="28" t="n">
        <x:f>(B90/B89-1)*100</x:f>
        <x:v>0.643883774021714</x:v>
      </x:c>
      <x:c r="D90" t="str">
        <x:v>YES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8" max="18" width="16" hidden="0" customWidth="1"/>
  </x:cols>
  <x:sheetData>
    <x:row r="1" ht="29" customHeight="1">
      <x:c r="A1" s="3" t="str">
        <x:v>S&amp;P 500 | 2021-2025 Daily RiskMetrics &amp; VaR Backtest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3">
      <x:c r="A3" t="str">
        <x:v>Index close source: FRED (S&amp;P Dow Jones Indices LLC) | Trading dates only | 1,255 sample observations</x:v>
      </x:c>
    </x:row>
    <x:row r="4">
      <x:c r="A4" t="str">
        <x:v>VaR columns F:I are positive loss magnitudes (%) | thresholds N:Q are negative return cutoffs (%)</x:v>
      </x:c>
    </x:row>
    <x:row r="6" ht="44" customHeight="1">
      <x:c r="A6" s="8" t="str">
        <x:v>Trading date</x:v>
      </x:c>
      <x:c r="B6" s="8" t="str">
        <x:v>Index close (pts)</x:v>
      </x:c>
      <x:c r="C6" s="8" t="str">
        <x:v>Simple return (pp)</x:v>
      </x:c>
      <x:c r="D6" s="8" t="str">
        <x:v>EWMA variance (pp²)</x:v>
      </x:c>
      <x:c r="E6" s="8" t="str">
        <x:v>EWMA volatility (pp)</x:v>
      </x:c>
      <x:c r="F6" s="8" t="str">
        <x:v>Normal VaR 5% (pp)</x:v>
      </x:c>
      <x:c r="G6" s="8" t="str">
        <x:v>Normal VaR 1% (pp)</x:v>
      </x:c>
      <x:c r="H6" s="8" t="str">
        <x:v>Std-t VaR 5% (pp)</x:v>
      </x:c>
      <x:c r="I6" s="8" t="str">
        <x:v>Std-t VaR 1% (pp)</x:v>
      </x:c>
      <x:c r="J6" s="8" t="str">
        <x:v>Normal 5% breach</x:v>
      </x:c>
      <x:c r="K6" s="8" t="str">
        <x:v>Normal 1% breach</x:v>
      </x:c>
      <x:c r="L6" s="8" t="str">
        <x:v>Std-t 5% breach</x:v>
      </x:c>
      <x:c r="M6" s="8" t="str">
        <x:v>Std-t 1% breach</x:v>
      </x:c>
      <x:c r="N6" s="8" t="str">
        <x:v>Normal 5% cutoff</x:v>
      </x:c>
      <x:c r="O6" s="8" t="str">
        <x:v>Std-t 5% cutoff</x:v>
      </x:c>
      <x:c r="P6" s="8" t="str">
        <x:v>Normal 1% cutoff</x:v>
      </x:c>
      <x:c r="Q6" s="8" t="str">
        <x:v>Std-t 1% cutoff</x:v>
      </x:c>
      <x:c r="R6" s="8" t="str">
        <x:v>Year</x:v>
      </x:c>
    </x:row>
    <x:row r="7">
      <x:c r="A7" s="30" t="n">
        <x:v>44196</x:v>
      </x:c>
      <x:c r="B7" s="38" t="n">
        <x:v>3756.07</x:v>
      </x:c>
      <x:c r="C7" s="34"/>
      <x:c r="D7" s="34"/>
      <x:c r="E7" s="34"/>
      <x:c r="F7" s="34"/>
      <x:c r="G7" s="34"/>
      <x:c r="H7" s="34"/>
      <x:c r="I7" s="34"/>
      <x:c r="J7" s="34"/>
      <x:c r="K7" s="34"/>
      <x:c r="L7" s="34"/>
      <x:c r="M7" s="34"/>
      <x:c r="N7" s="34"/>
      <x:c r="O7" s="34"/>
      <x:c r="P7" s="34"/>
      <x:c r="Q7" s="34"/>
    </x:row>
    <x:row r="8">
      <x:c r="A8" s="30" t="n">
        <x:v>44200</x:v>
      </x:c>
      <x:c r="B8" s="38" t="n">
        <x:v>3700.65</x:v>
      </x:c>
      <x:c r="C8" s="34" t="n">
        <x:f>(B8/B7-1)*100</x:f>
        <x:v>-1.475478359029514</x:v>
      </x:c>
      <x:c r="D8" s="34" t="n">
        <x:f>Assumptions!$B$6</x:f>
        <x:v>1.0321496450080494</x:v>
      </x:c>
      <x:c r="E8" s="34" t="n">
        <x:f>SQRT(D8)</x:f>
        <x:v>1.0159476585966667</x:v>
      </x:c>
      <x:c r="F8" s="34" t="n">
        <x:f>-Assumptions!$B$7*E8</x:f>
        <x:v>1.671085191035584</x:v>
      </x:c>
      <x:c r="G8" s="34" t="n">
        <x:f>-Assumptions!$B$8*E8</x:f>
        <x:v>2.363447675713125</x:v>
      </x:c>
      <x:c r="H8" s="34" t="n">
        <x:f>-Assumptions!$B$9*E8</x:f>
        <x:v>1.585741633023573</x:v>
      </x:c>
      <x:c r="I8" s="34" t="n">
        <x:f>-Assumptions!$B$10*E8</x:f>
        <x:v>2.6480305593666063</x:v>
      </x:c>
      <x:c r="J8" s="36" t="n">
        <x:f>IF(C8&lt;-F8,1,0)</x:f>
        <x:v>0</x:v>
      </x:c>
      <x:c r="K8" s="36" t="n">
        <x:f>IF(C8&lt;-G8,1,0)</x:f>
        <x:v>0</x:v>
      </x:c>
      <x:c r="L8" s="36" t="n">
        <x:f>IF(C8&lt;-H8,1,0)</x:f>
        <x:v>0</x:v>
      </x:c>
      <x:c r="M8" s="36" t="n">
        <x:f>IF(C8&lt;-I8,1,0)</x:f>
        <x:v>0</x:v>
      </x:c>
      <x:c r="N8" s="34" t="n">
        <x:f>-F8</x:f>
        <x:v>-1.671085191035584</x:v>
      </x:c>
      <x:c r="O8" s="34" t="n">
        <x:f>-H8</x:f>
        <x:v>-1.585741633023573</x:v>
      </x:c>
      <x:c r="P8" s="34" t="n">
        <x:f>-G8</x:f>
        <x:v>-2.363447675713125</x:v>
      </x:c>
      <x:c r="Q8" s="34" t="n">
        <x:f>-I8</x:f>
        <x:v>-2.6480305593666063</x:v>
      </x:c>
      <x:c r="R8" s="36" t="n">
        <x:f>YEAR(A8)</x:f>
        <x:v>2021</x:v>
      </x:c>
    </x:row>
    <x:row r="9">
      <x:c r="A9" s="30" t="n">
        <x:v>44201</x:v>
      </x:c>
      <x:c r="B9" s="38" t="n">
        <x:v>3726.86</x:v>
      </x:c>
      <x:c r="C9" s="34" t="n">
        <x:f>(B9/B8-1)*100</x:f>
        <x:v>0.7082539553862066</x:v>
      </x:c>
      <x:c r="D9" s="34" t="n">
        <x:f>Assumptions!$B$4*D8+(1-Assumptions!$B$4)*C8^2</x:f>
        <x:v>1.100842849585432</x:v>
      </x:c>
      <x:c r="E9" s="34" t="n">
        <x:f>SQRT(D9)</x:f>
        <x:v>1.0492105840037222</x:v>
      </x:c>
      <x:c r="F9" s="34" t="n">
        <x:f>-Assumptions!$B$7*E9</x:f>
        <x:v>1.7257978345343956</x:v>
      </x:c>
      <x:c r="G9" s="34" t="n">
        <x:f>-Assumptions!$B$8*E9</x:f>
        <x:v>2.440828811518208</x:v>
      </x:c>
      <x:c r="H9" s="34" t="n">
        <x:f>-Assumptions!$B$9*E9</x:f>
        <x:v>1.6376600613085344</x:v>
      </x:c>
      <x:c r="I9" s="34" t="n">
        <x:f>-Assumptions!$B$10*E9</x:f>
        <x:v>2.7347291626130397</x:v>
      </x:c>
      <x:c r="J9" s="36" t="n">
        <x:f>IF(C9&lt;-F9,1,0)</x:f>
        <x:v>0</x:v>
      </x:c>
      <x:c r="K9" s="36" t="n">
        <x:f>IF(C9&lt;-G9,1,0)</x:f>
        <x:v>0</x:v>
      </x:c>
      <x:c r="L9" s="36" t="n">
        <x:f>IF(C9&lt;-H9,1,0)</x:f>
        <x:v>0</x:v>
      </x:c>
      <x:c r="M9" s="36" t="n">
        <x:f>IF(C9&lt;-I9,1,0)</x:f>
        <x:v>0</x:v>
      </x:c>
      <x:c r="N9" s="34" t="n">
        <x:f>-F9</x:f>
        <x:v>-1.7257978345343956</x:v>
      </x:c>
      <x:c r="O9" s="34" t="n">
        <x:f>-H9</x:f>
        <x:v>-1.6376600613085344</x:v>
      </x:c>
      <x:c r="P9" s="34" t="n">
        <x:f>-G9</x:f>
        <x:v>-2.440828811518208</x:v>
      </x:c>
      <x:c r="Q9" s="34" t="n">
        <x:f>-I9</x:f>
        <x:v>-2.7347291626130397</x:v>
      </x:c>
      <x:c r="R9" s="36" t="n">
        <x:f>YEAR(A9)</x:f>
        <x:v>2021</x:v>
      </x:c>
    </x:row>
    <x:row r="10">
      <x:c r="A10" s="30" t="n">
        <x:v>44202</x:v>
      </x:c>
      <x:c r="B10" s="38" t="n">
        <x:v>3748.14</x:v>
      </x:c>
      <x:c r="C10" s="34" t="n">
        <x:f>(B10/B9-1)*100</x:f>
        <x:v>0.5709900559720538</x:v>
      </x:c>
      <x:c r="D10" s="34" t="n">
        <x:f>Assumptions!$B$4*D9+(1-Assumptions!$B$4)*C9^2</x:f>
        <x:v>1.0648896985295184</x:v>
      </x:c>
      <x:c r="E10" s="34" t="n">
        <x:f>SQRT(D10)</x:f>
        <x:v>1.031934929406655</x:v>
      </x:c>
      <x:c r="F10" s="34" t="n">
        <x:f>-Assumptions!$B$7*E10</x:f>
        <x:v>1.6973819114124487</x:v>
      </x:c>
      <x:c r="G10" s="34" t="n">
        <x:f>-Assumptions!$B$8*E10</x:f>
        <x:v>2.4006396291736567</x:v>
      </x:c>
      <x:c r="H10" s="34" t="n">
        <x:f>-Assumptions!$B$9*E10</x:f>
        <x:v>1.610695360420159</x:v>
      </x:c>
      <x:c r="I10" s="34" t="n">
        <x:f>-Assumptions!$B$10*E10</x:f>
        <x:v>2.6897007982883596</x:v>
      </x:c>
      <x:c r="J10" s="36" t="n">
        <x:f>IF(C10&lt;-F10,1,0)</x:f>
        <x:v>0</x:v>
      </x:c>
      <x:c r="K10" s="36" t="n">
        <x:f>IF(C10&lt;-G10,1,0)</x:f>
        <x:v>0</x:v>
      </x:c>
      <x:c r="L10" s="36" t="n">
        <x:f>IF(C10&lt;-H10,1,0)</x:f>
        <x:v>0</x:v>
      </x:c>
      <x:c r="M10" s="36" t="n">
        <x:f>IF(C10&lt;-I10,1,0)</x:f>
        <x:v>0</x:v>
      </x:c>
      <x:c r="N10" s="34" t="n">
        <x:f>-F10</x:f>
        <x:v>-1.6973819114124487</x:v>
      </x:c>
      <x:c r="O10" s="34" t="n">
        <x:f>-H10</x:f>
        <x:v>-1.610695360420159</x:v>
      </x:c>
      <x:c r="P10" s="34" t="n">
        <x:f>-G10</x:f>
        <x:v>-2.4006396291736567</x:v>
      </x:c>
      <x:c r="Q10" s="34" t="n">
        <x:f>-I10</x:f>
        <x:v>-2.6897007982883596</x:v>
      </x:c>
      <x:c r="R10" s="36" t="n">
        <x:f>YEAR(A10)</x:f>
        <x:v>2021</x:v>
      </x:c>
    </x:row>
    <x:row r="11">
      <x:c r="A11" s="30" t="n">
        <x:v>44203</x:v>
      </x:c>
      <x:c r="B11" s="38" t="n">
        <x:v>3803.79</x:v>
      </x:c>
      <x:c r="C11" s="34" t="n">
        <x:f>(B11/B10-1)*100</x:f>
        <x:v>1.484736429268918</x:v>
      </x:c>
      <x:c r="D11" s="34" t="n">
        <x:f>Assumptions!$B$4*D10+(1-Assumptions!$B$4)*C10^2</x:f>
        <x:v>1.0205580952588855</x:v>
      </x:c>
      <x:c r="E11" s="34" t="n">
        <x:f>SQRT(D11)</x:f>
        <x:v>1.0102267543769001</x:v>
      </x:c>
      <x:c r="F11" s="34" t="n">
        <x:f>-Assumptions!$B$7*E11</x:f>
        <x:v>1.6616751409802588</x:v>
      </x:c>
      <x:c r="G11" s="34" t="n">
        <x:f>-Assumptions!$B$8*E11</x:f>
        <x:v>2.3501388623438797</x:v>
      </x:c>
      <x:c r="H11" s="34" t="n">
        <x:f>-Assumptions!$B$9*E11</x:f>
        <x:v>1.5768121611919679</x:v>
      </x:c>
      <x:c r="I11" s="34" t="n">
        <x:f>-Assumptions!$B$10*E11</x:f>
        <x:v>2.633119230940419</x:v>
      </x:c>
      <x:c r="J11" s="36" t="n">
        <x:f>IF(C11&lt;-F11,1,0)</x:f>
        <x:v>0</x:v>
      </x:c>
      <x:c r="K11" s="36" t="n">
        <x:f>IF(C11&lt;-G11,1,0)</x:f>
        <x:v>0</x:v>
      </x:c>
      <x:c r="L11" s="36" t="n">
        <x:f>IF(C11&lt;-H11,1,0)</x:f>
        <x:v>0</x:v>
      </x:c>
      <x:c r="M11" s="36" t="n">
        <x:f>IF(C11&lt;-I11,1,0)</x:f>
        <x:v>0</x:v>
      </x:c>
      <x:c r="N11" s="34" t="n">
        <x:f>-F11</x:f>
        <x:v>-1.6616751409802588</x:v>
      </x:c>
      <x:c r="O11" s="34" t="n">
        <x:f>-H11</x:f>
        <x:v>-1.5768121611919679</x:v>
      </x:c>
      <x:c r="P11" s="34" t="n">
        <x:f>-G11</x:f>
        <x:v>-2.3501388623438797</x:v>
      </x:c>
      <x:c r="Q11" s="34" t="n">
        <x:f>-I11</x:f>
        <x:v>-2.633119230940419</x:v>
      </x:c>
      <x:c r="R11" s="36" t="n">
        <x:f>YEAR(A11)</x:f>
        <x:v>2021</x:v>
      </x:c>
    </x:row>
    <x:row r="12">
      <x:c r="A12" s="30" t="n">
        <x:v>44204</x:v>
      </x:c>
      <x:c r="B12" s="38" t="n">
        <x:v>3824.68</x:v>
      </x:c>
      <x:c r="C12" s="34" t="n">
        <x:f>(B12/B11-1)*100</x:f>
        <x:v>0.5491890982414871</x:v>
      </x:c>
      <x:c r="D12" s="34" t="n">
        <x:f>Assumptions!$B$4*D11+(1-Assumptions!$B$4)*C11^2</x:f>
        <x:v>1.0915911454072456</x:v>
      </x:c>
      <x:c r="E12" s="34" t="n">
        <x:f>SQRT(D12)</x:f>
        <x:v>1.044792393448213</x:v>
      </x:c>
      <x:c r="F12" s="34" t="n">
        <x:f>-Assumptions!$B$7*E12</x:f>
        <x:v>1.7185305577746035</x:v>
      </x:c>
      <x:c r="G12" s="34" t="n">
        <x:f>-Assumptions!$B$8*E12</x:f>
        <x:v>2.4305505633122917</x:v>
      </x:c>
      <x:c r="H12" s="34" t="n">
        <x:f>-Assumptions!$B$9*E12</x:f>
        <x:v>1.630763929753706</x:v>
      </x:c>
      <x:c r="I12" s="34" t="n">
        <x:f>-Assumptions!$B$10*E12</x:f>
        <x:v>2.7232133098925817</x:v>
      </x:c>
      <x:c r="J12" s="36" t="n">
        <x:f>IF(C12&lt;-F12,1,0)</x:f>
        <x:v>0</x:v>
      </x:c>
      <x:c r="K12" s="36" t="n">
        <x:f>IF(C12&lt;-G12,1,0)</x:f>
        <x:v>0</x:v>
      </x:c>
      <x:c r="L12" s="36" t="n">
        <x:f>IF(C12&lt;-H12,1,0)</x:f>
        <x:v>0</x:v>
      </x:c>
      <x:c r="M12" s="36" t="n">
        <x:f>IF(C12&lt;-I12,1,0)</x:f>
        <x:v>0</x:v>
      </x:c>
      <x:c r="N12" s="34" t="n">
        <x:f>-F12</x:f>
        <x:v>-1.7185305577746035</x:v>
      </x:c>
      <x:c r="O12" s="34" t="n">
        <x:f>-H12</x:f>
        <x:v>-1.630763929753706</x:v>
      </x:c>
      <x:c r="P12" s="34" t="n">
        <x:f>-G12</x:f>
        <x:v>-2.4305505633122917</x:v>
      </x:c>
      <x:c r="Q12" s="34" t="n">
        <x:f>-I12</x:f>
        <x:v>-2.7232133098925817</x:v>
      </x:c>
      <x:c r="R12" s="36" t="n">
        <x:f>YEAR(A12)</x:f>
        <x:v>2021</x:v>
      </x:c>
    </x:row>
    <x:row r="13">
      <x:c r="A13" s="30" t="n">
        <x:v>44207</x:v>
      </x:c>
      <x:c r="B13" s="38" t="n">
        <x:v>3799.61</x:v>
      </x:c>
      <x:c r="C13" s="34" t="n">
        <x:f>(B13/B12-1)*100</x:f>
        <x:v>-0.6554796741165214</x:v>
      </x:c>
      <x:c r="D13" s="34" t="n">
        <x:f>Assumptions!$B$4*D12+(1-Assumptions!$B$4)*C12^2</x:f>
        <x:v>1.0441921966204486</x:v>
      </x:c>
      <x:c r="E13" s="34" t="n">
        <x:f>SQRT(D13)</x:f>
        <x:v>1.0218572290787244</x:v>
      </x:c>
      <x:c r="F13" s="34" t="n">
        <x:f>-Assumptions!$B$7*E13</x:f>
        <x:v>1.6808055694767219</x:v>
      </x:c>
      <x:c r="G13" s="34" t="n">
        <x:f>-Assumptions!$B$8*E13</x:f>
        <x:v>2.3771953924405547</x:v>
      </x:c>
      <x:c r="H13" s="34" t="n">
        <x:f>-Assumptions!$B$9*E13</x:f>
        <x:v>1.594965584540554</x:v>
      </x:c>
      <x:c r="I13" s="34" t="n">
        <x:f>-Assumptions!$B$10*E13</x:f>
        <x:v>2.6634336395320113</x:v>
      </x:c>
      <x:c r="J13" s="36" t="n">
        <x:f>IF(C13&lt;-F13,1,0)</x:f>
        <x:v>0</x:v>
      </x:c>
      <x:c r="K13" s="36" t="n">
        <x:f>IF(C13&lt;-G13,1,0)</x:f>
        <x:v>0</x:v>
      </x:c>
      <x:c r="L13" s="36" t="n">
        <x:f>IF(C13&lt;-H13,1,0)</x:f>
        <x:v>0</x:v>
      </x:c>
      <x:c r="M13" s="36" t="n">
        <x:f>IF(C13&lt;-I13,1,0)</x:f>
        <x:v>0</x:v>
      </x:c>
      <x:c r="N13" s="34" t="n">
        <x:f>-F13</x:f>
        <x:v>-1.6808055694767219</x:v>
      </x:c>
      <x:c r="O13" s="34" t="n">
        <x:f>-H13</x:f>
        <x:v>-1.594965584540554</x:v>
      </x:c>
      <x:c r="P13" s="34" t="n">
        <x:f>-G13</x:f>
        <x:v>-2.3771953924405547</x:v>
      </x:c>
      <x:c r="Q13" s="34" t="n">
        <x:f>-I13</x:f>
        <x:v>-2.6634336395320113</x:v>
      </x:c>
      <x:c r="R13" s="36" t="n">
        <x:f>YEAR(A13)</x:f>
        <x:v>2021</x:v>
      </x:c>
    </x:row>
    <x:row r="14">
      <x:c r="A14" s="30" t="n">
        <x:v>44208</x:v>
      </x:c>
      <x:c r="B14" s="38" t="n">
        <x:v>3801.19</x:v>
      </x:c>
      <x:c r="C14" s="34" t="n">
        <x:f>(B14/B13-1)*100</x:f>
        <x:v>0.04158321511944507</x:v>
      </x:c>
      <x:c r="D14" s="34" t="n">
        <x:f>Assumptions!$B$4*D13+(1-Assumptions!$B$4)*C13^2</x:f>
        <x:v>1.0073198810140158</x:v>
      </x:c>
      <x:c r="E14" s="34" t="n">
        <x:f>SQRT(D14)</x:f>
        <x:v>1.0036532673259306</x:v>
      </x:c>
      <x:c r="F14" s="34" t="n">
        <x:f>-Assumptions!$B$7*E14</x:f>
        <x:v>1.6508627169627532</x:v>
      </x:c>
      <x:c r="G14" s="34" t="n">
        <x:f>-Assumptions!$B$8*E14</x:f>
        <x:v>2.334846644717822</x:v>
      </x:c>
      <x:c r="H14" s="34" t="n">
        <x:f>-Assumptions!$B$9*E14</x:f>
        <x:v>1.566551935674777</x:v>
      </x:c>
      <x:c r="I14" s="34" t="n">
        <x:f>-Assumptions!$B$10*E14</x:f>
        <x:v>2.6159856764257974</x:v>
      </x:c>
      <x:c r="J14" s="36" t="n">
        <x:f>IF(C14&lt;-F14,1,0)</x:f>
        <x:v>0</x:v>
      </x:c>
      <x:c r="K14" s="36" t="n">
        <x:f>IF(C14&lt;-G14,1,0)</x:f>
        <x:v>0</x:v>
      </x:c>
      <x:c r="L14" s="36" t="n">
        <x:f>IF(C14&lt;-H14,1,0)</x:f>
        <x:v>0</x:v>
      </x:c>
      <x:c r="M14" s="36" t="n">
        <x:f>IF(C14&lt;-I14,1,0)</x:f>
        <x:v>0</x:v>
      </x:c>
      <x:c r="N14" s="34" t="n">
        <x:f>-F14</x:f>
        <x:v>-1.6508627169627532</x:v>
      </x:c>
      <x:c r="O14" s="34" t="n">
        <x:f>-H14</x:f>
        <x:v>-1.566551935674777</x:v>
      </x:c>
      <x:c r="P14" s="34" t="n">
        <x:f>-G14</x:f>
        <x:v>-2.334846644717822</x:v>
      </x:c>
      <x:c r="Q14" s="34" t="n">
        <x:f>-I14</x:f>
        <x:v>-2.6159856764257974</x:v>
      </x:c>
      <x:c r="R14" s="36" t="n">
        <x:f>YEAR(A14)</x:f>
        <x:v>2021</x:v>
      </x:c>
    </x:row>
    <x:row r="15">
      <x:c r="A15" s="30" t="n">
        <x:v>44209</x:v>
      </x:c>
      <x:c r="B15" s="38" t="n">
        <x:v>3809.84</x:v>
      </x:c>
      <x:c r="C15" s="34" t="n">
        <x:f>(B15/B14-1)*100</x:f>
        <x:v>0.22756031663768717</x:v>
      </x:c>
      <x:c r="D15" s="34" t="n">
        <x:f>Assumptions!$B$4*D14+(1-Assumptions!$B$4)*C14^2</x:f>
        <x:v>0.946984437979955</x:v>
      </x:c>
      <x:c r="E15" s="34" t="n">
        <x:f>SQRT(D15)</x:f>
        <x:v>0.9731312542406368</x:v>
      </x:c>
      <x:c r="F15" s="34" t="n">
        <x:f>-Assumptions!$B$7*E15</x:f>
        <x:v>1.6006584730375473</x:v>
      </x:c>
      <x:c r="G15" s="34" t="n">
        <x:f>-Assumptions!$B$8*E15</x:f>
        <x:v>2.263841824465402</x:v>
      </x:c>
      <x:c r="H15" s="34" t="n">
        <x:f>-Assumptions!$B$9*E15</x:f>
        <x:v>1.5189116596590857</x:v>
      </x:c>
      <x:c r="I15" s="34" t="n">
        <x:f>-Assumptions!$B$10*E15</x:f>
        <x:v>2.536431161289765</x:v>
      </x:c>
      <x:c r="J15" s="36" t="n">
        <x:f>IF(C15&lt;-F15,1,0)</x:f>
        <x:v>0</x:v>
      </x:c>
      <x:c r="K15" s="36" t="n">
        <x:f>IF(C15&lt;-G15,1,0)</x:f>
        <x:v>0</x:v>
      </x:c>
      <x:c r="L15" s="36" t="n">
        <x:f>IF(C15&lt;-H15,1,0)</x:f>
        <x:v>0</x:v>
      </x:c>
      <x:c r="M15" s="36" t="n">
        <x:f>IF(C15&lt;-I15,1,0)</x:f>
        <x:v>0</x:v>
      </x:c>
      <x:c r="N15" s="34" t="n">
        <x:f>-F15</x:f>
        <x:v>-1.6006584730375473</x:v>
      </x:c>
      <x:c r="O15" s="34" t="n">
        <x:f>-H15</x:f>
        <x:v>-1.5189116596590857</x:v>
      </x:c>
      <x:c r="P15" s="34" t="n">
        <x:f>-G15</x:f>
        <x:v>-2.263841824465402</x:v>
      </x:c>
      <x:c r="Q15" s="34" t="n">
        <x:f>-I15</x:f>
        <x:v>-2.536431161289765</x:v>
      </x:c>
      <x:c r="R15" s="36" t="n">
        <x:f>YEAR(A15)</x:f>
        <x:v>2021</x:v>
      </x:c>
    </x:row>
    <x:row r="16">
      <x:c r="A16" s="30" t="n">
        <x:v>44210</x:v>
      </x:c>
      <x:c r="B16" s="38" t="n">
        <x:v>3795.54</x:v>
      </x:c>
      <x:c r="C16" s="34" t="n">
        <x:f>(B16/B15-1)*100</x:f>
        <x:v>-0.3753438464607517</x:v>
      </x:c>
      <x:c r="D16" s="34" t="n">
        <x:f>Assumptions!$B$4*D15+(1-Assumptions!$B$4)*C15^2</x:f>
        <x:v>0.8932723935636523</x:v>
      </x:c>
      <x:c r="E16" s="34" t="n">
        <x:f>SQRT(D16)</x:f>
        <x:v>0.945130887001188</x:v>
      </x:c>
      <x:c r="F16" s="34" t="n">
        <x:f>-Assumptions!$B$7*E16</x:f>
        <x:v>1.5546019674277667</x:v>
      </x:c>
      <x:c r="G16" s="34" t="n">
        <x:f>-Assumptions!$B$8*E16</x:f>
        <x:v>2.198703229665547</x:v>
      </x:c>
      <x:c r="H16" s="34" t="n">
        <x:f>-Assumptions!$B$9*E16</x:f>
        <x:v>1.4752072938919798</x:v>
      </x:c>
      <x:c r="I16" s="34" t="n">
        <x:f>-Assumptions!$B$10*E16</x:f>
        <x:v>2.46344922418292</x:v>
      </x:c>
      <x:c r="J16" s="36" t="n">
        <x:f>IF(C16&lt;-F16,1,0)</x:f>
        <x:v>0</x:v>
      </x:c>
      <x:c r="K16" s="36" t="n">
        <x:f>IF(C16&lt;-G16,1,0)</x:f>
        <x:v>0</x:v>
      </x:c>
      <x:c r="L16" s="36" t="n">
        <x:f>IF(C16&lt;-H16,1,0)</x:f>
        <x:v>0</x:v>
      </x:c>
      <x:c r="M16" s="36" t="n">
        <x:f>IF(C16&lt;-I16,1,0)</x:f>
        <x:v>0</x:v>
      </x:c>
      <x:c r="N16" s="34" t="n">
        <x:f>-F16</x:f>
        <x:v>-1.5546019674277667</x:v>
      </x:c>
      <x:c r="O16" s="34" t="n">
        <x:f>-H16</x:f>
        <x:v>-1.4752072938919798</x:v>
      </x:c>
      <x:c r="P16" s="34" t="n">
        <x:f>-G16</x:f>
        <x:v>-2.198703229665547</x:v>
      </x:c>
      <x:c r="Q16" s="34" t="n">
        <x:f>-I16</x:f>
        <x:v>-2.46344922418292</x:v>
      </x:c>
      <x:c r="R16" s="36" t="n">
        <x:f>YEAR(A16)</x:f>
        <x:v>2021</x:v>
      </x:c>
    </x:row>
    <x:row r="17">
      <x:c r="A17" s="30" t="n">
        <x:v>44211</x:v>
      </x:c>
      <x:c r="B17" s="38" t="n">
        <x:v>3768.25</x:v>
      </x:c>
      <x:c r="C17" s="34" t="n">
        <x:f>(B17/B16-1)*100</x:f>
        <x:v>-0.719001775768402</x:v>
      </x:c>
      <x:c r="D17" s="34" t="n">
        <x:f>Assumptions!$B$4*D16+(1-Assumptions!$B$4)*C16^2</x:f>
        <x:v>0.8481290301343903</x:v>
      </x:c>
      <x:c r="E17" s="34" t="n">
        <x:f>SQRT(D17)</x:f>
        <x:v>0.9209392108789757</x:v>
      </x:c>
      <x:c r="F17" s="34" t="n">
        <x:f>-Assumptions!$B$7*E17</x:f>
        <x:v>1.5148102012161104</x:v>
      </x:c>
      <x:c r="G17" s="34" t="n">
        <x:f>-Assumptions!$B$8*E17</x:f>
        <x:v>2.142424975349154</x:v>
      </x:c>
      <x:c r="H17" s="34" t="n">
        <x:f>-Assumptions!$B$9*E17</x:f>
        <x:v>1.4374477226433946</x:v>
      </x:c>
      <x:c r="I17" s="34" t="n">
        <x:f>-Assumptions!$B$10*E17</x:f>
        <x:v>2.4003945017158155</x:v>
      </x:c>
      <x:c r="J17" s="36" t="n">
        <x:f>IF(C17&lt;-F17,1,0)</x:f>
        <x:v>0</x:v>
      </x:c>
      <x:c r="K17" s="36" t="n">
        <x:f>IF(C17&lt;-G17,1,0)</x:f>
        <x:v>0</x:v>
      </x:c>
      <x:c r="L17" s="36" t="n">
        <x:f>IF(C17&lt;-H17,1,0)</x:f>
        <x:v>0</x:v>
      </x:c>
      <x:c r="M17" s="36" t="n">
        <x:f>IF(C17&lt;-I17,1,0)</x:f>
        <x:v>0</x:v>
      </x:c>
      <x:c r="N17" s="34" t="n">
        <x:f>-F17</x:f>
        <x:v>-1.5148102012161104</x:v>
      </x:c>
      <x:c r="O17" s="34" t="n">
        <x:f>-H17</x:f>
        <x:v>-1.4374477226433946</x:v>
      </x:c>
      <x:c r="P17" s="34" t="n">
        <x:f>-G17</x:f>
        <x:v>-2.142424975349154</x:v>
      </x:c>
      <x:c r="Q17" s="34" t="n">
        <x:f>-I17</x:f>
        <x:v>-2.4003945017158155</x:v>
      </x:c>
      <x:c r="R17" s="36" t="n">
        <x:f>YEAR(A17)</x:f>
        <x:v>2021</x:v>
      </x:c>
    </x:row>
    <x:row r="18">
      <x:c r="A18" s="30" t="n">
        <x:v>44215</x:v>
      </x:c>
      <x:c r="B18" s="38" t="n">
        <x:v>3798.91</x:v>
      </x:c>
      <x:c r="C18" s="34" t="n">
        <x:f>(B18/B17-1)*100</x:f>
        <x:v>0.8136402839514334</x:v>
      </x:c>
      <x:c r="D18" s="34" t="n">
        <x:f>Assumptions!$B$4*D17+(1-Assumptions!$B$4)*C17^2</x:f>
        <x:v>0.8282591015398139</x:v>
      </x:c>
      <x:c r="E18" s="34" t="n">
        <x:f>SQRT(D18)</x:f>
        <x:v>0.9100874142299814</x:v>
      </x:c>
      <x:c r="F18" s="34" t="n">
        <x:f>-Assumptions!$B$7*E18</x:f>
        <x:v>1.4969605841390723</x:v>
      </x:c>
      <x:c r="G18" s="34" t="n">
        <x:f>-Assumptions!$B$8*E18</x:f>
        <x:v>2.117179921285243</x:v>
      </x:c>
      <x:c r="H18" s="34" t="n">
        <x:f>-Assumptions!$B$9*E18</x:f>
        <x:v>1.420509698726704</x:v>
      </x:c>
      <x:c r="I18" s="34" t="n">
        <x:f>-Assumptions!$B$10*E18</x:f>
        <x:v>2.3721096891003093</x:v>
      </x:c>
      <x:c r="J18" s="36" t="n">
        <x:f>IF(C18&lt;-F18,1,0)</x:f>
        <x:v>0</x:v>
      </x:c>
      <x:c r="K18" s="36" t="n">
        <x:f>IF(C18&lt;-G18,1,0)</x:f>
        <x:v>0</x:v>
      </x:c>
      <x:c r="L18" s="36" t="n">
        <x:f>IF(C18&lt;-H18,1,0)</x:f>
        <x:v>0</x:v>
      </x:c>
      <x:c r="M18" s="36" t="n">
        <x:f>IF(C18&lt;-I18,1,0)</x:f>
        <x:v>0</x:v>
      </x:c>
      <x:c r="N18" s="34" t="n">
        <x:f>-F18</x:f>
        <x:v>-1.4969605841390723</x:v>
      </x:c>
      <x:c r="O18" s="34" t="n">
        <x:f>-H18</x:f>
        <x:v>-1.420509698726704</x:v>
      </x:c>
      <x:c r="P18" s="34" t="n">
        <x:f>-G18</x:f>
        <x:v>-2.117179921285243</x:v>
      </x:c>
      <x:c r="Q18" s="34" t="n">
        <x:f>-I18</x:f>
        <x:v>-2.3721096891003093</x:v>
      </x:c>
      <x:c r="R18" s="36" t="n">
        <x:f>YEAR(A18)</x:f>
        <x:v>2021</x:v>
      </x:c>
    </x:row>
    <x:row r="19">
      <x:c r="A19" s="30" t="n">
        <x:v>44216</x:v>
      </x:c>
      <x:c r="B19" s="38" t="n">
        <x:v>3851.85</x:v>
      </x:c>
      <x:c r="C19" s="34" t="n">
        <x:f>(B19/B18-1)*100</x:f>
        <x:v>1.3935576257400273</x:v>
      </x:c>
      <x:c r="D19" s="34" t="n">
        <x:f>Assumptions!$B$4*D18+(1-Assumptions!$B$4)*C18^2</x:f>
        <x:v>0.8182841861475392</x:v>
      </x:c>
      <x:c r="E19" s="34" t="n">
        <x:f>SQRT(D19)</x:f>
        <x:v>0.9045906179855832</x:v>
      </x:c>
      <x:c r="F19" s="34" t="n">
        <x:f>-Assumptions!$B$7*E19</x:f>
        <x:v>1.4879191588998606</x:v>
      </x:c>
      <x:c r="G19" s="34" t="n">
        <x:f>-Assumptions!$B$8*E19</x:f>
        <x:v>2.104392461028051</x:v>
      </x:c>
      <x:c r="H19" s="34" t="n">
        <x:f>-Assumptions!$B$9*E19</x:f>
        <x:v>1.411930025768916</x:v>
      </x:c>
      <x:c r="I19" s="34" t="n">
        <x:f>-Assumptions!$B$10*E19</x:f>
        <x:v>2.35778248994727</x:v>
      </x:c>
      <x:c r="J19" s="36" t="n">
        <x:f>IF(C19&lt;-F19,1,0)</x:f>
        <x:v>0</x:v>
      </x:c>
      <x:c r="K19" s="36" t="n">
        <x:f>IF(C19&lt;-G19,1,0)</x:f>
        <x:v>0</x:v>
      </x:c>
      <x:c r="L19" s="36" t="n">
        <x:f>IF(C19&lt;-H19,1,0)</x:f>
        <x:v>0</x:v>
      </x:c>
      <x:c r="M19" s="36" t="n">
        <x:f>IF(C19&lt;-I19,1,0)</x:f>
        <x:v>0</x:v>
      </x:c>
      <x:c r="N19" s="34" t="n">
        <x:f>-F19</x:f>
        <x:v>-1.4879191588998606</x:v>
      </x:c>
      <x:c r="O19" s="34" t="n">
        <x:f>-H19</x:f>
        <x:v>-1.411930025768916</x:v>
      </x:c>
      <x:c r="P19" s="34" t="n">
        <x:f>-G19</x:f>
        <x:v>-2.104392461028051</x:v>
      </x:c>
      <x:c r="Q19" s="34" t="n">
        <x:f>-I19</x:f>
        <x:v>-2.35778248994727</x:v>
      </x:c>
      <x:c r="R19" s="36" t="n">
        <x:f>YEAR(A19)</x:f>
        <x:v>2021</x:v>
      </x:c>
    </x:row>
    <x:row r="20">
      <x:c r="A20" s="30" t="n">
        <x:v>44217</x:v>
      </x:c>
      <x:c r="B20" s="38" t="n">
        <x:v>3853.07</x:v>
      </x:c>
      <x:c r="C20" s="34" t="n">
        <x:f>(B20/B19-1)*100</x:f>
        <x:v>0.03167309215053038</x:v>
      </x:c>
      <x:c r="D20" s="34" t="n">
        <x:f>Assumptions!$B$4*D19+(1-Assumptions!$B$4)*C19^2</x:f>
        <x:v>0.8857073063541777</x:v>
      </x:c>
      <x:c r="E20" s="34" t="n">
        <x:f>SQRT(D20)</x:f>
        <x:v>0.9411202401150331</x:v>
      </x:c>
      <x:c r="F20" s="34" t="n">
        <x:f>-Assumptions!$B$7*E20</x:f>
        <x:v>1.5480050403506533</x:v>
      </x:c>
      <x:c r="G20" s="34" t="n">
        <x:f>-Assumptions!$B$8*E20</x:f>
        <x:v>2.1893730698084126</x:v>
      </x:c>
      <x:c r="H20" s="34" t="n">
        <x:f>-Assumptions!$B$9*E20</x:f>
        <x:v>1.468947276765195</x:v>
      </x:c>
      <x:c r="I20" s="34" t="n">
        <x:f>-Assumptions!$B$10*E20</x:f>
        <x:v>2.4529956191890996</x:v>
      </x:c>
      <x:c r="J20" s="36" t="n">
        <x:f>IF(C20&lt;-F20,1,0)</x:f>
        <x:v>0</x:v>
      </x:c>
      <x:c r="K20" s="36" t="n">
        <x:f>IF(C20&lt;-G20,1,0)</x:f>
        <x:v>0</x:v>
      </x:c>
      <x:c r="L20" s="36" t="n">
        <x:f>IF(C20&lt;-H20,1,0)</x:f>
        <x:v>0</x:v>
      </x:c>
      <x:c r="M20" s="36" t="n">
        <x:f>IF(C20&lt;-I20,1,0)</x:f>
        <x:v>0</x:v>
      </x:c>
      <x:c r="N20" s="34" t="n">
        <x:f>-F20</x:f>
        <x:v>-1.5480050403506533</x:v>
      </x:c>
      <x:c r="O20" s="34" t="n">
        <x:f>-H20</x:f>
        <x:v>-1.468947276765195</x:v>
      </x:c>
      <x:c r="P20" s="34" t="n">
        <x:f>-G20</x:f>
        <x:v>-2.1893730698084126</x:v>
      </x:c>
      <x:c r="Q20" s="34" t="n">
        <x:f>-I20</x:f>
        <x:v>-2.4529956191890996</x:v>
      </x:c>
      <x:c r="R20" s="36" t="n">
        <x:f>YEAR(A20)</x:f>
        <x:v>2021</x:v>
      </x:c>
    </x:row>
    <x:row r="21">
      <x:c r="A21" s="30" t="n">
        <x:v>44218</x:v>
      </x:c>
      <x:c r="B21" s="38" t="n">
        <x:v>3841.47</x:v>
      </x:c>
      <x:c r="C21" s="34" t="n">
        <x:f>(B21/B20-1)*100</x:f>
        <x:v>-0.30105863636010755</x:v>
      </x:c>
      <x:c r="D21" s="34" t="n">
        <x:f>Assumptions!$B$4*D20+(1-Assumptions!$B$4)*C20^2</x:f>
        <x:v>0.8326250590589096</x:v>
      </x:c>
      <x:c r="E21" s="34" t="n">
        <x:f>SQRT(D21)</x:f>
        <x:v>0.9124829089133174</x:v>
      </x:c>
      <x:c r="F21" s="34" t="n">
        <x:f>-Assumptions!$B$7*E21</x:f>
        <x:v>1.5009008222573006</x:v>
      </x:c>
      <x:c r="G21" s="34" t="n">
        <x:f>-Assumptions!$B$8*E21</x:f>
        <x:v>2.1227526752490977</x:v>
      </x:c>
      <x:c r="H21" s="34" t="n">
        <x:f>-Assumptions!$B$9*E21</x:f>
        <x:v>1.4242487059668012</x:v>
      </x:c>
      <x:c r="I21" s="34" t="n">
        <x:f>-Assumptions!$B$10*E21</x:f>
        <x:v>2.3783534587203268</x:v>
      </x:c>
      <x:c r="J21" s="36" t="n">
        <x:f>IF(C21&lt;-F21,1,0)</x:f>
        <x:v>0</x:v>
      </x:c>
      <x:c r="K21" s="36" t="n">
        <x:f>IF(C21&lt;-G21,1,0)</x:f>
        <x:v>0</x:v>
      </x:c>
      <x:c r="L21" s="36" t="n">
        <x:f>IF(C21&lt;-H21,1,0)</x:f>
        <x:v>0</x:v>
      </x:c>
      <x:c r="M21" s="36" t="n">
        <x:f>IF(C21&lt;-I21,1,0)</x:f>
        <x:v>0</x:v>
      </x:c>
      <x:c r="N21" s="34" t="n">
        <x:f>-F21</x:f>
        <x:v>-1.5009008222573006</x:v>
      </x:c>
      <x:c r="O21" s="34" t="n">
        <x:f>-H21</x:f>
        <x:v>-1.4242487059668012</x:v>
      </x:c>
      <x:c r="P21" s="34" t="n">
        <x:f>-G21</x:f>
        <x:v>-2.1227526752490977</x:v>
      </x:c>
      <x:c r="Q21" s="34" t="n">
        <x:f>-I21</x:f>
        <x:v>-2.3783534587203268</x:v>
      </x:c>
      <x:c r="R21" s="36" t="n">
        <x:f>YEAR(A21)</x:f>
        <x:v>2021</x:v>
      </x:c>
    </x:row>
    <x:row r="22">
      <x:c r="A22" s="30" t="n">
        <x:v>44221</x:v>
      </x:c>
      <x:c r="B22" s="38" t="n">
        <x:v>3855.36</x:v>
      </x:c>
      <x:c r="C22" s="34" t="n">
        <x:f>(B22/B21-1)*100</x:f>
        <x:v>0.3615803325289546</x:v>
      </x:c>
      <x:c r="D22" s="34" t="n">
        <x:f>Assumptions!$B$4*D21+(1-Assumptions!$B$4)*C21^2</x:f>
        <x:v>0.7881057336669954</x:v>
      </x:c>
      <x:c r="E22" s="34" t="n">
        <x:f>SQRT(D22)</x:f>
        <x:v>0.88775319411816</x:v>
      </x:c>
      <x:c r="F22" s="34" t="n">
        <x:f>-Assumptions!$B$7*E22</x:f>
        <x:v>1.4602240611830104</x:v>
      </x:c>
      <x:c r="G22" s="34" t="n">
        <x:f>-Assumptions!$B$8*E22</x:f>
        <x:v>2.065222755809747</x:v>
      </x:c>
      <x:c r="H22" s="34" t="n">
        <x:f>-Assumptions!$B$9*E22</x:f>
        <x:v>1.385649337198485</x:v>
      </x:c>
      <x:c r="I22" s="34" t="n">
        <x:f>-Assumptions!$B$10*E22</x:f>
        <x:v>2.313896358053889</x:v>
      </x:c>
      <x:c r="J22" s="36" t="n">
        <x:f>IF(C22&lt;-F22,1,0)</x:f>
        <x:v>0</x:v>
      </x:c>
      <x:c r="K22" s="36" t="n">
        <x:f>IF(C22&lt;-G22,1,0)</x:f>
        <x:v>0</x:v>
      </x:c>
      <x:c r="L22" s="36" t="n">
        <x:f>IF(C22&lt;-H22,1,0)</x:f>
        <x:v>0</x:v>
      </x:c>
      <x:c r="M22" s="36" t="n">
        <x:f>IF(C22&lt;-I22,1,0)</x:f>
        <x:v>0</x:v>
      </x:c>
      <x:c r="N22" s="34" t="n">
        <x:f>-F22</x:f>
        <x:v>-1.4602240611830104</x:v>
      </x:c>
      <x:c r="O22" s="34" t="n">
        <x:f>-H22</x:f>
        <x:v>-1.385649337198485</x:v>
      </x:c>
      <x:c r="P22" s="34" t="n">
        <x:f>-G22</x:f>
        <x:v>-2.065222755809747</x:v>
      </x:c>
      <x:c r="Q22" s="34" t="n">
        <x:f>-I22</x:f>
        <x:v>-2.313896358053889</x:v>
      </x:c>
      <x:c r="R22" s="36" t="n">
        <x:f>YEAR(A22)</x:f>
        <x:v>2021</x:v>
      </x:c>
    </x:row>
    <x:row r="23">
      <x:c r="A23" s="30" t="n">
        <x:v>44222</x:v>
      </x:c>
      <x:c r="B23" s="38" t="n">
        <x:v>3849.62</x:v>
      </x:c>
      <x:c r="C23" s="34" t="n">
        <x:f>(B23/B22-1)*100</x:f>
        <x:v>-0.14888363213811928</x:v>
      </x:c>
      <x:c r="D23" s="34" t="n">
        <x:f>Assumptions!$B$4*D22+(1-Assumptions!$B$4)*C22^2</x:f>
        <x:v>0.7486638098592806</x:v>
      </x:c>
      <x:c r="E23" s="34" t="n">
        <x:f>SQRT(D23)</x:f>
        <x:v>0.8652536101394092</x:v>
      </x:c>
      <x:c r="F23" s="34" t="n">
        <x:f>-Assumptions!$B$7*E23</x:f>
        <x:v>1.4232155388706629</x:v>
      </x:c>
      <x:c r="G23" s="34" t="n">
        <x:f>-Assumptions!$B$8*E23</x:f>
        <x:v>2.0128808964539764</x:v>
      </x:c>
      <x:c r="H23" s="34" t="n">
        <x:f>-Assumptions!$B$9*E23</x:f>
        <x:v>1.3505308675224996</x:v>
      </x:c>
      <x:c r="I23" s="34" t="n">
        <x:f>-Assumptions!$B$10*E23</x:f>
        <x:v>2.2552520121128143</x:v>
      </x:c>
      <x:c r="J23" s="36" t="n">
        <x:f>IF(C23&lt;-F23,1,0)</x:f>
        <x:v>0</x:v>
      </x:c>
      <x:c r="K23" s="36" t="n">
        <x:f>IF(C23&lt;-G23,1,0)</x:f>
        <x:v>0</x:v>
      </x:c>
      <x:c r="L23" s="36" t="n">
        <x:f>IF(C23&lt;-H23,1,0)</x:f>
        <x:v>0</x:v>
      </x:c>
      <x:c r="M23" s="36" t="n">
        <x:f>IF(C23&lt;-I23,1,0)</x:f>
        <x:v>0</x:v>
      </x:c>
      <x:c r="N23" s="34" t="n">
        <x:f>-F23</x:f>
        <x:v>-1.4232155388706629</x:v>
      </x:c>
      <x:c r="O23" s="34" t="n">
        <x:f>-H23</x:f>
        <x:v>-1.3505308675224996</x:v>
      </x:c>
      <x:c r="P23" s="34" t="n">
        <x:f>-G23</x:f>
        <x:v>-2.0128808964539764</x:v>
      </x:c>
      <x:c r="Q23" s="34" t="n">
        <x:f>-I23</x:f>
        <x:v>-2.2552520121128143</x:v>
      </x:c>
      <x:c r="R23" s="36" t="n">
        <x:f>YEAR(A23)</x:f>
        <x:v>2021</x:v>
      </x:c>
    </x:row>
    <x:row r="24">
      <x:c r="A24" s="30" t="n">
        <x:v>44223</x:v>
      </x:c>
      <x:c r="B24" s="38" t="n">
        <x:v>3750.77</x:v>
      </x:c>
      <x:c r="C24" s="34" t="n">
        <x:f>(B24/B23-1)*100</x:f>
        <x:v>-2.5677859113367063</x:v>
      </x:c>
      <x:c r="D24" s="34" t="n">
        <x:f>Assumptions!$B$4*D23+(1-Assumptions!$B$4)*C23^2</x:f>
        <x:v>0.7050739614228421</x:v>
      </x:c>
      <x:c r="E24" s="34" t="n">
        <x:f>SQRT(D24)</x:f>
        <x:v>0.8396868234186137</x:v>
      </x:c>
      <x:c r="F24" s="34" t="n">
        <x:f>-Assumptions!$B$7*E24</x:f>
        <x:v>1.3811619170034677</x:v>
      </x:c>
      <x:c r="G24" s="34" t="n">
        <x:f>-Assumptions!$B$8*E24</x:f>
        <x:v>1.9534036565199984</x:v>
      </x:c>
      <x:c r="H24" s="34" t="n">
        <x:f>-Assumptions!$B$9*E24</x:f>
        <x:v>1.3106249552614282</x:v>
      </x:c>
      <x:c r="I24" s="34" t="n">
        <x:f>-Assumptions!$B$10*E24</x:f>
        <x:v>2.188613113968208</x:v>
      </x:c>
      <x:c r="J24" s="36" t="n">
        <x:f>IF(C24&lt;-F24,1,0)</x:f>
        <x:v>1</x:v>
      </x:c>
      <x:c r="K24" s="36" t="n">
        <x:f>IF(C24&lt;-G24,1,0)</x:f>
        <x:v>1</x:v>
      </x:c>
      <x:c r="L24" s="36" t="n">
        <x:f>IF(C24&lt;-H24,1,0)</x:f>
        <x:v>1</x:v>
      </x:c>
      <x:c r="M24" s="36" t="n">
        <x:f>IF(C24&lt;-I24,1,0)</x:f>
        <x:v>1</x:v>
      </x:c>
      <x:c r="N24" s="34" t="n">
        <x:f>-F24</x:f>
        <x:v>-1.3811619170034677</x:v>
      </x:c>
      <x:c r="O24" s="34" t="n">
        <x:f>-H24</x:f>
        <x:v>-1.3106249552614282</x:v>
      </x:c>
      <x:c r="P24" s="34" t="n">
        <x:f>-G24</x:f>
        <x:v>-1.9534036565199984</x:v>
      </x:c>
      <x:c r="Q24" s="34" t="n">
        <x:f>-I24</x:f>
        <x:v>-2.188613113968208</x:v>
      </x:c>
      <x:c r="R24" s="36" t="n">
        <x:f>YEAR(A24)</x:f>
        <x:v>2021</x:v>
      </x:c>
    </x:row>
    <x:row r="25">
      <x:c r="A25" s="30" t="n">
        <x:v>44224</x:v>
      </x:c>
      <x:c r="B25" s="38" t="n">
        <x:v>3787.38</x:v>
      </x:c>
      <x:c r="C25" s="34" t="n">
        <x:f>(B25/B24-1)*100</x:f>
        <x:v>0.9760662477304782</x:v>
      </x:c>
      <x:c r="D25" s="34" t="n">
        <x:f>Assumptions!$B$4*D24+(1-Assumptions!$B$4)*C24^2</x:f>
        <x:v>1.0583809929250287</x:v>
      </x:c>
      <x:c r="E25" s="34" t="n">
        <x:f>SQRT(D25)</x:f>
        <x:v>1.028776454301433</x:v>
      </x:c>
      <x:c r="F25" s="34" t="n">
        <x:f>-Assumptions!$B$7*E25</x:f>
        <x:v>1.6921866821799882</x:v>
      </x:c>
      <x:c r="G25" s="34" t="n">
        <x:f>-Assumptions!$B$8*E25</x:f>
        <x:v>2.3932919173274123</x:v>
      </x:c>
      <x:c r="H25" s="34" t="n">
        <x:f>-Assumptions!$B$9*E25</x:f>
        <x:v>1.6057654553912548</x:v>
      </x:c>
      <x:c r="I25" s="34" t="n">
        <x:f>-Assumptions!$B$10*E25</x:f>
        <x:v>2.681468347995419</x:v>
      </x:c>
      <x:c r="J25" s="36" t="n">
        <x:f>IF(C25&lt;-F25,1,0)</x:f>
        <x:v>0</x:v>
      </x:c>
      <x:c r="K25" s="36" t="n">
        <x:f>IF(C25&lt;-G25,1,0)</x:f>
        <x:v>0</x:v>
      </x:c>
      <x:c r="L25" s="36" t="n">
        <x:f>IF(C25&lt;-H25,1,0)</x:f>
        <x:v>0</x:v>
      </x:c>
      <x:c r="M25" s="36" t="n">
        <x:f>IF(C25&lt;-I25,1,0)</x:f>
        <x:v>0</x:v>
      </x:c>
      <x:c r="N25" s="34" t="n">
        <x:f>-F25</x:f>
        <x:v>-1.6921866821799882</x:v>
      </x:c>
      <x:c r="O25" s="34" t="n">
        <x:f>-H25</x:f>
        <x:v>-1.6057654553912548</x:v>
      </x:c>
      <x:c r="P25" s="34" t="n">
        <x:f>-G25</x:f>
        <x:v>-2.3932919173274123</x:v>
      </x:c>
      <x:c r="Q25" s="34" t="n">
        <x:f>-I25</x:f>
        <x:v>-2.681468347995419</x:v>
      </x:c>
      <x:c r="R25" s="36" t="n">
        <x:f>YEAR(A25)</x:f>
        <x:v>2021</x:v>
      </x:c>
    </x:row>
    <x:row r="26">
      <x:c r="A26" s="30" t="n">
        <x:v>44225</x:v>
      </x:c>
      <x:c r="B26" s="38" t="n">
        <x:v>3714.24</x:v>
      </x:c>
      <x:c r="C26" s="34" t="n">
        <x:f>(B26/B25-1)*100</x:f>
        <x:v>-1.9311502938707092</x:v>
      </x:c>
      <x:c r="D26" s="34" t="n">
        <x:f>Assumptions!$B$4*D25+(1-Assumptions!$B$4)*C25^2</x:f>
        <x:v>1.0520404525470464</x:v>
      </x:c>
      <x:c r="E26" s="34" t="n">
        <x:f>SQRT(D26)</x:f>
        <x:v>1.0256902322568184</x:v>
      </x:c>
      <x:c r="F26" s="34" t="n">
        <x:f>-Assumptions!$B$7*E26</x:f>
        <x:v>1.6871102986563264</x:v>
      </x:c>
      <x:c r="G26" s="34" t="n">
        <x:f>-Assumptions!$B$8*E26</x:f>
        <x:v>2.386112291235105</x:v>
      </x:c>
      <x:c r="H26" s="34" t="n">
        <x:f>-Assumptions!$B$9*E26</x:f>
        <x:v>1.600948326532805</x:v>
      </x:c>
      <x:c r="I26" s="34" t="n">
        <x:f>-Assumptions!$B$10*E26</x:f>
        <x:v>2.673424222672645</x:v>
      </x:c>
      <x:c r="J26" s="36" t="n">
        <x:f>IF(C26&lt;-F26,1,0)</x:f>
        <x:v>1</x:v>
      </x:c>
      <x:c r="K26" s="36" t="n">
        <x:f>IF(C26&lt;-G26,1,0)</x:f>
        <x:v>0</x:v>
      </x:c>
      <x:c r="L26" s="36" t="n">
        <x:f>IF(C26&lt;-H26,1,0)</x:f>
        <x:v>1</x:v>
      </x:c>
      <x:c r="M26" s="36" t="n">
        <x:f>IF(C26&lt;-I26,1,0)</x:f>
        <x:v>0</x:v>
      </x:c>
      <x:c r="N26" s="34" t="n">
        <x:f>-F26</x:f>
        <x:v>-1.6871102986563264</x:v>
      </x:c>
      <x:c r="O26" s="34" t="n">
        <x:f>-H26</x:f>
        <x:v>-1.600948326532805</x:v>
      </x:c>
      <x:c r="P26" s="34" t="n">
        <x:f>-G26</x:f>
        <x:v>-2.386112291235105</x:v>
      </x:c>
      <x:c r="Q26" s="34" t="n">
        <x:f>-I26</x:f>
        <x:v>-2.673424222672645</x:v>
      </x:c>
      <x:c r="R26" s="36" t="n">
        <x:f>YEAR(A26)</x:f>
        <x:v>2021</x:v>
      </x:c>
    </x:row>
    <x:row r="27">
      <x:c r="A27" s="30" t="n">
        <x:v>44228</x:v>
      </x:c>
      <x:c r="B27" s="38" t="n">
        <x:v>3773.86</x:v>
      </x:c>
      <x:c r="C27" s="34" t="n">
        <x:f>(B27/B26-1)*100</x:f>
        <x:v>1.6051736021366558</x:v>
      </x:c>
      <x:c r="D27" s="34" t="n">
        <x:f>Assumptions!$B$4*D26+(1-Assumptions!$B$4)*C26^2</x:f>
        <x:v>1.2126785128452393</x:v>
      </x:c>
      <x:c r="E27" s="34" t="n">
        <x:f>SQRT(D27)</x:f>
        <x:v>1.101216832801442</x:v>
      </x:c>
      <x:c r="F27" s="34" t="n">
        <x:f>-Assumptions!$B$7*E27</x:f>
        <x:v>1.8113405014934656</x:v>
      </x:c>
      <x:c r="G27" s="34" t="n">
        <x:f>-Assumptions!$B$8*E27</x:f>
        <x:v>2.5618134378456223</x:v>
      </x:c>
      <x:c r="H27" s="34" t="n">
        <x:f>-Assumptions!$B$9*E27</x:f>
        <x:v>1.7188340009284557</x:v>
      </x:c>
      <x:c r="I27" s="34" t="n">
        <x:f>-Assumptions!$B$10*E27</x:f>
        <x:v>2.8702815554248993</x:v>
      </x:c>
      <x:c r="J27" s="36" t="n">
        <x:f>IF(C27&lt;-F27,1,0)</x:f>
        <x:v>0</x:v>
      </x:c>
      <x:c r="K27" s="36" t="n">
        <x:f>IF(C27&lt;-G27,1,0)</x:f>
        <x:v>0</x:v>
      </x:c>
      <x:c r="L27" s="36" t="n">
        <x:f>IF(C27&lt;-H27,1,0)</x:f>
        <x:v>0</x:v>
      </x:c>
      <x:c r="M27" s="36" t="n">
        <x:f>IF(C27&lt;-I27,1,0)</x:f>
        <x:v>0</x:v>
      </x:c>
      <x:c r="N27" s="34" t="n">
        <x:f>-F27</x:f>
        <x:v>-1.8113405014934656</x:v>
      </x:c>
      <x:c r="O27" s="34" t="n">
        <x:f>-H27</x:f>
        <x:v>-1.7188340009284557</x:v>
      </x:c>
      <x:c r="P27" s="34" t="n">
        <x:f>-G27</x:f>
        <x:v>-2.5618134378456223</x:v>
      </x:c>
      <x:c r="Q27" s="34" t="n">
        <x:f>-I27</x:f>
        <x:v>-2.8702815554248993</x:v>
      </x:c>
      <x:c r="R27" s="36" t="n">
        <x:f>YEAR(A27)</x:f>
        <x:v>2021</x:v>
      </x:c>
    </x:row>
    <x:row r="28">
      <x:c r="A28" s="30" t="n">
        <x:v>44229</x:v>
      </x:c>
      <x:c r="B28" s="38" t="n">
        <x:v>3826.31</x:v>
      </x:c>
      <x:c r="C28" s="34" t="n">
        <x:f>(B28/B27-1)*100</x:f>
        <x:v>1.3898236818535858</x:v>
      </x:c>
      <x:c r="D28" s="34" t="n">
        <x:f>Assumptions!$B$4*D27+(1-Assumptions!$B$4)*C27^2</x:f>
        <x:v>1.294512739654307</x:v>
      </x:c>
      <x:c r="E28" s="34" t="n">
        <x:f>SQRT(D28)</x:f>
        <x:v>1.137766557626962</x:v>
      </x:c>
      <x:c r="F28" s="34" t="n">
        <x:f>-Assumptions!$B$7*E28</x:f>
        <x:v>1.8714594489368004</x:v>
      </x:c>
      <x:c r="G28" s="34" t="n">
        <x:f>-Assumptions!$B$8*E28</x:f>
        <x:v>2.646840812490248</x:v>
      </x:c>
      <x:c r="H28" s="34" t="n">
        <x:f>-Assumptions!$B$9*E28</x:f>
        <x:v>1.7758826292125551</x:v>
      </x:c>
      <x:c r="I28" s="34" t="n">
        <x:f>-Assumptions!$B$10*E28</x:f>
        <x:v>2.9655470816116583</x:v>
      </x:c>
      <x:c r="J28" s="36" t="n">
        <x:f>IF(C28&lt;-F28,1,0)</x:f>
        <x:v>0</x:v>
      </x:c>
      <x:c r="K28" s="36" t="n">
        <x:f>IF(C28&lt;-G28,1,0)</x:f>
        <x:v>0</x:v>
      </x:c>
      <x:c r="L28" s="36" t="n">
        <x:f>IF(C28&lt;-H28,1,0)</x:f>
        <x:v>0</x:v>
      </x:c>
      <x:c r="M28" s="36" t="n">
        <x:f>IF(C28&lt;-I28,1,0)</x:f>
        <x:v>0</x:v>
      </x:c>
      <x:c r="N28" s="34" t="n">
        <x:f>-F28</x:f>
        <x:v>-1.8714594489368004</x:v>
      </x:c>
      <x:c r="O28" s="34" t="n">
        <x:f>-H28</x:f>
        <x:v>-1.7758826292125551</x:v>
      </x:c>
      <x:c r="P28" s="34" t="n">
        <x:f>-G28</x:f>
        <x:v>-2.646840812490248</x:v>
      </x:c>
      <x:c r="Q28" s="34" t="n">
        <x:f>-I28</x:f>
        <x:v>-2.9655470816116583</x:v>
      </x:c>
      <x:c r="R28" s="36" t="n">
        <x:f>YEAR(A28)</x:f>
        <x:v>2021</x:v>
      </x:c>
    </x:row>
    <x:row r="29">
      <x:c r="A29" s="30" t="n">
        <x:v>44230</x:v>
      </x:c>
      <x:c r="B29" s="38" t="n">
        <x:v>3830.17</x:v>
      </x:c>
      <x:c r="C29" s="34" t="n">
        <x:f>(B29/B28-1)*100</x:f>
        <x:v>0.10088048276277739</x:v>
      </x:c>
      <x:c r="D29" s="34" t="n">
        <x:f>Assumptions!$B$4*D28+(1-Assumptions!$B$4)*C28^2</x:f>
        <x:v>1.3327385672735121</x:v>
      </x:c>
      <x:c r="E29" s="34" t="n">
        <x:f>SQRT(D29)</x:f>
        <x:v>1.154442968393637</x:v>
      </x:c>
      <x:c r="F29" s="34" t="n">
        <x:f>-Assumptions!$B$7*E29</x:f>
        <x:v>1.8988897036708985</x:v>
      </x:c>
      <x:c r="G29" s="34" t="n">
        <x:f>-Assumptions!$B$8*E29</x:f>
        <x:v>2.6856359452239347</x:v>
      </x:c>
      <x:c r="H29" s="34" t="n">
        <x:f>-Assumptions!$B$9*E29</x:f>
        <x:v>1.8019120005274583</x:v>
      </x:c>
      <x:c r="I29" s="34" t="n">
        <x:f>-Assumptions!$B$10*E29</x:f>
        <x:v>3.009013538723931</x:v>
      </x:c>
      <x:c r="J29" s="36" t="n">
        <x:f>IF(C29&lt;-F29,1,0)</x:f>
        <x:v>0</x:v>
      </x:c>
      <x:c r="K29" s="36" t="n">
        <x:f>IF(C29&lt;-G29,1,0)</x:f>
        <x:v>0</x:v>
      </x:c>
      <x:c r="L29" s="36" t="n">
        <x:f>IF(C29&lt;-H29,1,0)</x:f>
        <x:v>0</x:v>
      </x:c>
      <x:c r="M29" s="36" t="n">
        <x:f>IF(C29&lt;-I29,1,0)</x:f>
        <x:v>0</x:v>
      </x:c>
      <x:c r="N29" s="34" t="n">
        <x:f>-F29</x:f>
        <x:v>-1.8988897036708985</x:v>
      </x:c>
      <x:c r="O29" s="34" t="n">
        <x:f>-H29</x:f>
        <x:v>-1.8019120005274583</x:v>
      </x:c>
      <x:c r="P29" s="34" t="n">
        <x:f>-G29</x:f>
        <x:v>-2.6856359452239347</x:v>
      </x:c>
      <x:c r="Q29" s="34" t="n">
        <x:f>-I29</x:f>
        <x:v>-3.009013538723931</x:v>
      </x:c>
      <x:c r="R29" s="36" t="n">
        <x:f>YEAR(A29)</x:f>
        <x:v>2021</x:v>
      </x:c>
    </x:row>
    <x:row r="30">
      <x:c r="A30" s="30" t="n">
        <x:v>44231</x:v>
      </x:c>
      <x:c r="B30" s="38" t="n">
        <x:v>3871.74</x:v>
      </x:c>
      <x:c r="C30" s="34" t="n">
        <x:f>(B30/B29-1)*100</x:f>
        <x:v>1.085330416143404</x:v>
      </x:c>
      <x:c r="D30" s="34" t="n">
        <x:f>Assumptions!$B$4*D29+(1-Assumptions!$B$4)*C29^2</x:f>
        <x:v>1.2533848655452484</x:v>
      </x:c>
      <x:c r="E30" s="34" t="n">
        <x:f>SQRT(D30)</x:f>
        <x:v>1.1195467232524279</x:v>
      </x:c>
      <x:c r="F30" s="34" t="n">
        <x:f>-Assumptions!$B$7*E30</x:f>
        <x:v>1.841490488283393</x:v>
      </x:c>
      <x:c r="G30" s="34" t="n">
        <x:f>-Assumptions!$B$8*E30</x:f>
        <x:v>2.6044551395276745</x:v>
      </x:c>
      <x:c r="H30" s="34" t="n">
        <x:f>-Assumptions!$B$9*E30</x:f>
        <x:v>1.7474442055693515</x:v>
      </x:c>
      <x:c r="I30" s="34" t="n">
        <x:f>-Assumptions!$B$10*E30</x:f>
        <x:v>2.9180577470951463</x:v>
      </x:c>
      <x:c r="J30" s="36" t="n">
        <x:f>IF(C30&lt;-F30,1,0)</x:f>
        <x:v>0</x:v>
      </x:c>
      <x:c r="K30" s="36" t="n">
        <x:f>IF(C30&lt;-G30,1,0)</x:f>
        <x:v>0</x:v>
      </x:c>
      <x:c r="L30" s="36" t="n">
        <x:f>IF(C30&lt;-H30,1,0)</x:f>
        <x:v>0</x:v>
      </x:c>
      <x:c r="M30" s="36" t="n">
        <x:f>IF(C30&lt;-I30,1,0)</x:f>
        <x:v>0</x:v>
      </x:c>
      <x:c r="N30" s="34" t="n">
        <x:f>-F30</x:f>
        <x:v>-1.841490488283393</x:v>
      </x:c>
      <x:c r="O30" s="34" t="n">
        <x:f>-H30</x:f>
        <x:v>-1.7474442055693515</x:v>
      </x:c>
      <x:c r="P30" s="34" t="n">
        <x:f>-G30</x:f>
        <x:v>-2.6044551395276745</x:v>
      </x:c>
      <x:c r="Q30" s="34" t="n">
        <x:f>-I30</x:f>
        <x:v>-2.9180577470951463</x:v>
      </x:c>
      <x:c r="R30" s="36" t="n">
        <x:f>YEAR(A30)</x:f>
        <x:v>2021</x:v>
      </x:c>
    </x:row>
    <x:row r="31">
      <x:c r="A31" s="30" t="n">
        <x:v>44232</x:v>
      </x:c>
      <x:c r="B31" s="38" t="n">
        <x:v>3886.83</x:v>
      </x:c>
      <x:c r="C31" s="34" t="n">
        <x:f>(B31/B30-1)*100</x:f>
        <x:v>0.3897472454245321</x:v>
      </x:c>
      <x:c r="D31" s="34" t="n">
        <x:f>Assumptions!$B$4*D30+(1-Assumptions!$B$4)*C30^2</x:f>
        <x:v>1.2488583003448945</x:v>
      </x:c>
      <x:c r="E31" s="34" t="n">
        <x:f>SQRT(D31)</x:f>
        <x:v>1.117523288502255</x:v>
      </x:c>
      <x:c r="F31" s="34" t="n">
        <x:f>-Assumptions!$B$7*E31</x:f>
        <x:v>1.8381622342956714</x:v>
      </x:c>
      <x:c r="G31" s="34" t="n">
        <x:f>-Assumptions!$B$8*E31</x:f>
        <x:v>2.5997479263983494</x:v>
      </x:c>
      <x:c r="H31" s="34" t="n">
        <x:f>-Assumptions!$B$9*E31</x:f>
        <x:v>1.7442859279770906</x:v>
      </x:c>
      <x:c r="I31" s="34" t="n">
        <x:f>-Assumptions!$B$10*E31</x:f>
        <x:v>2.9127837381361186</x:v>
      </x:c>
      <x:c r="J31" s="36" t="n">
        <x:f>IF(C31&lt;-F31,1,0)</x:f>
        <x:v>0</x:v>
      </x:c>
      <x:c r="K31" s="36" t="n">
        <x:f>IF(C31&lt;-G31,1,0)</x:f>
        <x:v>0</x:v>
      </x:c>
      <x:c r="L31" s="36" t="n">
        <x:f>IF(C31&lt;-H31,1,0)</x:f>
        <x:v>0</x:v>
      </x:c>
      <x:c r="M31" s="36" t="n">
        <x:f>IF(C31&lt;-I31,1,0)</x:f>
        <x:v>0</x:v>
      </x:c>
      <x:c r="N31" s="34" t="n">
        <x:f>-F31</x:f>
        <x:v>-1.8381622342956714</x:v>
      </x:c>
      <x:c r="O31" s="34" t="n">
        <x:f>-H31</x:f>
        <x:v>-1.7442859279770906</x:v>
      </x:c>
      <x:c r="P31" s="34" t="n">
        <x:f>-G31</x:f>
        <x:v>-2.5997479263983494</x:v>
      </x:c>
      <x:c r="Q31" s="34" t="n">
        <x:f>-I31</x:f>
        <x:v>-2.9127837381361186</x:v>
      </x:c>
      <x:c r="R31" s="36" t="n">
        <x:f>YEAR(A31)</x:f>
        <x:v>2021</x:v>
      </x:c>
    </x:row>
    <x:row r="32">
      <x:c r="A32" s="30" t="n">
        <x:v>44235</x:v>
      </x:c>
      <x:c r="B32" s="38" t="n">
        <x:v>3915.59</x:v>
      </x:c>
      <x:c r="C32" s="34" t="n">
        <x:f>(B32/B31-1)*100</x:f>
        <x:v>0.7399345996609075</x:v>
      </x:c>
      <x:c r="D32" s="34" t="n">
        <x:f>Assumptions!$B$4*D31+(1-Assumptions!$B$4)*C31^2</x:f>
        <x:v>1.1830409772431616</x:v>
      </x:c>
      <x:c r="E32" s="34" t="n">
        <x:f>SQRT(D32)</x:f>
        <x:v>1.0876768717055454</x:v>
      </x:c>
      <x:c r="F32" s="34" t="n">
        <x:f>-Assumptions!$B$7*E32</x:f>
        <x:v>1.789069247376098</x:v>
      </x:c>
      <x:c r="G32" s="34" t="n">
        <x:f>-Assumptions!$B$8*E32</x:f>
        <x:v>2.5303147781355873</x:v>
      </x:c>
      <x:c r="H32" s="34" t="n">
        <x:f>-Assumptions!$B$9*E32</x:f>
        <x:v>1.6977001562489566</x:v>
      </x:c>
      <x:c r="I32" s="34" t="n">
        <x:f>-Assumptions!$B$10*E32</x:f>
        <x:v>2.8349901401131157</x:v>
      </x:c>
      <x:c r="J32" s="36" t="n">
        <x:f>IF(C32&lt;-F32,1,0)</x:f>
        <x:v>0</x:v>
      </x:c>
      <x:c r="K32" s="36" t="n">
        <x:f>IF(C32&lt;-G32,1,0)</x:f>
        <x:v>0</x:v>
      </x:c>
      <x:c r="L32" s="36" t="n">
        <x:f>IF(C32&lt;-H32,1,0)</x:f>
        <x:v>0</x:v>
      </x:c>
      <x:c r="M32" s="36" t="n">
        <x:f>IF(C32&lt;-I32,1,0)</x:f>
        <x:v>0</x:v>
      </x:c>
      <x:c r="N32" s="34" t="n">
        <x:f>-F32</x:f>
        <x:v>-1.789069247376098</x:v>
      </x:c>
      <x:c r="O32" s="34" t="n">
        <x:f>-H32</x:f>
        <x:v>-1.6977001562489566</x:v>
      </x:c>
      <x:c r="P32" s="34" t="n">
        <x:f>-G32</x:f>
        <x:v>-2.5303147781355873</x:v>
      </x:c>
      <x:c r="Q32" s="34" t="n">
        <x:f>-I32</x:f>
        <x:v>-2.8349901401131157</x:v>
      </x:c>
      <x:c r="R32" s="36" t="n">
        <x:f>YEAR(A32)</x:f>
        <x:v>2021</x:v>
      </x:c>
    </x:row>
    <x:row r="33">
      <x:c r="A33" s="30" t="n">
        <x:v>44236</x:v>
      </x:c>
      <x:c r="B33" s="38" t="n">
        <x:v>3911.23</x:v>
      </x:c>
      <x:c r="C33" s="34" t="n">
        <x:f>(B33/B32-1)*100</x:f>
        <x:v>-0.11134975827398197</x:v>
      </x:c>
      <x:c r="D33" s="34" t="n">
        <x:f>Assumptions!$B$4*D32+(1-Assumptions!$B$4)*C32^2</x:f>
        <x:v>1.1449087113150926</x:v>
      </x:c>
      <x:c r="E33" s="34" t="n">
        <x:f>SQRT(D33)</x:f>
        <x:v>1.0700040707002438</x:v>
      </x:c>
      <x:c r="F33" s="34" t="n">
        <x:f>-Assumptions!$B$7*E33</x:f>
        <x:v>1.7600000765441364</x:v>
      </x:c>
      <x:c r="G33" s="34" t="n">
        <x:f>-Assumptions!$B$8*E33</x:f>
        <x:v>2.4892016950885574</x:v>
      </x:c>
      <x:c r="H33" s="34" t="n">
        <x:f>-Assumptions!$B$9*E33</x:f>
        <x:v>1.6701155694947947</x:v>
      </x:c>
      <x:c r="I33" s="34" t="n">
        <x:f>-Assumptions!$B$10*E33</x:f>
        <x:v>2.7889266281441176</x:v>
      </x:c>
      <x:c r="J33" s="36" t="n">
        <x:f>IF(C33&lt;-F33,1,0)</x:f>
        <x:v>0</x:v>
      </x:c>
      <x:c r="K33" s="36" t="n">
        <x:f>IF(C33&lt;-G33,1,0)</x:f>
        <x:v>0</x:v>
      </x:c>
      <x:c r="L33" s="36" t="n">
        <x:f>IF(C33&lt;-H33,1,0)</x:f>
        <x:v>0</x:v>
      </x:c>
      <x:c r="M33" s="36" t="n">
        <x:f>IF(C33&lt;-I33,1,0)</x:f>
        <x:v>0</x:v>
      </x:c>
      <x:c r="N33" s="34" t="n">
        <x:f>-F33</x:f>
        <x:v>-1.7600000765441364</x:v>
      </x:c>
      <x:c r="O33" s="34" t="n">
        <x:f>-H33</x:f>
        <x:v>-1.6701155694947947</x:v>
      </x:c>
      <x:c r="P33" s="34" t="n">
        <x:f>-G33</x:f>
        <x:v>-2.4892016950885574</x:v>
      </x:c>
      <x:c r="Q33" s="34" t="n">
        <x:f>-I33</x:f>
        <x:v>-2.7889266281441176</x:v>
      </x:c>
      <x:c r="R33" s="36" t="n">
        <x:f>YEAR(A33)</x:f>
        <x:v>2021</x:v>
      </x:c>
    </x:row>
    <x:row r="34">
      <x:c r="A34" s="30" t="n">
        <x:v>44237</x:v>
      </x:c>
      <x:c r="B34" s="38" t="n">
        <x:v>3909.88</x:v>
      </x:c>
      <x:c r="C34" s="34" t="n">
        <x:f>(B34/B33-1)*100</x:f>
        <x:v>-0.03451599624669788</x:v>
      </x:c>
      <x:c r="D34" s="34" t="n">
        <x:f>Assumptions!$B$4*D33+(1-Assumptions!$B$4)*C33^2</x:f>
        <x:v>1.0769581147562475</x:v>
      </x:c>
      <x:c r="E34" s="34" t="n">
        <x:f>SQRT(D34)</x:f>
        <x:v>1.037765924838664</x:v>
      </x:c>
      <x:c r="F34" s="34" t="n">
        <x:f>-Assumptions!$B$7*E34</x:f>
        <x:v>1.706973045397526</x:v>
      </x:c>
      <x:c r="G34" s="34" t="n">
        <x:f>-Assumptions!$B$8*E34</x:f>
        <x:v>2.4142045530004523</x:v>
      </x:c>
      <x:c r="H34" s="34" t="n">
        <x:f>-Assumptions!$B$9*E34</x:f>
        <x:v>1.6197966680911455</x:v>
      </x:c>
      <x:c r="I34" s="34" t="n">
        <x:f>-Assumptions!$B$10*E34</x:f>
        <x:v>2.7048990754484397</x:v>
      </x:c>
      <x:c r="J34" s="36" t="n">
        <x:f>IF(C34&lt;-F34,1,0)</x:f>
        <x:v>0</x:v>
      </x:c>
      <x:c r="K34" s="36" t="n">
        <x:f>IF(C34&lt;-G34,1,0)</x:f>
        <x:v>0</x:v>
      </x:c>
      <x:c r="L34" s="36" t="n">
        <x:f>IF(C34&lt;-H34,1,0)</x:f>
        <x:v>0</x:v>
      </x:c>
      <x:c r="M34" s="36" t="n">
        <x:f>IF(C34&lt;-I34,1,0)</x:f>
        <x:v>0</x:v>
      </x:c>
      <x:c r="N34" s="34" t="n">
        <x:f>-F34</x:f>
        <x:v>-1.706973045397526</x:v>
      </x:c>
      <x:c r="O34" s="34" t="n">
        <x:f>-H34</x:f>
        <x:v>-1.6197966680911455</x:v>
      </x:c>
      <x:c r="P34" s="34" t="n">
        <x:f>-G34</x:f>
        <x:v>-2.4142045530004523</x:v>
      </x:c>
      <x:c r="Q34" s="34" t="n">
        <x:f>-I34</x:f>
        <x:v>-2.7048990754484397</x:v>
      </x:c>
      <x:c r="R34" s="36" t="n">
        <x:f>YEAR(A34)</x:f>
        <x:v>2021</x:v>
      </x:c>
    </x:row>
    <x:row r="35">
      <x:c r="A35" s="30" t="n">
        <x:v>44238</x:v>
      </x:c>
      <x:c r="B35" s="38" t="n">
        <x:v>3916.38</x:v>
      </x:c>
      <x:c r="C35" s="34" t="n">
        <x:f>(B35/B34-1)*100</x:f>
        <x:v>0.16624551137118804</x:v>
      </x:c>
      <x:c r="D35" s="34" t="n">
        <x:f>Assumptions!$B$4*D34+(1-Assumptions!$B$4)*C34^2</x:f>
        <x:v>1.0124121091106868</x:v>
      </x:c>
      <x:c r="E35" s="34" t="n">
        <x:f>SQRT(D35)</x:f>
        <x:v>1.0061869155930656</x:v>
      </x:c>
      <x:c r="F35" s="34" t="n">
        <x:f>-Assumptions!$B$7*E35</x:f>
        <x:v>1.6550301975043695</x:v>
      </x:c>
      <x:c r="G35" s="34" t="n">
        <x:f>-Assumptions!$B$8*E35</x:f>
        <x:v>2.3407407919776384</x:v>
      </x:c>
      <x:c r="H35" s="34" t="n">
        <x:f>-Assumptions!$B$9*E35</x:f>
        <x:v>1.5705065798994446</x:v>
      </x:c>
      <x:c r="I35" s="34" t="n">
        <x:f>-Assumptions!$B$10*E35</x:f>
        <x:v>2.6225895383288083</x:v>
      </x:c>
      <x:c r="J35" s="36" t="n">
        <x:f>IF(C35&lt;-F35,1,0)</x:f>
        <x:v>0</x:v>
      </x:c>
      <x:c r="K35" s="36" t="n">
        <x:f>IF(C35&lt;-G35,1,0)</x:f>
        <x:v>0</x:v>
      </x:c>
      <x:c r="L35" s="36" t="n">
        <x:f>IF(C35&lt;-H35,1,0)</x:f>
        <x:v>0</x:v>
      </x:c>
      <x:c r="M35" s="36" t="n">
        <x:f>IF(C35&lt;-I35,1,0)</x:f>
        <x:v>0</x:v>
      </x:c>
      <x:c r="N35" s="34" t="n">
        <x:f>-F35</x:f>
        <x:v>-1.6550301975043695</x:v>
      </x:c>
      <x:c r="O35" s="34" t="n">
        <x:f>-H35</x:f>
        <x:v>-1.5705065798994446</x:v>
      </x:c>
      <x:c r="P35" s="34" t="n">
        <x:f>-G35</x:f>
        <x:v>-2.3407407919776384</x:v>
      </x:c>
      <x:c r="Q35" s="34" t="n">
        <x:f>-I35</x:f>
        <x:v>-2.6225895383288083</x:v>
      </x:c>
      <x:c r="R35" s="36" t="n">
        <x:f>YEAR(A35)</x:f>
        <x:v>2021</x:v>
      </x:c>
    </x:row>
    <x:row r="36">
      <x:c r="A36" s="30" t="n">
        <x:v>44239</x:v>
      </x:c>
      <x:c r="B36" s="38" t="n">
        <x:v>3934.83</x:v>
      </x:c>
      <x:c r="C36" s="34" t="n">
        <x:f>(B36/B35-1)*100</x:f>
        <x:v>0.47109831017417836</x:v>
      </x:c>
      <x:c r="D36" s="34" t="n">
        <x:f>Assumptions!$B$4*D35+(1-Assumptions!$B$4)*C35^2</x:f>
        <x:v>0.9533256367671096</x:v>
      </x:c>
      <x:c r="E36" s="34" t="n">
        <x:f>SQRT(D36)</x:f>
        <x:v>0.9763839597039218</x:v>
      </x:c>
      <x:c r="F36" s="34" t="n">
        <x:f>-Assumptions!$B$7*E36</x:f>
        <x:v>1.6060086974162364</x:v>
      </x:c>
      <x:c r="G36" s="34" t="n">
        <x:f>-Assumptions!$B$8*E36</x:f>
        <x:v>2.271408748904796</x:v>
      </x:c>
      <x:c r="H36" s="34" t="n">
        <x:f>-Assumptions!$B$9*E36</x:f>
        <x:v>1.523988644117339</x:v>
      </x:c>
      <x:c r="I36" s="34" t="n">
        <x:f>-Assumptions!$B$10*E36</x:f>
        <x:v>2.5449092195780185</x:v>
      </x:c>
      <x:c r="J36" s="36" t="n">
        <x:f>IF(C36&lt;-F36,1,0)</x:f>
        <x:v>0</x:v>
      </x:c>
      <x:c r="K36" s="36" t="n">
        <x:f>IF(C36&lt;-G36,1,0)</x:f>
        <x:v>0</x:v>
      </x:c>
      <x:c r="L36" s="36" t="n">
        <x:f>IF(C36&lt;-H36,1,0)</x:f>
        <x:v>0</x:v>
      </x:c>
      <x:c r="M36" s="36" t="n">
        <x:f>IF(C36&lt;-I36,1,0)</x:f>
        <x:v>0</x:v>
      </x:c>
      <x:c r="N36" s="34" t="n">
        <x:f>-F36</x:f>
        <x:v>-1.6060086974162364</x:v>
      </x:c>
      <x:c r="O36" s="34" t="n">
        <x:f>-H36</x:f>
        <x:v>-1.523988644117339</x:v>
      </x:c>
      <x:c r="P36" s="34" t="n">
        <x:f>-G36</x:f>
        <x:v>-2.271408748904796</x:v>
      </x:c>
      <x:c r="Q36" s="34" t="n">
        <x:f>-I36</x:f>
        <x:v>-2.5449092195780185</x:v>
      </x:c>
      <x:c r="R36" s="36" t="n">
        <x:f>YEAR(A36)</x:f>
        <x:v>2021</x:v>
      </x:c>
    </x:row>
    <x:row r="37">
      <x:c r="A37" s="30" t="n">
        <x:v>44243</x:v>
      </x:c>
      <x:c r="B37" s="38" t="n">
        <x:v>3932.59</x:v>
      </x:c>
      <x:c r="C37" s="34" t="n">
        <x:f>(B37/B36-1)*100</x:f>
        <x:v>-0.05692749114954987</x:v>
      </x:c>
      <x:c r="D37" s="34" t="n">
        <x:f>Assumptions!$B$4*D36+(1-Assumptions!$B$4)*C36^2</x:f>
        <x:v>0.9094421156320209</x:v>
      </x:c>
      <x:c r="E37" s="34" t="n">
        <x:f>SQRT(D37)</x:f>
        <x:v>0.9536467457250725</x:v>
      </x:c>
      <x:c r="F37" s="34" t="n">
        <x:f>-Assumptions!$B$7*E37</x:f>
        <x:v>1.5686093085363544</x:v>
      </x:c>
      <x:c r="G37" s="34" t="n">
        <x:f>-Assumptions!$B$8*E37</x:f>
        <x:v>2.218514079503488</x:v>
      </x:c>
      <x:c r="H37" s="34" t="n">
        <x:f>-Assumptions!$B$9*E37</x:f>
        <x:v>1.4884992697188288</x:v>
      </x:c>
      <x:c r="I37" s="34" t="n">
        <x:f>-Assumptions!$B$10*E37</x:f>
        <x:v>2.4856454996989674</x:v>
      </x:c>
      <x:c r="J37" s="36" t="n">
        <x:f>IF(C37&lt;-F37,1,0)</x:f>
        <x:v>0</x:v>
      </x:c>
      <x:c r="K37" s="36" t="n">
        <x:f>IF(C37&lt;-G37,1,0)</x:f>
        <x:v>0</x:v>
      </x:c>
      <x:c r="L37" s="36" t="n">
        <x:f>IF(C37&lt;-H37,1,0)</x:f>
        <x:v>0</x:v>
      </x:c>
      <x:c r="M37" s="36" t="n">
        <x:f>IF(C37&lt;-I37,1,0)</x:f>
        <x:v>0</x:v>
      </x:c>
      <x:c r="N37" s="34" t="n">
        <x:f>-F37</x:f>
        <x:v>-1.5686093085363544</x:v>
      </x:c>
      <x:c r="O37" s="34" t="n">
        <x:f>-H37</x:f>
        <x:v>-1.4884992697188288</x:v>
      </x:c>
      <x:c r="P37" s="34" t="n">
        <x:f>-G37</x:f>
        <x:v>-2.218514079503488</x:v>
      </x:c>
      <x:c r="Q37" s="34" t="n">
        <x:f>-I37</x:f>
        <x:v>-2.4856454996989674</x:v>
      </x:c>
      <x:c r="R37" s="36" t="n">
        <x:f>YEAR(A37)</x:f>
        <x:v>2021</x:v>
      </x:c>
    </x:row>
    <x:row r="38">
      <x:c r="A38" s="30" t="n">
        <x:v>44244</x:v>
      </x:c>
      <x:c r="B38" s="38" t="n">
        <x:v>3931.33</x:v>
      </x:c>
      <x:c r="C38" s="34" t="n">
        <x:f>(B38/B37-1)*100</x:f>
        <x:v>-0.03203995331321208</x:v>
      </x:c>
      <x:c r="D38" s="34" t="n">
        <x:f>Assumptions!$B$4*D37+(1-Assumptions!$B$4)*C37^2</x:f>
        <x:v>0.8550700330490145</x:v>
      </x:c>
      <x:c r="E38" s="34" t="n">
        <x:f>SQRT(D38)</x:f>
        <x:v>0.9246999692056956</x:v>
      </x:c>
      <x:c r="F38" s="34" t="n">
        <x:f>-Assumptions!$B$7*E38</x:f>
        <x:v>1.5209960981899038</x:v>
      </x:c>
      <x:c r="G38" s="34" t="n">
        <x:f>-Assumptions!$B$8*E38</x:f>
        <x:v>2.1511738074873006</x:v>
      </x:c>
      <x:c r="H38" s="34" t="n">
        <x:f>-Assumptions!$B$9*E38</x:f>
        <x:v>1.443317701278571</x:v>
      </x:c>
      <x:c r="I38" s="34" t="n">
        <x:f>-Assumptions!$B$10*E38</x:f>
        <x:v>2.41019678128335</x:v>
      </x:c>
      <x:c r="J38" s="36" t="n">
        <x:f>IF(C38&lt;-F38,1,0)</x:f>
        <x:v>0</x:v>
      </x:c>
      <x:c r="K38" s="36" t="n">
        <x:f>IF(C38&lt;-G38,1,0)</x:f>
        <x:v>0</x:v>
      </x:c>
      <x:c r="L38" s="36" t="n">
        <x:f>IF(C38&lt;-H38,1,0)</x:f>
        <x:v>0</x:v>
      </x:c>
      <x:c r="M38" s="36" t="n">
        <x:f>IF(C38&lt;-I38,1,0)</x:f>
        <x:v>0</x:v>
      </x:c>
      <x:c r="N38" s="34" t="n">
        <x:f>-F38</x:f>
        <x:v>-1.5209960981899038</x:v>
      </x:c>
      <x:c r="O38" s="34" t="n">
        <x:f>-H38</x:f>
        <x:v>-1.443317701278571</x:v>
      </x:c>
      <x:c r="P38" s="34" t="n">
        <x:f>-G38</x:f>
        <x:v>-2.1511738074873006</x:v>
      </x:c>
      <x:c r="Q38" s="34" t="n">
        <x:f>-I38</x:f>
        <x:v>-2.41019678128335</x:v>
      </x:c>
      <x:c r="R38" s="36" t="n">
        <x:f>YEAR(A38)</x:f>
        <x:v>2021</x:v>
      </x:c>
    </x:row>
    <x:row r="39">
      <x:c r="A39" s="30" t="n">
        <x:v>44245</x:v>
      </x:c>
      <x:c r="B39" s="38" t="n">
        <x:v>3913.97</x:v>
      </x:c>
      <x:c r="C39" s="34" t="n">
        <x:f>(B39/B38-1)*100</x:f>
        <x:v>-0.4415808390544673</x:v>
      </x:c>
      <x:c r="D39" s="34" t="n">
        <x:f>Assumptions!$B$4*D38+(1-Assumptions!$B$4)*C38^2</x:f>
        <x:v>0.8038274245825724</x:v>
      </x:c>
      <x:c r="E39" s="34" t="n">
        <x:f>SQRT(D39)</x:f>
        <x:v>0.8965642333835163</x:v>
      </x:c>
      <x:c r="F39" s="34" t="n">
        <x:f>-Assumptions!$B$7*E39</x:f>
        <x:v>1.4747169310758437</x:v>
      </x:c>
      <x:c r="G39" s="34" t="n">
        <x:f>-Assumptions!$B$8*E39</x:f>
        <x:v>2.085720298272799</x:v>
      </x:c>
      <x:c r="H39" s="34" t="n">
        <x:f>-Assumptions!$B$9*E39</x:f>
        <x:v>1.3994020454950724</x:v>
      </x:c>
      <x:c r="I39" s="34" t="n">
        <x:f>-Assumptions!$B$10*E39</x:f>
        <x:v>2.3368620108973346</x:v>
      </x:c>
      <x:c r="J39" s="36" t="n">
        <x:f>IF(C39&lt;-F39,1,0)</x:f>
        <x:v>0</x:v>
      </x:c>
      <x:c r="K39" s="36" t="n">
        <x:f>IF(C39&lt;-G39,1,0)</x:f>
        <x:v>0</x:v>
      </x:c>
      <x:c r="L39" s="36" t="n">
        <x:f>IF(C39&lt;-H39,1,0)</x:f>
        <x:v>0</x:v>
      </x:c>
      <x:c r="M39" s="36" t="n">
        <x:f>IF(C39&lt;-I39,1,0)</x:f>
        <x:v>0</x:v>
      </x:c>
      <x:c r="N39" s="34" t="n">
        <x:f>-F39</x:f>
        <x:v>-1.4747169310758437</x:v>
      </x:c>
      <x:c r="O39" s="34" t="n">
        <x:f>-H39</x:f>
        <x:v>-1.3994020454950724</x:v>
      </x:c>
      <x:c r="P39" s="34" t="n">
        <x:f>-G39</x:f>
        <x:v>-2.085720298272799</x:v>
      </x:c>
      <x:c r="Q39" s="34" t="n">
        <x:f>-I39</x:f>
        <x:v>-2.3368620108973346</x:v>
      </x:c>
      <x:c r="R39" s="36" t="n">
        <x:f>YEAR(A39)</x:f>
        <x:v>2021</x:v>
      </x:c>
    </x:row>
    <x:row r="40">
      <x:c r="A40" s="30" t="n">
        <x:v>44246</x:v>
      </x:c>
      <x:c r="B40" s="38" t="n">
        <x:v>3906.71</x:v>
      </x:c>
      <x:c r="C40" s="34" t="n">
        <x:f>(B40/B39-1)*100</x:f>
        <x:v>-0.18548941356217874</x:v>
      </x:c>
      <x:c r="D40" s="34" t="n">
        <x:f>Assumptions!$B$4*D39+(1-Assumptions!$B$4)*C39^2</x:f>
        <x:v>0.7672973973528209</x:v>
      </x:c>
      <x:c r="E40" s="34" t="n">
        <x:f>SQRT(D40)</x:f>
        <x:v>0.8759551343264225</x:v>
      </x:c>
      <x:c r="F40" s="34" t="n">
        <x:f>-Assumptions!$B$7*E40</x:f>
        <x:v>1.4408179797435805</x:v>
      </x:c>
      <x:c r="G40" s="34" t="n">
        <x:f>-Assumptions!$B$8*E40</x:f>
        <x:v>2.0377763644954316</x:v>
      </x:c>
      <x:c r="H40" s="34" t="n">
        <x:f>-Assumptions!$B$9*E40</x:f>
        <x:v>1.3672343387068284</x:v>
      </x:c>
      <x:c r="I40" s="34" t="n">
        <x:f>-Assumptions!$B$10*E40</x:f>
        <x:v>2.283145145030858</x:v>
      </x:c>
      <x:c r="J40" s="36" t="n">
        <x:f>IF(C40&lt;-F40,1,0)</x:f>
        <x:v>0</x:v>
      </x:c>
      <x:c r="K40" s="36" t="n">
        <x:f>IF(C40&lt;-G40,1,0)</x:f>
        <x:v>0</x:v>
      </x:c>
      <x:c r="L40" s="36" t="n">
        <x:f>IF(C40&lt;-H40,1,0)</x:f>
        <x:v>0</x:v>
      </x:c>
      <x:c r="M40" s="36" t="n">
        <x:f>IF(C40&lt;-I40,1,0)</x:f>
        <x:v>0</x:v>
      </x:c>
      <x:c r="N40" s="34" t="n">
        <x:f>-F40</x:f>
        <x:v>-1.4408179797435805</x:v>
      </x:c>
      <x:c r="O40" s="34" t="n">
        <x:f>-H40</x:f>
        <x:v>-1.3672343387068284</x:v>
      </x:c>
      <x:c r="P40" s="34" t="n">
        <x:f>-G40</x:f>
        <x:v>-2.0377763644954316</x:v>
      </x:c>
      <x:c r="Q40" s="34" t="n">
        <x:f>-I40</x:f>
        <x:v>-2.283145145030858</x:v>
      </x:c>
      <x:c r="R40" s="36" t="n">
        <x:f>YEAR(A40)</x:f>
        <x:v>2021</x:v>
      </x:c>
    </x:row>
    <x:row r="41">
      <x:c r="A41" s="30" t="n">
        <x:v>44249</x:v>
      </x:c>
      <x:c r="B41" s="38" t="n">
        <x:v>3876.5</x:v>
      </x:c>
      <x:c r="C41" s="34" t="n">
        <x:f>(B41/B40-1)*100</x:f>
        <x:v>-0.7732849379657014</x:v>
      </x:c>
      <x:c r="D41" s="34" t="n">
        <x:f>Assumptions!$B$4*D40+(1-Assumptions!$B$4)*C40^2</x:f>
        <x:v>0.7233239328642701</x:v>
      </x:c>
      <x:c r="E41" s="34" t="n">
        <x:f>SQRT(D41)</x:f>
        <x:v>0.8504845282921202</x:v>
      </x:c>
      <x:c r="F41" s="34" t="n">
        <x:f>-Assumptions!$B$7*E41</x:f>
        <x:v>1.3989225610274063</x:v>
      </x:c>
      <x:c r="G41" s="34" t="n">
        <x:f>-Assumptions!$B$8*E41</x:f>
        <x:v>1.9785228742970007</x:v>
      </x:c>
      <x:c r="H41" s="34" t="n">
        <x:f>-Assumptions!$B$9*E41</x:f>
        <x:v>1.3274785500447184</x:v>
      </x:c>
      <x:c r="I41" s="34" t="n">
        <x:f>-Assumptions!$B$10*E41</x:f>
        <x:v>2.216756938341564</x:v>
      </x:c>
      <x:c r="J41" s="36" t="n">
        <x:f>IF(C41&lt;-F41,1,0)</x:f>
        <x:v>0</x:v>
      </x:c>
      <x:c r="K41" s="36" t="n">
        <x:f>IF(C41&lt;-G41,1,0)</x:f>
        <x:v>0</x:v>
      </x:c>
      <x:c r="L41" s="36" t="n">
        <x:f>IF(C41&lt;-H41,1,0)</x:f>
        <x:v>0</x:v>
      </x:c>
      <x:c r="M41" s="36" t="n">
        <x:f>IF(C41&lt;-I41,1,0)</x:f>
        <x:v>0</x:v>
      </x:c>
      <x:c r="N41" s="34" t="n">
        <x:f>-F41</x:f>
        <x:v>-1.3989225610274063</x:v>
      </x:c>
      <x:c r="O41" s="34" t="n">
        <x:f>-H41</x:f>
        <x:v>-1.3274785500447184</x:v>
      </x:c>
      <x:c r="P41" s="34" t="n">
        <x:f>-G41</x:f>
        <x:v>-1.9785228742970007</x:v>
      </x:c>
      <x:c r="Q41" s="34" t="n">
        <x:f>-I41</x:f>
        <x:v>-2.216756938341564</x:v>
      </x:c>
      <x:c r="R41" s="36" t="n">
        <x:f>YEAR(A41)</x:f>
        <x:v>2021</x:v>
      </x:c>
    </x:row>
    <x:row r="42">
      <x:c r="A42" s="30" t="n">
        <x:v>44250</x:v>
      </x:c>
      <x:c r="B42" s="38" t="n">
        <x:v>3881.37</x:v>
      </x:c>
      <x:c r="C42" s="34" t="n">
        <x:f>(B42/B41-1)*100</x:f>
        <x:v>0.12562878885591378</x:v>
      </x:c>
      <x:c r="D42" s="34" t="n">
        <x:f>Assumptions!$B$4*D41+(1-Assumptions!$B$4)*C41^2</x:f>
        <x:v>0.715802672609491</x:v>
      </x:c>
      <x:c r="E42" s="34" t="n">
        <x:f>SQRT(D42)</x:f>
        <x:v>0.8460512233957771</x:v>
      </x:c>
      <x:c r="F42" s="34" t="n">
        <x:f>-Assumptions!$B$7*E42</x:f>
        <x:v>1.3916304233892747</x:v>
      </x:c>
      <x:c r="G42" s="34" t="n">
        <x:f>-Assumptions!$B$8*E42</x:f>
        <x:v>1.9682094648764181</x:v>
      </x:c>
      <x:c r="H42" s="34" t="n">
        <x:f>-Assumptions!$B$9*E42</x:f>
        <x:v>1.3205588272750148</x:v>
      </x:c>
      <x:c r="I42" s="34" t="n">
        <x:f>-Assumptions!$B$10*E42</x:f>
        <x:v>2.205201690642365</x:v>
      </x:c>
      <x:c r="J42" s="36" t="n">
        <x:f>IF(C42&lt;-F42,1,0)</x:f>
        <x:v>0</x:v>
      </x:c>
      <x:c r="K42" s="36" t="n">
        <x:f>IF(C42&lt;-G42,1,0)</x:f>
        <x:v>0</x:v>
      </x:c>
      <x:c r="L42" s="36" t="n">
        <x:f>IF(C42&lt;-H42,1,0)</x:f>
        <x:v>0</x:v>
      </x:c>
      <x:c r="M42" s="36" t="n">
        <x:f>IF(C42&lt;-I42,1,0)</x:f>
        <x:v>0</x:v>
      </x:c>
      <x:c r="N42" s="34" t="n">
        <x:f>-F42</x:f>
        <x:v>-1.3916304233892747</x:v>
      </x:c>
      <x:c r="O42" s="34" t="n">
        <x:f>-H42</x:f>
        <x:v>-1.3205588272750148</x:v>
      </x:c>
      <x:c r="P42" s="34" t="n">
        <x:f>-G42</x:f>
        <x:v>-1.9682094648764181</x:v>
      </x:c>
      <x:c r="Q42" s="34" t="n">
        <x:f>-I42</x:f>
        <x:v>-2.205201690642365</x:v>
      </x:c>
      <x:c r="R42" s="36" t="n">
        <x:f>YEAR(A42)</x:f>
        <x:v>2021</x:v>
      </x:c>
    </x:row>
    <x:row r="43">
      <x:c r="A43" s="30" t="n">
        <x:v>44251</x:v>
      </x:c>
      <x:c r="B43" s="38" t="n">
        <x:v>3925.43</x:v>
      </x:c>
      <x:c r="C43" s="34" t="n">
        <x:f>(B43/B42-1)*100</x:f>
        <x:v>1.135166191319037</x:v>
      </x:c>
      <x:c r="D43" s="34" t="n">
        <x:f>Assumptions!$B$4*D42+(1-Assumptions!$B$4)*C42^2</x:f>
        <x:v>0.6738014678082859</x:v>
      </x:c>
      <x:c r="E43" s="34" t="n">
        <x:f>SQRT(D43)</x:f>
        <x:v>0.8208541087235209</x:v>
      </x:c>
      <x:c r="F43" s="34" t="n">
        <x:f>-Assumptions!$B$7*E43</x:f>
        <x:v>1.350184857931902</x:v>
      </x:c>
      <x:c r="G43" s="34" t="n">
        <x:f>-Assumptions!$B$8*E43</x:f>
        <x:v>1.9095922107266516</x:v>
      </x:c>
      <x:c r="H43" s="34" t="n">
        <x:f>-Assumptions!$B$9*E43</x:f>
        <x:v>1.2812299175326987</x:v>
      </x:c>
      <x:c r="I43" s="34" t="n">
        <x:f>-Assumptions!$B$10*E43</x:f>
        <x:v>2.139526329224471</x:v>
      </x:c>
      <x:c r="J43" s="36" t="n">
        <x:f>IF(C43&lt;-F43,1,0)</x:f>
        <x:v>0</x:v>
      </x:c>
      <x:c r="K43" s="36" t="n">
        <x:f>IF(C43&lt;-G43,1,0)</x:f>
        <x:v>0</x:v>
      </x:c>
      <x:c r="L43" s="36" t="n">
        <x:f>IF(C43&lt;-H43,1,0)</x:f>
        <x:v>0</x:v>
      </x:c>
      <x:c r="M43" s="36" t="n">
        <x:f>IF(C43&lt;-I43,1,0)</x:f>
        <x:v>0</x:v>
      </x:c>
      <x:c r="N43" s="34" t="n">
        <x:f>-F43</x:f>
        <x:v>-1.350184857931902</x:v>
      </x:c>
      <x:c r="O43" s="34" t="n">
        <x:f>-H43</x:f>
        <x:v>-1.2812299175326987</x:v>
      </x:c>
      <x:c r="P43" s="34" t="n">
        <x:f>-G43</x:f>
        <x:v>-1.9095922107266516</x:v>
      </x:c>
      <x:c r="Q43" s="34" t="n">
        <x:f>-I43</x:f>
        <x:v>-2.139526329224471</x:v>
      </x:c>
      <x:c r="R43" s="36" t="n">
        <x:f>YEAR(A43)</x:f>
        <x:v>2021</x:v>
      </x:c>
    </x:row>
    <x:row r="44">
      <x:c r="A44" s="30" t="n">
        <x:v>44252</x:v>
      </x:c>
      <x:c r="B44" s="38" t="n">
        <x:v>3829.34</x:v>
      </x:c>
      <x:c r="C44" s="34" t="n">
        <x:f>(B44/B43-1)*100</x:f>
        <x:v>-2.4478846903396523</x:v>
      </x:c>
      <x:c r="D44" s="34" t="n">
        <x:f>Assumptions!$B$4*D43+(1-Assumptions!$B$4)*C43^2</x:f>
        <x:v>0.7106895166546149</x:v>
      </x:c>
      <x:c r="E44" s="34" t="n">
        <x:f>SQRT(D44)</x:f>
        <x:v>0.8430240308879783</x:v>
      </x:c>
      <x:c r="F44" s="34" t="n">
        <x:f>-Assumptions!$B$7*E44</x:f>
        <x:v>1.3866511348133415</x:v>
      </x:c>
      <x:c r="G44" s="34" t="n">
        <x:f>-Assumptions!$B$8*E44</x:f>
        <x:v>1.961167162021588</x:v>
      </x:c>
      <x:c r="H44" s="34" t="n">
        <x:f>-Assumptions!$B$9*E44</x:f>
        <x:v>1.315833834653422</x:v>
      </x:c>
      <x:c r="I44" s="34" t="n">
        <x:f>-Assumptions!$B$10*E44</x:f>
        <x:v>2.197311423656751</x:v>
      </x:c>
      <x:c r="J44" s="36" t="n">
        <x:f>IF(C44&lt;-F44,1,0)</x:f>
        <x:v>1</x:v>
      </x:c>
      <x:c r="K44" s="36" t="n">
        <x:f>IF(C44&lt;-G44,1,0)</x:f>
        <x:v>1</x:v>
      </x:c>
      <x:c r="L44" s="36" t="n">
        <x:f>IF(C44&lt;-H44,1,0)</x:f>
        <x:v>1</x:v>
      </x:c>
      <x:c r="M44" s="36" t="n">
        <x:f>IF(C44&lt;-I44,1,0)</x:f>
        <x:v>1</x:v>
      </x:c>
      <x:c r="N44" s="34" t="n">
        <x:f>-F44</x:f>
        <x:v>-1.3866511348133415</x:v>
      </x:c>
      <x:c r="O44" s="34" t="n">
        <x:f>-H44</x:f>
        <x:v>-1.315833834653422</x:v>
      </x:c>
      <x:c r="P44" s="34" t="n">
        <x:f>-G44</x:f>
        <x:v>-1.961167162021588</x:v>
      </x:c>
      <x:c r="Q44" s="34" t="n">
        <x:f>-I44</x:f>
        <x:v>-2.197311423656751</x:v>
      </x:c>
      <x:c r="R44" s="36" t="n">
        <x:f>YEAR(A44)</x:f>
        <x:v>2021</x:v>
      </x:c>
    </x:row>
    <x:row r="45">
      <x:c r="A45" s="30" t="n">
        <x:v>44253</x:v>
      </x:c>
      <x:c r="B45" s="38" t="n">
        <x:v>3811.15</x:v>
      </x:c>
      <x:c r="C45" s="34" t="n">
        <x:f>(B45/B44-1)*100</x:f>
        <x:v>-0.47501658249202716</x:v>
      </x:c>
      <x:c r="D45" s="34" t="n">
        <x:f>Assumptions!$B$4*D44+(1-Assumptions!$B$4)*C44^2</x:f>
        <x:v>1.0275765130872936</x:v>
      </x:c>
      <x:c r="E45" s="34" t="n">
        <x:f>SQRT(D45)</x:f>
        <x:v>1.0136944870557862</x:v>
      </x:c>
      <x:c r="F45" s="34" t="n">
        <x:f>-Assumptions!$B$7*E45</x:f>
        <x:v>1.6673790536544228</x:v>
      </x:c>
      <x:c r="G45" s="34" t="n">
        <x:f>-Assumptions!$B$8*E45</x:f>
        <x:v>2.3582060148891486</x:v>
      </x:c>
      <x:c r="H45" s="34" t="n">
        <x:f>-Assumptions!$B$9*E45</x:f>
        <x:v>1.582224770822568</x:v>
      </x:c>
      <x:c r="I45" s="34" t="n">
        <x:f>-Assumptions!$B$10*E45</x:f>
        <x:v>2.642157749832316</x:v>
      </x:c>
      <x:c r="J45" s="36" t="n">
        <x:f>IF(C45&lt;-F45,1,0)</x:f>
        <x:v>0</x:v>
      </x:c>
      <x:c r="K45" s="36" t="n">
        <x:f>IF(C45&lt;-G45,1,0)</x:f>
        <x:v>0</x:v>
      </x:c>
      <x:c r="L45" s="36" t="n">
        <x:f>IF(C45&lt;-H45,1,0)</x:f>
        <x:v>0</x:v>
      </x:c>
      <x:c r="M45" s="36" t="n">
        <x:f>IF(C45&lt;-I45,1,0)</x:f>
        <x:v>0</x:v>
      </x:c>
      <x:c r="N45" s="34" t="n">
        <x:f>-F45</x:f>
        <x:v>-1.6673790536544228</x:v>
      </x:c>
      <x:c r="O45" s="34" t="n">
        <x:f>-H45</x:f>
        <x:v>-1.582224770822568</x:v>
      </x:c>
      <x:c r="P45" s="34" t="n">
        <x:f>-G45</x:f>
        <x:v>-2.3582060148891486</x:v>
      </x:c>
      <x:c r="Q45" s="34" t="n">
        <x:f>-I45</x:f>
        <x:v>-2.642157749832316</x:v>
      </x:c>
      <x:c r="R45" s="36" t="n">
        <x:f>YEAR(A45)</x:f>
        <x:v>2021</x:v>
      </x:c>
    </x:row>
    <x:row r="46">
      <x:c r="A46" s="30" t="n">
        <x:v>44256</x:v>
      </x:c>
      <x:c r="B46" s="38" t="n">
        <x:v>3901.82</x:v>
      </x:c>
      <x:c r="C46" s="34" t="n">
        <x:f>(B46/B45-1)*100</x:f>
        <x:v>2.3790719336683086</x:v>
      </x:c>
      <x:c r="D46" s="34" t="n">
        <x:f>Assumptions!$B$4*D45+(1-Assumptions!$B$4)*C45^2</x:f>
        <x:v>0.9794603675206002</x:v>
      </x:c>
      <x:c r="E46" s="34" t="n">
        <x:f>SQRT(D46)</x:f>
        <x:v>0.9896769005693727</x:v>
      </x:c>
      <x:c r="F46" s="34" t="n">
        <x:f>-Assumptions!$B$7*E46</x:f>
        <x:v>1.6278736394116249</x:v>
      </x:c>
      <x:c r="G46" s="34" t="n">
        <x:f>-Assumptions!$B$8*E46</x:f>
        <x:v>2.3023327536268883</x:v>
      </x:c>
      <x:c r="H46" s="34" t="n">
        <x:f>-Assumptions!$B$9*E46</x:f>
        <x:v>1.5447369273357705</x:v>
      </x:c>
      <x:c r="I46" s="34" t="n">
        <x:f>-Assumptions!$B$10*E46</x:f>
        <x:v>2.579556785658528</x:v>
      </x:c>
      <x:c r="J46" s="36" t="n">
        <x:f>IF(C46&lt;-F46,1,0)</x:f>
        <x:v>0</x:v>
      </x:c>
      <x:c r="K46" s="36" t="n">
        <x:f>IF(C46&lt;-G46,1,0)</x:f>
        <x:v>0</x:v>
      </x:c>
      <x:c r="L46" s="36" t="n">
        <x:f>IF(C46&lt;-H46,1,0)</x:f>
        <x:v>0</x:v>
      </x:c>
      <x:c r="M46" s="36" t="n">
        <x:f>IF(C46&lt;-I46,1,0)</x:f>
        <x:v>0</x:v>
      </x:c>
      <x:c r="N46" s="34" t="n">
        <x:f>-F46</x:f>
        <x:v>-1.6278736394116249</x:v>
      </x:c>
      <x:c r="O46" s="34" t="n">
        <x:f>-H46</x:f>
        <x:v>-1.5447369273357705</x:v>
      </x:c>
      <x:c r="P46" s="34" t="n">
        <x:f>-G46</x:f>
        <x:v>-2.3023327536268883</x:v>
      </x:c>
      <x:c r="Q46" s="34" t="n">
        <x:f>-I46</x:f>
        <x:v>-2.579556785658528</x:v>
      </x:c>
      <x:c r="R46" s="36" t="n">
        <x:f>YEAR(A46)</x:f>
        <x:v>2021</x:v>
      </x:c>
    </x:row>
    <x:row r="47">
      <x:c r="A47" s="30" t="n">
        <x:v>44257</x:v>
      </x:c>
      <x:c r="B47" s="38" t="n">
        <x:v>3870.29</x:v>
      </x:c>
      <x:c r="C47" s="34" t="n">
        <x:f>(B47/B46-1)*100</x:f>
        <x:v>-0.8080844323930969</x:v>
      </x:c>
      <x:c r="D47" s="34" t="n">
        <x:f>Assumptions!$B$4*D46+(1-Assumptions!$B$4)*C46^2</x:f>
        <x:v>1.2602917414034602</x:v>
      </x:c>
      <x:c r="E47" s="34" t="n">
        <x:f>SQRT(D47)</x:f>
        <x:v>1.1226271604604354</x:v>
      </x:c>
      <x:c r="F47" s="34" t="n">
        <x:f>-Assumptions!$B$7*E47</x:f>
        <x:v>1.8465573565975804</x:v>
      </x:c>
      <x:c r="G47" s="34" t="n">
        <x:f>-Assumptions!$B$8*E47</x:f>
        <x:v>2.6116213080776394</x:v>
      </x:c>
      <x:c r="H47" s="34" t="n">
        <x:f>-Assumptions!$B$9*E47</x:f>
        <x:v>1.75225230516712</x:v>
      </x:c>
      <x:c r="I47" s="34" t="n">
        <x:f>-Assumptions!$B$10*E47</x:f>
        <x:v>2.926086794452056</x:v>
      </x:c>
      <x:c r="J47" s="36" t="n">
        <x:f>IF(C47&lt;-F47,1,0)</x:f>
        <x:v>0</x:v>
      </x:c>
      <x:c r="K47" s="36" t="n">
        <x:f>IF(C47&lt;-G47,1,0)</x:f>
        <x:v>0</x:v>
      </x:c>
      <x:c r="L47" s="36" t="n">
        <x:f>IF(C47&lt;-H47,1,0)</x:f>
        <x:v>0</x:v>
      </x:c>
      <x:c r="M47" s="36" t="n">
        <x:f>IF(C47&lt;-I47,1,0)</x:f>
        <x:v>0</x:v>
      </x:c>
      <x:c r="N47" s="34" t="n">
        <x:f>-F47</x:f>
        <x:v>-1.8465573565975804</x:v>
      </x:c>
      <x:c r="O47" s="34" t="n">
        <x:f>-H47</x:f>
        <x:v>-1.75225230516712</x:v>
      </x:c>
      <x:c r="P47" s="34" t="n">
        <x:f>-G47</x:f>
        <x:v>-2.6116213080776394</x:v>
      </x:c>
      <x:c r="Q47" s="34" t="n">
        <x:f>-I47</x:f>
        <x:v>-2.926086794452056</x:v>
      </x:c>
      <x:c r="R47" s="36" t="n">
        <x:f>YEAR(A47)</x:f>
        <x:v>2021</x:v>
      </x:c>
    </x:row>
    <x:row r="48">
      <x:c r="A48" s="30" t="n">
        <x:v>44258</x:v>
      </x:c>
      <x:c r="B48" s="38" t="n">
        <x:v>3819.72</x:v>
      </x:c>
      <x:c r="C48" s="34" t="n">
        <x:f>(B48/B47-1)*100</x:f>
        <x:v>-1.306620434127681</x:v>
      </x:c>
      <x:c r="D48" s="34" t="n">
        <x:f>Assumptions!$B$4*D47+(1-Assumptions!$B$4)*C47^2</x:f>
        <x:v>1.2238542639118168</x:v>
      </x:c>
      <x:c r="E48" s="34" t="n">
        <x:f>SQRT(D48)</x:f>
        <x:v>1.1062794691721514</x:v>
      </x:c>
      <x:c r="F48" s="34" t="n">
        <x:f>-Assumptions!$B$7*E48</x:f>
        <x:v>1.8196677972897632</x:v>
      </x:c>
      <x:c r="G48" s="34" t="n">
        <x:f>-Assumptions!$B$8*E48</x:f>
        <x:v>2.5735908912036636</x:v>
      </x:c>
      <x:c r="H48" s="34" t="n">
        <x:f>-Assumptions!$B$9*E48</x:f>
        <x:v>1.7267360155627356</x:v>
      </x:c>
      <x:c r="I48" s="34" t="n">
        <x:f>-Assumptions!$B$10*E48</x:f>
        <x:v>2.8834771326843787</x:v>
      </x:c>
      <x:c r="J48" s="36" t="n">
        <x:f>IF(C48&lt;-F48,1,0)</x:f>
        <x:v>0</x:v>
      </x:c>
      <x:c r="K48" s="36" t="n">
        <x:f>IF(C48&lt;-G48,1,0)</x:f>
        <x:v>0</x:v>
      </x:c>
      <x:c r="L48" s="36" t="n">
        <x:f>IF(C48&lt;-H48,1,0)</x:f>
        <x:v>0</x:v>
      </x:c>
      <x:c r="M48" s="36" t="n">
        <x:f>IF(C48&lt;-I48,1,0)</x:f>
        <x:v>0</x:v>
      </x:c>
      <x:c r="N48" s="34" t="n">
        <x:f>-F48</x:f>
        <x:v>-1.8196677972897632</x:v>
      </x:c>
      <x:c r="O48" s="34" t="n">
        <x:f>-H48</x:f>
        <x:v>-1.7267360155627356</x:v>
      </x:c>
      <x:c r="P48" s="34" t="n">
        <x:f>-G48</x:f>
        <x:v>-2.5735908912036636</x:v>
      </x:c>
      <x:c r="Q48" s="34" t="n">
        <x:f>-I48</x:f>
        <x:v>-2.8834771326843787</x:v>
      </x:c>
      <x:c r="R48" s="36" t="n">
        <x:f>YEAR(A48)</x:f>
        <x:v>2021</x:v>
      </x:c>
    </x:row>
    <x:row r="49">
      <x:c r="A49" s="30" t="n">
        <x:v>44259</x:v>
      </x:c>
      <x:c r="B49" s="38" t="n">
        <x:v>3768.47</x:v>
      </x:c>
      <x:c r="C49" s="34" t="n">
        <x:f>(B49/B48-1)*100</x:f>
        <x:v>-1.341721382719152</x:v>
      </x:c>
      <x:c r="D49" s="34" t="n">
        <x:f>Assumptions!$B$4*D48+(1-Assumptions!$B$4)*C48^2</x:f>
        <x:v>1.2528584256099085</x:v>
      </x:c>
      <x:c r="E49" s="34" t="n">
        <x:f>SQRT(D49)</x:f>
        <x:v>1.1193115855783449</x:v>
      </x:c>
      <x:c r="F49" s="34" t="n">
        <x:f>-Assumptions!$B$7*E49</x:f>
        <x:v>1.8411037212273444</x:v>
      </x:c>
      <x:c r="G49" s="34" t="n">
        <x:f>-Assumptions!$B$8*E49</x:f>
        <x:v>2.603908127499465</x:v>
      </x:c>
      <x:c r="H49" s="34" t="n">
        <x:f>-Assumptions!$B$9*E49</x:f>
        <x:v>1.747077190993226</x:v>
      </x:c>
      <x:c r="I49" s="34" t="n">
        <x:f>-Assumptions!$B$10*E49</x:f>
        <x:v>2.9174448693141293</x:v>
      </x:c>
      <x:c r="J49" s="36" t="n">
        <x:f>IF(C49&lt;-F49,1,0)</x:f>
        <x:v>0</x:v>
      </x:c>
      <x:c r="K49" s="36" t="n">
        <x:f>IF(C49&lt;-G49,1,0)</x:f>
        <x:v>0</x:v>
      </x:c>
      <x:c r="L49" s="36" t="n">
        <x:f>IF(C49&lt;-H49,1,0)</x:f>
        <x:v>0</x:v>
      </x:c>
      <x:c r="M49" s="36" t="n">
        <x:f>IF(C49&lt;-I49,1,0)</x:f>
        <x:v>0</x:v>
      </x:c>
      <x:c r="N49" s="34" t="n">
        <x:f>-F49</x:f>
        <x:v>-1.8411037212273444</x:v>
      </x:c>
      <x:c r="O49" s="34" t="n">
        <x:f>-H49</x:f>
        <x:v>-1.747077190993226</x:v>
      </x:c>
      <x:c r="P49" s="34" t="n">
        <x:f>-G49</x:f>
        <x:v>-2.603908127499465</x:v>
      </x:c>
      <x:c r="Q49" s="34" t="n">
        <x:f>-I49</x:f>
        <x:v>-2.9174448693141293</x:v>
      </x:c>
      <x:c r="R49" s="36" t="n">
        <x:f>YEAR(A49)</x:f>
        <x:v>2021</x:v>
      </x:c>
    </x:row>
    <x:row r="50">
      <x:c r="A50" s="30" t="n">
        <x:v>44260</x:v>
      </x:c>
      <x:c r="B50" s="38" t="n">
        <x:v>3841.94</x:v>
      </x:c>
      <x:c r="C50" s="34" t="n">
        <x:f>(B50/B49-1)*100</x:f>
        <x:v>1.9495975820425837</x:v>
      </x:c>
      <x:c r="D50" s="34" t="n">
        <x:f>Assumptions!$B$4*D49+(1-Assumptions!$B$4)*C49^2</x:f>
        <x:v>1.2856998962040616</x:v>
      </x:c>
      <x:c r="E50" s="34" t="n">
        <x:f>SQRT(D50)</x:f>
        <x:v>1.1338870738323379</x:v>
      </x:c>
      <x:c r="F50" s="34" t="n">
        <x:f>-Assumptions!$B$7*E50</x:f>
        <x:v>1.8650782659465135</x:v>
      </x:c>
      <x:c r="G50" s="34" t="n">
        <x:f>-Assumptions!$B$8*E50</x:f>
        <x:v>2.6378157836122487</x:v>
      </x:c>
      <x:c r="H50" s="34" t="n">
        <x:f>-Assumptions!$B$9*E50</x:f>
        <x:v>1.7698273379623413</x:v>
      </x:c>
      <x:c r="I50" s="34" t="n">
        <x:f>-Assumptions!$B$10*E50</x:f>
        <x:v>2.9554353484374096</x:v>
      </x:c>
      <x:c r="J50" s="36" t="n">
        <x:f>IF(C50&lt;-F50,1,0)</x:f>
        <x:v>0</x:v>
      </x:c>
      <x:c r="K50" s="36" t="n">
        <x:f>IF(C50&lt;-G50,1,0)</x:f>
        <x:v>0</x:v>
      </x:c>
      <x:c r="L50" s="36" t="n">
        <x:f>IF(C50&lt;-H50,1,0)</x:f>
        <x:v>0</x:v>
      </x:c>
      <x:c r="M50" s="36" t="n">
        <x:f>IF(C50&lt;-I50,1,0)</x:f>
        <x:v>0</x:v>
      </x:c>
      <x:c r="N50" s="34" t="n">
        <x:f>-F50</x:f>
        <x:v>-1.8650782659465135</x:v>
      </x:c>
      <x:c r="O50" s="34" t="n">
        <x:f>-H50</x:f>
        <x:v>-1.7698273379623413</x:v>
      </x:c>
      <x:c r="P50" s="34" t="n">
        <x:f>-G50</x:f>
        <x:v>-2.6378157836122487</x:v>
      </x:c>
      <x:c r="Q50" s="34" t="n">
        <x:f>-I50</x:f>
        <x:v>-2.9554353484374096</x:v>
      </x:c>
      <x:c r="R50" s="36" t="n">
        <x:f>YEAR(A50)</x:f>
        <x:v>2021</x:v>
      </x:c>
    </x:row>
    <x:row r="51">
      <x:c r="A51" s="30" t="n">
        <x:v>44263</x:v>
      </x:c>
      <x:c r="B51" s="38" t="n">
        <x:v>3821.35</x:v>
      </x:c>
      <x:c r="C51" s="34" t="n">
        <x:f>(B51/B50-1)*100</x:f>
        <x:v>-0.5359271617984662</x:v>
      </x:c>
      <x:c r="D51" s="34" t="n">
        <x:f>Assumptions!$B$4*D50+(1-Assumptions!$B$4)*C50^2</x:f>
        <x:v>1.4366137463461954</x:v>
      </x:c>
      <x:c r="E51" s="34" t="n">
        <x:f>SQRT(D51)</x:f>
        <x:v>1.1985882305221403</x:v>
      </x:c>
      <x:c r="F51" s="34" t="n">
        <x:f>-Assumptions!$B$7*E51</x:f>
        <x:v>1.9715021981956904</x:v>
      </x:c>
      <x:c r="G51" s="34" t="n">
        <x:f>-Assumptions!$B$8*E51</x:f>
        <x:v>2.7883331819255535</x:v>
      </x:c>
      <x:c r="H51" s="34" t="n">
        <x:f>-Assumptions!$B$9*E51</x:f>
        <x:v>1.8708161211930858</x:v>
      </x:c>
      <x:c r="I51" s="34" t="n">
        <x:f>-Assumptions!$B$10*E51</x:f>
        <x:v>3.1240765561720916</x:v>
      </x:c>
      <x:c r="J51" s="36" t="n">
        <x:f>IF(C51&lt;-F51,1,0)</x:f>
        <x:v>0</x:v>
      </x:c>
      <x:c r="K51" s="36" t="n">
        <x:f>IF(C51&lt;-G51,1,0)</x:f>
        <x:v>0</x:v>
      </x:c>
      <x:c r="L51" s="36" t="n">
        <x:f>IF(C51&lt;-H51,1,0)</x:f>
        <x:v>0</x:v>
      </x:c>
      <x:c r="M51" s="36" t="n">
        <x:f>IF(C51&lt;-I51,1,0)</x:f>
        <x:v>0</x:v>
      </x:c>
      <x:c r="N51" s="34" t="n">
        <x:f>-F51</x:f>
        <x:v>-1.9715021981956904</x:v>
      </x:c>
      <x:c r="O51" s="34" t="n">
        <x:f>-H51</x:f>
        <x:v>-1.8708161211930858</x:v>
      </x:c>
      <x:c r="P51" s="34" t="n">
        <x:f>-G51</x:f>
        <x:v>-2.7883331819255535</x:v>
      </x:c>
      <x:c r="Q51" s="34" t="n">
        <x:f>-I51</x:f>
        <x:v>-3.1240765561720916</x:v>
      </x:c>
      <x:c r="R51" s="36" t="n">
        <x:f>YEAR(A51)</x:f>
        <x:v>2021</x:v>
      </x:c>
    </x:row>
    <x:row r="52">
      <x:c r="A52" s="30" t="n">
        <x:v>44264</x:v>
      </x:c>
      <x:c r="B52" s="38" t="n">
        <x:v>3875.44</x:v>
      </x:c>
      <x:c r="C52" s="34" t="n">
        <x:f>(B52/B51-1)*100</x:f>
        <x:v>1.4154683554241432</x:v>
      </x:c>
      <x:c r="D52" s="34" t="n">
        <x:f>Assumptions!$B$4*D51+(1-Assumptions!$B$4)*C51^2</x:f>
        <x:v>1.3676499969306253</x:v>
      </x:c>
      <x:c r="E52" s="34" t="n">
        <x:f>SQRT(D52)</x:f>
        <x:v>1.1694656886504304</x:v>
      </x:c>
      <x:c r="F52" s="34" t="n">
        <x:f>-Assumptions!$B$7*E52</x:f>
        <x:v>1.9235998795719624</x:v>
      </x:c>
      <x:c r="G52" s="34" t="n">
        <x:f>-Assumptions!$B$8*E52</x:f>
        <x:v>2.7205840185556363</x:v>
      </x:c>
      <x:c r="H52" s="34" t="n">
        <x:f>-Assumptions!$B$9*E52</x:f>
        <x:v>1.8253602094493329</x:v>
      </x:c>
      <x:c r="I52" s="34" t="n">
        <x:f>-Assumptions!$B$10*E52</x:f>
        <x:v>3.0481697117690603</x:v>
      </x:c>
      <x:c r="J52" s="36" t="n">
        <x:f>IF(C52&lt;-F52,1,0)</x:f>
        <x:v>0</x:v>
      </x:c>
      <x:c r="K52" s="36" t="n">
        <x:f>IF(C52&lt;-G52,1,0)</x:f>
        <x:v>0</x:v>
      </x:c>
      <x:c r="L52" s="36" t="n">
        <x:f>IF(C52&lt;-H52,1,0)</x:f>
        <x:v>0</x:v>
      </x:c>
      <x:c r="M52" s="36" t="n">
        <x:f>IF(C52&lt;-I52,1,0)</x:f>
        <x:v>0</x:v>
      </x:c>
      <x:c r="N52" s="34" t="n">
        <x:f>-F52</x:f>
        <x:v>-1.9235998795719624</x:v>
      </x:c>
      <x:c r="O52" s="34" t="n">
        <x:f>-H52</x:f>
        <x:v>-1.8253602094493329</x:v>
      </x:c>
      <x:c r="P52" s="34" t="n">
        <x:f>-G52</x:f>
        <x:v>-2.7205840185556363</x:v>
      </x:c>
      <x:c r="Q52" s="34" t="n">
        <x:f>-I52</x:f>
        <x:v>-3.0481697117690603</x:v>
      </x:c>
      <x:c r="R52" s="36" t="n">
        <x:f>YEAR(A52)</x:f>
        <x:v>2021</x:v>
      </x:c>
    </x:row>
    <x:row r="53">
      <x:c r="A53" s="30" t="n">
        <x:v>44265</x:v>
      </x:c>
      <x:c r="B53" s="38" t="n">
        <x:v>3898.81</x:v>
      </x:c>
      <x:c r="C53" s="34" t="n">
        <x:f>(B53/B52-1)*100</x:f>
        <x:v>0.6030283013025661</x:v>
      </x:c>
      <x:c r="D53" s="34" t="n">
        <x:f>Assumptions!$B$4*D52+(1-Assumptions!$B$4)*C52^2</x:f>
        <x:v>1.4058040370272153</x:v>
      </x:c>
      <x:c r="E53" s="34" t="n">
        <x:f>SQRT(D53)</x:f>
        <x:v>1.1856660731534892</x:v>
      </x:c>
      <x:c r="F53" s="34" t="n">
        <x:f>-Assumptions!$B$7*E53</x:f>
        <x:v>1.950247140779827</x:v>
      </x:c>
      <x:c r="G53" s="34" t="n">
        <x:f>-Assumptions!$B$8*E53</x:f>
        <x:v>2.758271748602971</x:v>
      </x:c>
      <x:c r="H53" s="34" t="n">
        <x:f>-Assumptions!$B$9*E53</x:f>
        <x:v>1.8506465752971317</x:v>
      </x:c>
      <x:c r="I53" s="34" t="n">
        <x:f>-Assumptions!$B$10*E53</x:f>
        <x:v>3.0903954237676934</x:v>
      </x:c>
      <x:c r="J53" s="36" t="n">
        <x:f>IF(C53&lt;-F53,1,0)</x:f>
        <x:v>0</x:v>
      </x:c>
      <x:c r="K53" s="36" t="n">
        <x:f>IF(C53&lt;-G53,1,0)</x:f>
        <x:v>0</x:v>
      </x:c>
      <x:c r="L53" s="36" t="n">
        <x:f>IF(C53&lt;-H53,1,0)</x:f>
        <x:v>0</x:v>
      </x:c>
      <x:c r="M53" s="36" t="n">
        <x:f>IF(C53&lt;-I53,1,0)</x:f>
        <x:v>0</x:v>
      </x:c>
      <x:c r="N53" s="34" t="n">
        <x:f>-F53</x:f>
        <x:v>-1.950247140779827</x:v>
      </x:c>
      <x:c r="O53" s="34" t="n">
        <x:f>-H53</x:f>
        <x:v>-1.8506465752971317</x:v>
      </x:c>
      <x:c r="P53" s="34" t="n">
        <x:f>-G53</x:f>
        <x:v>-2.758271748602971</x:v>
      </x:c>
      <x:c r="Q53" s="34" t="n">
        <x:f>-I53</x:f>
        <x:v>-3.0903954237676934</x:v>
      </x:c>
      <x:c r="R53" s="36" t="n">
        <x:f>YEAR(A53)</x:f>
        <x:v>2021</x:v>
      </x:c>
    </x:row>
    <x:row r="54">
      <x:c r="A54" s="30" t="n">
        <x:v>44266</x:v>
      </x:c>
      <x:c r="B54" s="38" t="n">
        <x:v>3939.34</x:v>
      </x:c>
      <x:c r="C54" s="34" t="n">
        <x:f>(B54/B53-1)*100</x:f>
        <x:v>1.0395479646353678</x:v>
      </x:c>
      <x:c r="D54" s="34" t="n">
        <x:f>Assumptions!$B$4*D53+(1-Assumptions!$B$4)*C53^2</x:f>
        <x:v>1.3432743827358937</x:v>
      </x:c>
      <x:c r="E54" s="34" t="n">
        <x:f>SQRT(D54)</x:f>
        <x:v>1.1589971452664989</x:v>
      </x:c>
      <x:c r="F54" s="34" t="n">
        <x:f>-Assumptions!$B$7*E54</x:f>
        <x:v>1.9063806580180038</x:v>
      </x:c>
      <x:c r="G54" s="34" t="n">
        <x:f>-Assumptions!$B$8*E54</x:f>
        <x:v>2.6962305449101227</x:v>
      </x:c>
      <x:c r="H54" s="34" t="n">
        <x:f>-Assumptions!$B$9*E54</x:f>
        <x:v>1.8090203862896004</x:v>
      </x:c>
      <x:c r="I54" s="34" t="n">
        <x:f>-Assumptions!$B$10*E54</x:f>
        <x:v>3.020883834826347</x:v>
      </x:c>
      <x:c r="J54" s="36" t="n">
        <x:f>IF(C54&lt;-F54,1,0)</x:f>
        <x:v>0</x:v>
      </x:c>
      <x:c r="K54" s="36" t="n">
        <x:f>IF(C54&lt;-G54,1,0)</x:f>
        <x:v>0</x:v>
      </x:c>
      <x:c r="L54" s="36" t="n">
        <x:f>IF(C54&lt;-H54,1,0)</x:f>
        <x:v>0</x:v>
      </x:c>
      <x:c r="M54" s="36" t="n">
        <x:f>IF(C54&lt;-I54,1,0)</x:f>
        <x:v>0</x:v>
      </x:c>
      <x:c r="N54" s="34" t="n">
        <x:f>-F54</x:f>
        <x:v>-1.9063806580180038</x:v>
      </x:c>
      <x:c r="O54" s="34" t="n">
        <x:f>-H54</x:f>
        <x:v>-1.8090203862896004</x:v>
      </x:c>
      <x:c r="P54" s="34" t="n">
        <x:f>-G54</x:f>
        <x:v>-2.6962305449101227</x:v>
      </x:c>
      <x:c r="Q54" s="34" t="n">
        <x:f>-I54</x:f>
        <x:v>-3.020883834826347</x:v>
      </x:c>
      <x:c r="R54" s="36" t="n">
        <x:f>YEAR(A54)</x:f>
        <x:v>2021</x:v>
      </x:c>
    </x:row>
    <x:row r="55">
      <x:c r="A55" s="30" t="n">
        <x:v>44267</x:v>
      </x:c>
      <x:c r="B55" s="38" t="n">
        <x:v>3943.34</x:v>
      </x:c>
      <x:c r="C55" s="34" t="n">
        <x:f>(B55/B54-1)*100</x:f>
        <x:v>0.10153985185334946</x:v>
      </x:c>
      <x:c r="D55" s="34" t="n">
        <x:f>Assumptions!$B$4*D54+(1-Assumptions!$B$4)*C54^2</x:f>
        <x:v>1.3275175180183922</x:v>
      </x:c>
      <x:c r="E55" s="34" t="n">
        <x:f>SQRT(D55)</x:f>
        <x:v>1.1521794643276682</x:v>
      </x:c>
      <x:c r="F55" s="34" t="n">
        <x:f>-Assumptions!$B$7*E55</x:f>
        <x:v>1.89516657079837</x:v>
      </x:c>
      <x:c r="G55" s="34" t="n">
        <x:f>-Assumptions!$B$8*E55</x:f>
        <x:v>2.680370247352185</x:v>
      </x:c>
      <x:c r="H55" s="34" t="n">
        <x:f>-Assumptions!$B$9*E55</x:f>
        <x:v>1.798379010807414</x:v>
      </x:c>
      <x:c r="I55" s="34" t="n">
        <x:f>-Assumptions!$B$10*E55</x:f>
        <x:v>3.0031137978394296</x:v>
      </x:c>
      <x:c r="J55" s="36" t="n">
        <x:f>IF(C55&lt;-F55,1,0)</x:f>
        <x:v>0</x:v>
      </x:c>
      <x:c r="K55" s="36" t="n">
        <x:f>IF(C55&lt;-G55,1,0)</x:f>
        <x:v>0</x:v>
      </x:c>
      <x:c r="L55" s="36" t="n">
        <x:f>IF(C55&lt;-H55,1,0)</x:f>
        <x:v>0</x:v>
      </x:c>
      <x:c r="M55" s="36" t="n">
        <x:f>IF(C55&lt;-I55,1,0)</x:f>
        <x:v>0</x:v>
      </x:c>
      <x:c r="N55" s="34" t="n">
        <x:f>-F55</x:f>
        <x:v>-1.89516657079837</x:v>
      </x:c>
      <x:c r="O55" s="34" t="n">
        <x:f>-H55</x:f>
        <x:v>-1.798379010807414</x:v>
      </x:c>
      <x:c r="P55" s="34" t="n">
        <x:f>-G55</x:f>
        <x:v>-2.680370247352185</x:v>
      </x:c>
      <x:c r="Q55" s="34" t="n">
        <x:f>-I55</x:f>
        <x:v>-3.0031137978394296</x:v>
      </x:c>
      <x:c r="R55" s="36" t="n">
        <x:f>YEAR(A55)</x:f>
        <x:v>2021</x:v>
      </x:c>
    </x:row>
    <x:row r="56">
      <x:c r="A56" s="30" t="n">
        <x:v>44270</x:v>
      </x:c>
      <x:c r="B56" s="38" t="n">
        <x:v>3968.94</x:v>
      </x:c>
      <x:c r="C56" s="34" t="n">
        <x:f>(B56/B55-1)*100</x:f>
        <x:v>0.6491958593476621</x:v>
      </x:c>
      <x:c r="D56" s="34" t="n">
        <x:f>Assumptions!$B$4*D55+(1-Assumptions!$B$4)*C55^2</x:f>
        <x:v>1.2484850874281526</x:v>
      </x:c>
      <x:c r="E56" s="34" t="n">
        <x:f>SQRT(D56)</x:f>
        <x:v>1.11735629385982</x:v>
      </x:c>
      <x:c r="F56" s="34" t="n">
        <x:f>-Assumptions!$B$7*E56</x:f>
        <x:v>1.8378875525523808</x:v>
      </x:c>
      <x:c r="G56" s="34" t="n">
        <x:f>-Assumptions!$B$8*E56</x:f>
        <x:v>2.5993594387669448</x:v>
      </x:c>
      <x:c r="H56" s="34" t="n">
        <x:f>-Assumptions!$B$9*E56</x:f>
        <x:v>1.7440252744338098</x:v>
      </x:c>
      <x:c r="I56" s="34" t="n">
        <x:f>-Assumptions!$B$10*E56</x:f>
        <x:v>2.912348472684521</x:v>
      </x:c>
      <x:c r="J56" s="36" t="n">
        <x:f>IF(C56&lt;-F56,1,0)</x:f>
        <x:v>0</x:v>
      </x:c>
      <x:c r="K56" s="36" t="n">
        <x:f>IF(C56&lt;-G56,1,0)</x:f>
        <x:v>0</x:v>
      </x:c>
      <x:c r="L56" s="36" t="n">
        <x:f>IF(C56&lt;-H56,1,0)</x:f>
        <x:v>0</x:v>
      </x:c>
      <x:c r="M56" s="36" t="n">
        <x:f>IF(C56&lt;-I56,1,0)</x:f>
        <x:v>0</x:v>
      </x:c>
      <x:c r="N56" s="34" t="n">
        <x:f>-F56</x:f>
        <x:v>-1.8378875525523808</x:v>
      </x:c>
      <x:c r="O56" s="34" t="n">
        <x:f>-H56</x:f>
        <x:v>-1.7440252744338098</x:v>
      </x:c>
      <x:c r="P56" s="34" t="n">
        <x:f>-G56</x:f>
        <x:v>-2.5993594387669448</x:v>
      </x:c>
      <x:c r="Q56" s="34" t="n">
        <x:f>-I56</x:f>
        <x:v>-2.912348472684521</x:v>
      </x:c>
      <x:c r="R56" s="36" t="n">
        <x:f>YEAR(A56)</x:f>
        <x:v>2021</x:v>
      </x:c>
    </x:row>
    <x:row r="57">
      <x:c r="A57" s="30" t="n">
        <x:v>44271</x:v>
      </x:c>
      <x:c r="B57" s="38" t="n">
        <x:v>3962.71</x:v>
      </x:c>
      <x:c r="C57" s="34" t="n">
        <x:f>(B57/B56-1)*100</x:f>
        <x:v>-0.15696886322292825</x:v>
      </x:c>
      <x:c r="D57" s="34" t="n">
        <x:f>Assumptions!$B$4*D56+(1-Assumptions!$B$4)*C56^2</x:f>
        <x:v>1.1988632980101124</x:v>
      </x:c>
      <x:c r="E57" s="34" t="n">
        <x:f>SQRT(D57)</x:f>
        <x:v>1.094926160985348</x:v>
      </x:c>
      <x:c r="F57" s="34" t="n">
        <x:f>-Assumptions!$B$7*E57</x:f>
        <x:v>1.800993267140802</x:v>
      </x:c>
      <x:c r="G57" s="34" t="n">
        <x:f>-Assumptions!$B$8*E57</x:f>
        <x:v>2.547179146839963</x:v>
      </x:c>
      <x:c r="H57" s="34" t="n">
        <x:f>-Assumptions!$B$9*E57</x:f>
        <x:v>1.7090152074954876</x:v>
      </x:c>
      <x:c r="I57" s="34" t="n">
        <x:f>-Assumptions!$B$10*E57</x:f>
        <x:v>2.853885148516523</x:v>
      </x:c>
      <x:c r="J57" s="36" t="n">
        <x:f>IF(C57&lt;-F57,1,0)</x:f>
        <x:v>0</x:v>
      </x:c>
      <x:c r="K57" s="36" t="n">
        <x:f>IF(C57&lt;-G57,1,0)</x:f>
        <x:v>0</x:v>
      </x:c>
      <x:c r="L57" s="36" t="n">
        <x:f>IF(C57&lt;-H57,1,0)</x:f>
        <x:v>0</x:v>
      </x:c>
      <x:c r="M57" s="36" t="n">
        <x:f>IF(C57&lt;-I57,1,0)</x:f>
        <x:v>0</x:v>
      </x:c>
      <x:c r="N57" s="34" t="n">
        <x:f>-F57</x:f>
        <x:v>-1.800993267140802</x:v>
      </x:c>
      <x:c r="O57" s="34" t="n">
        <x:f>-H57</x:f>
        <x:v>-1.7090152074954876</x:v>
      </x:c>
      <x:c r="P57" s="34" t="n">
        <x:f>-G57</x:f>
        <x:v>-2.547179146839963</x:v>
      </x:c>
      <x:c r="Q57" s="34" t="n">
        <x:f>-I57</x:f>
        <x:v>-2.853885148516523</x:v>
      </x:c>
      <x:c r="R57" s="36" t="n">
        <x:f>YEAR(A57)</x:f>
        <x:v>2021</x:v>
      </x:c>
    </x:row>
    <x:row r="58">
      <x:c r="A58" s="30" t="n">
        <x:v>44272</x:v>
      </x:c>
      <x:c r="B58" s="38" t="n">
        <x:v>3974.12</x:v>
      </x:c>
      <x:c r="C58" s="34" t="n">
        <x:f>(B58/B57-1)*100</x:f>
        <x:v>0.28793426720601367</x:v>
      </x:c>
      <x:c r="D58" s="34" t="n">
        <x:f>Assumptions!$B$4*D57+(1-Assumptions!$B$4)*C57^2</x:f>
        <x:v>1.1284098535707954</x:v>
      </x:c>
      <x:c r="E58" s="34" t="n">
        <x:f>SQRT(D58)</x:f>
        <x:v>1.062266375995586</x:v>
      </x:c>
      <x:c r="F58" s="34" t="n">
        <x:f>-Assumptions!$B$7*E58</x:f>
        <x:v>1.7472727013449365</x:v>
      </x:c>
      <x:c r="G58" s="34" t="n">
        <x:f>-Assumptions!$B$8*E58</x:f>
        <x:v>2.4712011254623993</x:v>
      </x:c>
      <x:c r="H58" s="34" t="n">
        <x:f>-Assumptions!$B$9*E58</x:f>
        <x:v>1.6580381907706283</x:v>
      </x:c>
      <x:c r="I58" s="34" t="n">
        <x:f>-Assumptions!$B$10*E58</x:f>
        <x:v>2.768758608794296</x:v>
      </x:c>
      <x:c r="J58" s="36" t="n">
        <x:f>IF(C58&lt;-F58,1,0)</x:f>
        <x:v>0</x:v>
      </x:c>
      <x:c r="K58" s="36" t="n">
        <x:f>IF(C58&lt;-G58,1,0)</x:f>
        <x:v>0</x:v>
      </x:c>
      <x:c r="L58" s="36" t="n">
        <x:f>IF(C58&lt;-H58,1,0)</x:f>
        <x:v>0</x:v>
      </x:c>
      <x:c r="M58" s="36" t="n">
        <x:f>IF(C58&lt;-I58,1,0)</x:f>
        <x:v>0</x:v>
      </x:c>
      <x:c r="N58" s="34" t="n">
        <x:f>-F58</x:f>
        <x:v>-1.7472727013449365</x:v>
      </x:c>
      <x:c r="O58" s="34" t="n">
        <x:f>-H58</x:f>
        <x:v>-1.6580381907706283</x:v>
      </x:c>
      <x:c r="P58" s="34" t="n">
        <x:f>-G58</x:f>
        <x:v>-2.4712011254623993</x:v>
      </x:c>
      <x:c r="Q58" s="34" t="n">
        <x:f>-I58</x:f>
        <x:v>-2.768758608794296</x:v>
      </x:c>
      <x:c r="R58" s="36" t="n">
        <x:f>YEAR(A58)</x:f>
        <x:v>2021</x:v>
      </x:c>
    </x:row>
    <x:row r="59">
      <x:c r="A59" s="30" t="n">
        <x:v>44273</x:v>
      </x:c>
      <x:c r="B59" s="38" t="n">
        <x:v>3915.46</x:v>
      </x:c>
      <x:c r="C59" s="34" t="n">
        <x:f>(B59/B58-1)*100</x:f>
        <x:v>-1.4760500437832724</x:v>
      </x:c>
      <x:c r="D59" s="34" t="n">
        <x:f>Assumptions!$B$4*D58+(1-Assumptions!$B$4)*C58^2</x:f>
        <x:v>1.0656796308904355</x:v>
      </x:c>
      <x:c r="E59" s="34" t="n">
        <x:f>SQRT(D59)</x:f>
        <x:v>1.0323176017536635</x:v>
      </x:c>
      <x:c r="F59" s="34" t="n">
        <x:f>-Assumptions!$B$7*E59</x:f>
        <x:v>1.6980113514103596</x:v>
      </x:c>
      <x:c r="G59" s="34" t="n">
        <x:f>-Assumptions!$B$8*E59</x:f>
        <x:v>2.401529858174574</x:v>
      </x:c>
      <x:c r="H59" s="34" t="n">
        <x:f>-Assumptions!$B$9*E59</x:f>
        <x:v>1.6112926544513262</x:v>
      </x:c>
      <x:c r="I59" s="34" t="n">
        <x:f>-Assumptions!$B$10*E59</x:f>
        <x:v>2.6906982198194083</x:v>
      </x:c>
      <x:c r="J59" s="36" t="n">
        <x:f>IF(C59&lt;-F59,1,0)</x:f>
        <x:v>0</x:v>
      </x:c>
      <x:c r="K59" s="36" t="n">
        <x:f>IF(C59&lt;-G59,1,0)</x:f>
        <x:v>0</x:v>
      </x:c>
      <x:c r="L59" s="36" t="n">
        <x:f>IF(C59&lt;-H59,1,0)</x:f>
        <x:v>0</x:v>
      </x:c>
      <x:c r="M59" s="36" t="n">
        <x:f>IF(C59&lt;-I59,1,0)</x:f>
        <x:v>0</x:v>
      </x:c>
      <x:c r="N59" s="34" t="n">
        <x:f>-F59</x:f>
        <x:v>-1.6980113514103596</x:v>
      </x:c>
      <x:c r="O59" s="34" t="n">
        <x:f>-H59</x:f>
        <x:v>-1.6112926544513262</x:v>
      </x:c>
      <x:c r="P59" s="34" t="n">
        <x:f>-G59</x:f>
        <x:v>-2.401529858174574</x:v>
      </x:c>
      <x:c r="Q59" s="34" t="n">
        <x:f>-I59</x:f>
        <x:v>-2.6906982198194083</x:v>
      </x:c>
      <x:c r="R59" s="36" t="n">
        <x:f>YEAR(A59)</x:f>
        <x:v>2021</x:v>
      </x:c>
    </x:row>
    <x:row r="60">
      <x:c r="A60" s="30" t="n">
        <x:v>44274</x:v>
      </x:c>
      <x:c r="B60" s="38" t="n">
        <x:v>3913.1</x:v>
      </x:c>
      <x:c r="C60" s="34" t="n">
        <x:f>(B60/B59-1)*100</x:f>
        <x:v>-0.060273888636330764</x:v>
      </x:c>
      <x:c r="D60" s="34" t="n">
        <x:f>Assumptions!$B$4*D59+(1-Assumptions!$B$4)*C59^2</x:f>
        <x:v>1.1324622769421655</x:v>
      </x:c>
      <x:c r="E60" s="34" t="n">
        <x:f>SQRT(D60)</x:f>
        <x:v>1.0641721087033644</x:v>
      </x:c>
      <x:c r="F60" s="34" t="n">
        <x:f>-Assumptions!$B$7*E60</x:f>
        <x:v>1.750407352701326</x:v>
      </x:c>
      <x:c r="G60" s="34" t="n">
        <x:f>-Assumptions!$B$8*E60</x:f>
        <x:v>2.47563452269563</x:v>
      </x:c>
      <x:c r="H60" s="34" t="n">
        <x:f>-Assumptions!$B$9*E60</x:f>
        <x:v>1.6610127531612866</x:v>
      </x:c>
      <x:c r="I60" s="34" t="n">
        <x:f>-Assumptions!$B$10*E60</x:f>
        <x:v>2.773725831667916</x:v>
      </x:c>
      <x:c r="J60" s="36" t="n">
        <x:f>IF(C60&lt;-F60,1,0)</x:f>
        <x:v>0</x:v>
      </x:c>
      <x:c r="K60" s="36" t="n">
        <x:f>IF(C60&lt;-G60,1,0)</x:f>
        <x:v>0</x:v>
      </x:c>
      <x:c r="L60" s="36" t="n">
        <x:f>IF(C60&lt;-H60,1,0)</x:f>
        <x:v>0</x:v>
      </x:c>
      <x:c r="M60" s="36" t="n">
        <x:f>IF(C60&lt;-I60,1,0)</x:f>
        <x:v>0</x:v>
      </x:c>
      <x:c r="N60" s="34" t="n">
        <x:f>-F60</x:f>
        <x:v>-1.750407352701326</x:v>
      </x:c>
      <x:c r="O60" s="34" t="n">
        <x:f>-H60</x:f>
        <x:v>-1.6610127531612866</x:v>
      </x:c>
      <x:c r="P60" s="34" t="n">
        <x:f>-G60</x:f>
        <x:v>-2.47563452269563</x:v>
      </x:c>
      <x:c r="Q60" s="34" t="n">
        <x:f>-I60</x:f>
        <x:v>-2.773725831667916</x:v>
      </x:c>
      <x:c r="R60" s="36" t="n">
        <x:f>YEAR(A60)</x:f>
        <x:v>2021</x:v>
      </x:c>
    </x:row>
    <x:row r="61">
      <x:c r="A61" s="30" t="n">
        <x:v>44277</x:v>
      </x:c>
      <x:c r="B61" s="38" t="n">
        <x:v>3940.59</x:v>
      </x:c>
      <x:c r="C61" s="34" t="n">
        <x:f>(B61/B60-1)*100</x:f>
        <x:v>0.7025120748255897</x:v>
      </x:c>
      <x:c r="D61" s="34" t="n">
        <x:f>Assumptions!$B$4*D60+(1-Assumptions!$B$4)*C60^2</x:f>
        <x:v>1.0647325168247161</x:v>
      </x:c>
      <x:c r="E61" s="34" t="n">
        <x:f>SQRT(D61)</x:f>
        <x:v>1.0318587678673454</x:v>
      </x:c>
      <x:c r="F61" s="34" t="n">
        <x:f>-Assumptions!$B$7*E61</x:f>
        <x:v>1.697256636828281</x:v>
      </x:c>
      <x:c r="G61" s="34" t="n">
        <x:f>-Assumptions!$B$8*E61</x:f>
        <x:v>2.4004624509386</x:v>
      </x:c>
      <x:c r="H61" s="34" t="n">
        <x:f>-Assumptions!$B$9*E61</x:f>
        <x:v>1.6105764837017604</x:v>
      </x:c>
      <x:c r="I61" s="34" t="n">
        <x:f>-Assumptions!$B$10*E61</x:f>
        <x:v>2.6895022860108484</x:v>
      </x:c>
      <x:c r="J61" s="36" t="n">
        <x:f>IF(C61&lt;-F61,1,0)</x:f>
        <x:v>0</x:v>
      </x:c>
      <x:c r="K61" s="36" t="n">
        <x:f>IF(C61&lt;-G61,1,0)</x:f>
        <x:v>0</x:v>
      </x:c>
      <x:c r="L61" s="36" t="n">
        <x:f>IF(C61&lt;-H61,1,0)</x:f>
        <x:v>0</x:v>
      </x:c>
      <x:c r="M61" s="36" t="n">
        <x:f>IF(C61&lt;-I61,1,0)</x:f>
        <x:v>0</x:v>
      </x:c>
      <x:c r="N61" s="34" t="n">
        <x:f>-F61</x:f>
        <x:v>-1.697256636828281</x:v>
      </x:c>
      <x:c r="O61" s="34" t="n">
        <x:f>-H61</x:f>
        <x:v>-1.6105764837017604</x:v>
      </x:c>
      <x:c r="P61" s="34" t="n">
        <x:f>-G61</x:f>
        <x:v>-2.4004624509386</x:v>
      </x:c>
      <x:c r="Q61" s="34" t="n">
        <x:f>-I61</x:f>
        <x:v>-2.6895022860108484</x:v>
      </x:c>
      <x:c r="R61" s="36" t="n">
        <x:f>YEAR(A61)</x:f>
        <x:v>2021</x:v>
      </x:c>
    </x:row>
    <x:row r="62">
      <x:c r="A62" s="30" t="n">
        <x:v>44278</x:v>
      </x:c>
      <x:c r="B62" s="38" t="n">
        <x:v>3910.52</x:v>
      </x:c>
      <x:c r="C62" s="34" t="n">
        <x:f>(B62/B61-1)*100</x:f>
        <x:v>-0.7630837006641134</x:v>
      </x:c>
      <x:c r="D62" s="34" t="n">
        <x:f>Assumptions!$B$4*D61+(1-Assumptions!$B$4)*C61^2</x:f>
        <x:v>1.0304599587317784</x:v>
      </x:c>
      <x:c r="E62" s="34" t="n">
        <x:f>SQRT(D62)</x:f>
        <x:v>1.01511573661912</x:v>
      </x:c>
      <x:c r="F62" s="34" t="n">
        <x:f>-Assumptions!$B$7*E62</x:f>
        <x:v>1.6697168011534755</x:v>
      </x:c>
      <x:c r="G62" s="34" t="n">
        <x:f>-Assumptions!$B$8*E62</x:f>
        <x:v>2.3615123357892913</x:v>
      </x:c>
      <x:c r="H62" s="34" t="n">
        <x:f>-Assumptions!$B$9*E62</x:f>
        <x:v>1.5844431278259277</x:v>
      </x:c>
      <x:c r="I62" s="34" t="n">
        <x:f>-Assumptions!$B$10*E62</x:f>
        <x:v>2.645862185040516</x:v>
      </x:c>
      <x:c r="J62" s="36" t="n">
        <x:f>IF(C62&lt;-F62,1,0)</x:f>
        <x:v>0</x:v>
      </x:c>
      <x:c r="K62" s="36" t="n">
        <x:f>IF(C62&lt;-G62,1,0)</x:f>
        <x:v>0</x:v>
      </x:c>
      <x:c r="L62" s="36" t="n">
        <x:f>IF(C62&lt;-H62,1,0)</x:f>
        <x:v>0</x:v>
      </x:c>
      <x:c r="M62" s="36" t="n">
        <x:f>IF(C62&lt;-I62,1,0)</x:f>
        <x:v>0</x:v>
      </x:c>
      <x:c r="N62" s="34" t="n">
        <x:f>-F62</x:f>
        <x:v>-1.6697168011534755</x:v>
      </x:c>
      <x:c r="O62" s="34" t="n">
        <x:f>-H62</x:f>
        <x:v>-1.5844431278259277</x:v>
      </x:c>
      <x:c r="P62" s="34" t="n">
        <x:f>-G62</x:f>
        <x:v>-2.3615123357892913</x:v>
      </x:c>
      <x:c r="Q62" s="34" t="n">
        <x:f>-I62</x:f>
        <x:v>-2.645862185040516</x:v>
      </x:c>
      <x:c r="R62" s="36" t="n">
        <x:f>YEAR(A62)</x:f>
        <x:v>2021</x:v>
      </x:c>
    </x:row>
    <x:row r="63">
      <x:c r="A63" s="30" t="n">
        <x:v>44279</x:v>
      </x:c>
      <x:c r="B63" s="38" t="n">
        <x:v>3889.14</x:v>
      </x:c>
      <x:c r="C63" s="34" t="n">
        <x:f>(B63/B62-1)*100</x:f>
        <x:v>-0.5467303581109473</x:v>
      </x:c>
      <x:c r="D63" s="34" t="n">
        <x:f>Assumptions!$B$4*D62+(1-Assumptions!$B$4)*C62^2</x:f>
        <x:v>1.003570165261026</x:v>
      </x:c>
      <x:c r="E63" s="34" t="n">
        <x:f>SQRT(D63)</x:f>
        <x:v>1.0017834922082844</x:v>
      </x:c>
      <x:c r="F63" s="34" t="n">
        <x:f>-Assumptions!$B$7*E63</x:f>
        <x:v>1.6477872105789093</x:v>
      </x:c>
      <x:c r="G63" s="34" t="n">
        <x:f>-Assumptions!$B$8*E63</x:f>
        <x:v>2.330496897347951</x:v>
      </x:c>
      <x:c r="H63" s="34" t="n">
        <x:f>-Assumptions!$B$9*E63</x:f>
        <x:v>1.5636334976791242</x:v>
      </x:c>
      <x:c r="I63" s="34" t="n">
        <x:f>-Assumptions!$B$10*E63</x:f>
        <x:v>2.611112175700859</x:v>
      </x:c>
      <x:c r="J63" s="36" t="n">
        <x:f>IF(C63&lt;-F63,1,0)</x:f>
        <x:v>0</x:v>
      </x:c>
      <x:c r="K63" s="36" t="n">
        <x:f>IF(C63&lt;-G63,1,0)</x:f>
        <x:v>0</x:v>
      </x:c>
      <x:c r="L63" s="36" t="n">
        <x:f>IF(C63&lt;-H63,1,0)</x:f>
        <x:v>0</x:v>
      </x:c>
      <x:c r="M63" s="36" t="n">
        <x:f>IF(C63&lt;-I63,1,0)</x:f>
        <x:v>0</x:v>
      </x:c>
      <x:c r="N63" s="34" t="n">
        <x:f>-F63</x:f>
        <x:v>-1.6477872105789093</x:v>
      </x:c>
      <x:c r="O63" s="34" t="n">
        <x:f>-H63</x:f>
        <x:v>-1.5636334976791242</x:v>
      </x:c>
      <x:c r="P63" s="34" t="n">
        <x:f>-G63</x:f>
        <x:v>-2.330496897347951</x:v>
      </x:c>
      <x:c r="Q63" s="34" t="n">
        <x:f>-I63</x:f>
        <x:v>-2.611112175700859</x:v>
      </x:c>
      <x:c r="R63" s="36" t="n">
        <x:f>YEAR(A63)</x:f>
        <x:v>2021</x:v>
      </x:c>
    </x:row>
    <x:row r="64">
      <x:c r="A64" s="30" t="n">
        <x:v>44280</x:v>
      </x:c>
      <x:c r="B64" s="38" t="n">
        <x:v>3909.52</x:v>
      </x:c>
      <x:c r="C64" s="34" t="n">
        <x:f>(B64/B63-1)*100</x:f>
        <x:v>0.524023305923671</x:v>
      </x:c>
      <x:c r="D64" s="34" t="n">
        <x:f>Assumptions!$B$4*D63+(1-Assumptions!$B$4)*C63^2</x:f>
        <x:v>0.9612908004141719</x:v>
      </x:c>
      <x:c r="E64" s="34" t="n">
        <x:f>SQRT(D64)</x:f>
        <x:v>0.9804543846677274</x:v>
      </x:c>
      <x:c r="F64" s="34" t="n">
        <x:f>-Assumptions!$B$7*E64</x:f>
        <x:v>1.612703950681186</x:v>
      </x:c>
      <x:c r="G64" s="34" t="n">
        <x:f>-Assumptions!$B$8*E64</x:f>
        <x:v>2.280877973365788</x:v>
      </x:c>
      <x:c r="H64" s="34" t="n">
        <x:f>-Assumptions!$B$9*E64</x:f>
        <x:v>1.5303419658407444</x:v>
      </x:c>
      <x:c r="I64" s="34" t="n">
        <x:f>-Assumptions!$B$10*E64</x:f>
        <x:v>2.555518633953415</x:v>
      </x:c>
      <x:c r="J64" s="36" t="n">
        <x:f>IF(C64&lt;-F64,1,0)</x:f>
        <x:v>0</x:v>
      </x:c>
      <x:c r="K64" s="36" t="n">
        <x:f>IF(C64&lt;-G64,1,0)</x:f>
        <x:v>0</x:v>
      </x:c>
      <x:c r="L64" s="36" t="n">
        <x:f>IF(C64&lt;-H64,1,0)</x:f>
        <x:v>0</x:v>
      </x:c>
      <x:c r="M64" s="36" t="n">
        <x:f>IF(C64&lt;-I64,1,0)</x:f>
        <x:v>0</x:v>
      </x:c>
      <x:c r="N64" s="34" t="n">
        <x:f>-F64</x:f>
        <x:v>-1.612703950681186</x:v>
      </x:c>
      <x:c r="O64" s="34" t="n">
        <x:f>-H64</x:f>
        <x:v>-1.5303419658407444</x:v>
      </x:c>
      <x:c r="P64" s="34" t="n">
        <x:f>-G64</x:f>
        <x:v>-2.280877973365788</x:v>
      </x:c>
      <x:c r="Q64" s="34" t="n">
        <x:f>-I64</x:f>
        <x:v>-2.555518633953415</x:v>
      </x:c>
      <x:c r="R64" s="36" t="n">
        <x:f>YEAR(A64)</x:f>
        <x:v>2021</x:v>
      </x:c>
    </x:row>
    <x:row r="65">
      <x:c r="A65" s="30" t="n">
        <x:v>44281</x:v>
      </x:c>
      <x:c r="B65" s="38" t="n">
        <x:v>3974.54</x:v>
      </x:c>
      <x:c r="C65" s="34" t="n">
        <x:f>(B65/B64-1)*100</x:f>
        <x:v>1.6631197691788335</x:v>
      </x:c>
      <x:c r="D65" s="34" t="n">
        <x:f>Assumptions!$B$4*D64+(1-Assumptions!$B$4)*C64^2</x:f>
        <x:v>0.920089377898392</x:v>
      </x:c>
      <x:c r="E65" s="34" t="n">
        <x:f>SQRT(D65)</x:f>
        <x:v>0.9592128949812925</x:v>
      </x:c>
      <x:c r="F65" s="34" t="n">
        <x:f>-Assumptions!$B$7*E65</x:f>
        <x:v>1.5777648093286012</x:v>
      </x:c>
      <x:c r="G65" s="34" t="n">
        <x:f>-Assumptions!$B$8*E65</x:f>
        <x:v>2.2314628789922897</x:v>
      </x:c>
      <x:c r="H65" s="34" t="n">
        <x:f>-Assumptions!$B$9*E65</x:f>
        <x:v>1.4971871923066944</x:v>
      </x:c>
      <x:c r="I65" s="34" t="n">
        <x:f>-Assumptions!$B$10*E65</x:f>
        <x:v>2.5001534649506674</x:v>
      </x:c>
      <x:c r="J65" s="36" t="n">
        <x:f>IF(C65&lt;-F65,1,0)</x:f>
        <x:v>0</x:v>
      </x:c>
      <x:c r="K65" s="36" t="n">
        <x:f>IF(C65&lt;-G65,1,0)</x:f>
        <x:v>0</x:v>
      </x:c>
      <x:c r="L65" s="36" t="n">
        <x:f>IF(C65&lt;-H65,1,0)</x:f>
        <x:v>0</x:v>
      </x:c>
      <x:c r="M65" s="36" t="n">
        <x:f>IF(C65&lt;-I65,1,0)</x:f>
        <x:v>0</x:v>
      </x:c>
      <x:c r="N65" s="34" t="n">
        <x:f>-F65</x:f>
        <x:v>-1.5777648093286012</x:v>
      </x:c>
      <x:c r="O65" s="34" t="n">
        <x:f>-H65</x:f>
        <x:v>-1.4971871923066944</x:v>
      </x:c>
      <x:c r="P65" s="34" t="n">
        <x:f>-G65</x:f>
        <x:v>-2.2314628789922897</x:v>
      </x:c>
      <x:c r="Q65" s="34" t="n">
        <x:f>-I65</x:f>
        <x:v>-2.5001534649506674</x:v>
      </x:c>
      <x:c r="R65" s="36" t="n">
        <x:f>YEAR(A65)</x:f>
        <x:v>2021</x:v>
      </x:c>
    </x:row>
    <x:row r="66">
      <x:c r="A66" s="30" t="n">
        <x:v>44284</x:v>
      </x:c>
      <x:c r="B66" s="38" t="n">
        <x:v>3971.09</x:v>
      </x:c>
      <x:c r="C66" s="34" t="n">
        <x:f>(B66/B65-1)*100</x:f>
        <x:v>-0.08680249789911887</x:v>
      </x:c>
      <x:c r="D66" s="34" t="n">
        <x:f>Assumptions!$B$4*D65+(1-Assumptions!$B$4)*C65^2</x:f>
        <x:v>1.0308420572224959</x:v>
      </x:c>
      <x:c r="E66" s="34" t="n">
        <x:f>SQRT(D66)</x:f>
        <x:v>1.0153039235728856</x:v>
      </x:c>
      <x:c r="F66" s="34" t="n">
        <x:f>-Assumptions!$B$7*E66</x:f>
        <x:v>1.6700263411469218</x:v>
      </x:c>
      <x:c r="G66" s="34" t="n">
        <x:f>-Assumptions!$B$8*E66</x:f>
        <x:v>2.3619501241091063</x:v>
      </x:c>
      <x:c r="H66" s="34" t="n">
        <x:f>-Assumptions!$B$9*E66</x:f>
        <x:v>1.584736859382719</x:v>
      </x:c>
      <x:c r="I66" s="34" t="n">
        <x:f>-Assumptions!$B$10*E66</x:f>
        <x:v>2.646352687479524</x:v>
      </x:c>
      <x:c r="J66" s="36" t="n">
        <x:f>IF(C66&lt;-F66,1,0)</x:f>
        <x:v>0</x:v>
      </x:c>
      <x:c r="K66" s="36" t="n">
        <x:f>IF(C66&lt;-G66,1,0)</x:f>
        <x:v>0</x:v>
      </x:c>
      <x:c r="L66" s="36" t="n">
        <x:f>IF(C66&lt;-H66,1,0)</x:f>
        <x:v>0</x:v>
      </x:c>
      <x:c r="M66" s="36" t="n">
        <x:f>IF(C66&lt;-I66,1,0)</x:f>
        <x:v>0</x:v>
      </x:c>
      <x:c r="N66" s="34" t="n">
        <x:f>-F66</x:f>
        <x:v>-1.6700263411469218</x:v>
      </x:c>
      <x:c r="O66" s="34" t="n">
        <x:f>-H66</x:f>
        <x:v>-1.584736859382719</x:v>
      </x:c>
      <x:c r="P66" s="34" t="n">
        <x:f>-G66</x:f>
        <x:v>-2.3619501241091063</x:v>
      </x:c>
      <x:c r="Q66" s="34" t="n">
        <x:f>-I66</x:f>
        <x:v>-2.646352687479524</x:v>
      </x:c>
      <x:c r="R66" s="36" t="n">
        <x:f>YEAR(A66)</x:f>
        <x:v>2021</x:v>
      </x:c>
    </x:row>
    <x:row r="67">
      <x:c r="A67" s="30" t="n">
        <x:v>44285</x:v>
      </x:c>
      <x:c r="B67" s="38" t="n">
        <x:v>3958.55</x:v>
      </x:c>
      <x:c r="C67" s="34" t="n">
        <x:f>(B67/B66-1)*100</x:f>
        <x:v>-0.3157823166939022</x:v>
      </x:c>
      <x:c r="D67" s="34" t="n">
        <x:f>Assumptions!$B$4*D66+(1-Assumptions!$B$4)*C66^2</x:f>
        <x:v>0.9694436142076376</x:v>
      </x:c>
      <x:c r="E67" s="34" t="n">
        <x:f>SQRT(D67)</x:f>
        <x:v>0.9846032775730729</x:v>
      </x:c>
      <x:c r="F67" s="34" t="n">
        <x:f>-Assumptions!$B$7*E67</x:f>
        <x:v>1.6195282722243767</x:v>
      </x:c>
      <x:c r="G67" s="34" t="n">
        <x:f>-Assumptions!$B$8*E67</x:f>
        <x:v>2.2905297415557615</x:v>
      </x:c>
      <x:c r="H67" s="34" t="n">
        <x:f>-Assumptions!$B$9*E67</x:f>
        <x:v>1.5368177642298564</x:v>
      </x:c>
      <x:c r="I67" s="34" t="n">
        <x:f>-Assumptions!$B$10*E67</x:f>
        <x:v>2.56633257215971</x:v>
      </x:c>
      <x:c r="J67" s="36" t="n">
        <x:f>IF(C67&lt;-F67,1,0)</x:f>
        <x:v>0</x:v>
      </x:c>
      <x:c r="K67" s="36" t="n">
        <x:f>IF(C67&lt;-G67,1,0)</x:f>
        <x:v>0</x:v>
      </x:c>
      <x:c r="L67" s="36" t="n">
        <x:f>IF(C67&lt;-H67,1,0)</x:f>
        <x:v>0</x:v>
      </x:c>
      <x:c r="M67" s="36" t="n">
        <x:f>IF(C67&lt;-I67,1,0)</x:f>
        <x:v>0</x:v>
      </x:c>
      <x:c r="N67" s="34" t="n">
        <x:f>-F67</x:f>
        <x:v>-1.6195282722243767</x:v>
      </x:c>
      <x:c r="O67" s="34" t="n">
        <x:f>-H67</x:f>
        <x:v>-1.5368177642298564</x:v>
      </x:c>
      <x:c r="P67" s="34" t="n">
        <x:f>-G67</x:f>
        <x:v>-2.2905297415557615</x:v>
      </x:c>
      <x:c r="Q67" s="34" t="n">
        <x:f>-I67</x:f>
        <x:v>-2.56633257215971</x:v>
      </x:c>
      <x:c r="R67" s="36" t="n">
        <x:f>YEAR(A67)</x:f>
        <x:v>2021</x:v>
      </x:c>
    </x:row>
    <x:row r="68">
      <x:c r="A68" s="30" t="n">
        <x:v>44286</x:v>
      </x:c>
      <x:c r="B68" s="38" t="n">
        <x:v>3972.89</x:v>
      </x:c>
      <x:c r="C68" s="34" t="n">
        <x:f>(B68/B67-1)*100</x:f>
        <x:v>0.3622538555784205</x:v>
      </x:c>
      <x:c r="D68" s="34" t="n">
        <x:f>Assumptions!$B$4*D67+(1-Assumptions!$B$4)*C67^2</x:f>
        <x:v>0.9172601056473734</x:v>
      </x:c>
      <x:c r="E68" s="34" t="n">
        <x:f>SQRT(D68)</x:f>
        <x:v>0.9577369710141576</x:v>
      </x:c>
      <x:c r="F68" s="34" t="n">
        <x:f>-Assumptions!$B$7*E68</x:f>
        <x:v>1.5753371304381547</x:v>
      </x:c>
      <x:c r="G68" s="34" t="n">
        <x:f>-Assumptions!$B$8*E68</x:f>
        <x:v>2.2280293664090993</x:v>
      </x:c>
      <x:c r="H68" s="34" t="n">
        <x:f>-Assumptions!$B$9*E68</x:f>
        <x:v>1.4948834967746865</x:v>
      </x:c>
      <x:c r="I68" s="34" t="n">
        <x:f>-Assumptions!$B$10*E68</x:f>
        <x:v>2.496306522900844</x:v>
      </x:c>
      <x:c r="J68" s="36" t="n">
        <x:f>IF(C68&lt;-F68,1,0)</x:f>
        <x:v>0</x:v>
      </x:c>
      <x:c r="K68" s="36" t="n">
        <x:f>IF(C68&lt;-G68,1,0)</x:f>
        <x:v>0</x:v>
      </x:c>
      <x:c r="L68" s="36" t="n">
        <x:f>IF(C68&lt;-H68,1,0)</x:f>
        <x:v>0</x:v>
      </x:c>
      <x:c r="M68" s="36" t="n">
        <x:f>IF(C68&lt;-I68,1,0)</x:f>
        <x:v>0</x:v>
      </x:c>
      <x:c r="N68" s="34" t="n">
        <x:f>-F68</x:f>
        <x:v>-1.5753371304381547</x:v>
      </x:c>
      <x:c r="O68" s="34" t="n">
        <x:f>-H68</x:f>
        <x:v>-1.4948834967746865</x:v>
      </x:c>
      <x:c r="P68" s="34" t="n">
        <x:f>-G68</x:f>
        <x:v>-2.2280293664090993</x:v>
      </x:c>
      <x:c r="Q68" s="34" t="n">
        <x:f>-I68</x:f>
        <x:v>-2.496306522900844</x:v>
      </x:c>
      <x:c r="R68" s="36" t="n">
        <x:f>YEAR(A68)</x:f>
        <x:v>2021</x:v>
      </x:c>
    </x:row>
    <x:row r="69">
      <x:c r="A69" s="30" t="n">
        <x:v>44287</x:v>
      </x:c>
      <x:c r="B69" s="38" t="n">
        <x:v>4019.87</x:v>
      </x:c>
      <x:c r="C69" s="34" t="n">
        <x:f>(B69/B68-1)*100</x:f>
        <x:v>1.1825144919693331</x:v>
      </x:c>
      <x:c r="D69" s="34" t="n">
        <x:f>Assumptions!$B$4*D68+(1-Assumptions!$B$4)*C68^2</x:f>
        <x:v>0.8700981706614168</x:v>
      </x:c>
      <x:c r="E69" s="34" t="n">
        <x:f>SQRT(D69)</x:f>
        <x:v>0.9327905288227453</x:v>
      </x:c>
      <x:c r="F69" s="34" t="n">
        <x:f>-Assumptions!$B$7*E69</x:f>
        <x:v>1.534303884520075</x:v>
      </x:c>
      <x:c r="G69" s="34" t="n">
        <x:f>-Assumptions!$B$8*E69</x:f>
        <x:v>2.1699952636522246</x:v>
      </x:c>
      <x:c r="H69" s="34" t="n">
        <x:f>-Assumptions!$B$9*E69</x:f>
        <x:v>1.4559458491075017</x:v>
      </x:c>
      <x:c r="I69" s="34" t="n">
        <x:f>-Assumptions!$B$10*E69</x:f>
        <x:v>2.4312845301718293</x:v>
      </x:c>
      <x:c r="J69" s="36" t="n">
        <x:f>IF(C69&lt;-F69,1,0)</x:f>
        <x:v>0</x:v>
      </x:c>
      <x:c r="K69" s="36" t="n">
        <x:f>IF(C69&lt;-G69,1,0)</x:f>
        <x:v>0</x:v>
      </x:c>
      <x:c r="L69" s="36" t="n">
        <x:f>IF(C69&lt;-H69,1,0)</x:f>
        <x:v>0</x:v>
      </x:c>
      <x:c r="M69" s="36" t="n">
        <x:f>IF(C69&lt;-I69,1,0)</x:f>
        <x:v>0</x:v>
      </x:c>
      <x:c r="N69" s="34" t="n">
        <x:f>-F69</x:f>
        <x:v>-1.534303884520075</x:v>
      </x:c>
      <x:c r="O69" s="34" t="n">
        <x:f>-H69</x:f>
        <x:v>-1.4559458491075017</x:v>
      </x:c>
      <x:c r="P69" s="34" t="n">
        <x:f>-G69</x:f>
        <x:v>-2.1699952636522246</x:v>
      </x:c>
      <x:c r="Q69" s="34" t="n">
        <x:f>-I69</x:f>
        <x:v>-2.4312845301718293</x:v>
      </x:c>
      <x:c r="R69" s="36" t="n">
        <x:f>YEAR(A69)</x:f>
        <x:v>2021</x:v>
      </x:c>
    </x:row>
    <x:row r="70">
      <x:c r="A70" s="30" t="n">
        <x:v>44291</x:v>
      </x:c>
      <x:c r="B70" s="38" t="n">
        <x:v>4077.91</x:v>
      </x:c>
      <x:c r="C70" s="34" t="n">
        <x:f>(B70/B69-1)*100</x:f>
        <x:v>1.4438277854756487</x:v>
      </x:c>
      <x:c r="D70" s="34" t="n">
        <x:f>Assumptions!$B$4*D69+(1-Assumptions!$B$4)*C69^2</x:f>
        <x:v>0.9017927118447813</x:v>
      </x:c>
      <x:c r="E70" s="34" t="n">
        <x:f>SQRT(D70)</x:f>
        <x:v>0.9496276701132825</x:v>
      </x:c>
      <x:c r="F70" s="34" t="n">
        <x:f>-Assumptions!$B$7*E70</x:f>
        <x:v>1.5619985174393096</x:v>
      </x:c>
      <x:c r="G70" s="34" t="n">
        <x:f>-Assumptions!$B$8*E70</x:f>
        <x:v>2.2091643114983914</x:v>
      </x:c>
      <x:c r="H70" s="34" t="n">
        <x:f>-Assumptions!$B$9*E70</x:f>
        <x:v>1.4822260966178755</x:v>
      </x:c>
      <x:c r="I70" s="34" t="n">
        <x:f>-Assumptions!$B$10*E70</x:f>
        <x:v>2.4751699255388524</x:v>
      </x:c>
      <x:c r="J70" s="36" t="n">
        <x:f>IF(C70&lt;-F70,1,0)</x:f>
        <x:v>0</x:v>
      </x:c>
      <x:c r="K70" s="36" t="n">
        <x:f>IF(C70&lt;-G70,1,0)</x:f>
        <x:v>0</x:v>
      </x:c>
      <x:c r="L70" s="36" t="n">
        <x:f>IF(C70&lt;-H70,1,0)</x:f>
        <x:v>0</x:v>
      </x:c>
      <x:c r="M70" s="36" t="n">
        <x:f>IF(C70&lt;-I70,1,0)</x:f>
        <x:v>0</x:v>
      </x:c>
      <x:c r="N70" s="34" t="n">
        <x:f>-F70</x:f>
        <x:v>-1.5619985174393096</x:v>
      </x:c>
      <x:c r="O70" s="34" t="n">
        <x:f>-H70</x:f>
        <x:v>-1.4822260966178755</x:v>
      </x:c>
      <x:c r="P70" s="34" t="n">
        <x:f>-G70</x:f>
        <x:v>-2.2091643114983914</x:v>
      </x:c>
      <x:c r="Q70" s="34" t="n">
        <x:f>-I70</x:f>
        <x:v>-2.4751699255388524</x:v>
      </x:c>
      <x:c r="R70" s="36" t="n">
        <x:f>YEAR(A70)</x:f>
        <x:v>2021</x:v>
      </x:c>
    </x:row>
    <x:row r="71">
      <x:c r="A71" s="30" t="n">
        <x:v>44292</x:v>
      </x:c>
      <x:c r="B71" s="38" t="n">
        <x:v>4073.94</x:v>
      </x:c>
      <x:c r="C71" s="34" t="n">
        <x:f>(B71/B70-1)*100</x:f>
        <x:v>-0.09735379152555623</x:v>
      </x:c>
      <x:c r="D71" s="34" t="n">
        <x:f>Assumptions!$B$4*D70+(1-Assumptions!$B$4)*C70^2</x:f>
        <x:v>0.9727634695807854</x:v>
      </x:c>
      <x:c r="E71" s="34" t="n">
        <x:f>SQRT(D71)</x:f>
        <x:v>0.9862877214995558</x:v>
      </x:c>
      <x:c r="F71" s="34" t="n">
        <x:f>-Assumptions!$B$7*E71</x:f>
        <x:v>1.6222989359262485</x:v>
      </x:c>
      <x:c r="G71" s="34" t="n">
        <x:f>-Assumptions!$B$8*E71</x:f>
        <x:v>2.294448344103076</x:v>
      </x:c>
      <x:c r="H71" s="34" t="n">
        <x:f>-Assumptions!$B$9*E71</x:f>
        <x:v>1.5394469280850174</x:v>
      </x:c>
      <x:c r="I71" s="34" t="n">
        <x:f>-Assumptions!$B$10*E71</x:f>
        <x:v>2.5707230138868233</x:v>
      </x:c>
      <x:c r="J71" s="36" t="n">
        <x:f>IF(C71&lt;-F71,1,0)</x:f>
        <x:v>0</x:v>
      </x:c>
      <x:c r="K71" s="36" t="n">
        <x:f>IF(C71&lt;-G71,1,0)</x:f>
        <x:v>0</x:v>
      </x:c>
      <x:c r="L71" s="36" t="n">
        <x:f>IF(C71&lt;-H71,1,0)</x:f>
        <x:v>0</x:v>
      </x:c>
      <x:c r="M71" s="36" t="n">
        <x:f>IF(C71&lt;-I71,1,0)</x:f>
        <x:v>0</x:v>
      </x:c>
      <x:c r="N71" s="34" t="n">
        <x:f>-F71</x:f>
        <x:v>-1.6222989359262485</x:v>
      </x:c>
      <x:c r="O71" s="34" t="n">
        <x:f>-H71</x:f>
        <x:v>-1.5394469280850174</x:v>
      </x:c>
      <x:c r="P71" s="34" t="n">
        <x:f>-G71</x:f>
        <x:v>-2.294448344103076</x:v>
      </x:c>
      <x:c r="Q71" s="34" t="n">
        <x:f>-I71</x:f>
        <x:v>-2.5707230138868233</x:v>
      </x:c>
      <x:c r="R71" s="36" t="n">
        <x:f>YEAR(A71)</x:f>
        <x:v>2021</x:v>
      </x:c>
    </x:row>
    <x:row r="72">
      <x:c r="A72" s="30" t="n">
        <x:v>44293</x:v>
      </x:c>
      <x:c r="B72" s="38" t="n">
        <x:v>4079.95</x:v>
      </x:c>
      <x:c r="C72" s="34" t="n">
        <x:f>(B72/B71-1)*100</x:f>
        <x:v>0.14752303666720756</x:v>
      </x:c>
      <x:c r="D72" s="34" t="n">
        <x:f>Assumptions!$B$4*D71+(1-Assumptions!$B$4)*C71^2</x:f>
        <x:v>0.9149663270494024</x:v>
      </x:c>
      <x:c r="E72" s="34" t="n">
        <x:f>SQRT(D72)</x:f>
        <x:v>0.9565387221902741</x:v>
      </x:c>
      <x:c r="F72" s="34" t="n">
        <x:f>-Assumptions!$B$7*E72</x:f>
        <x:v>1.5733661865141997</x:v>
      </x:c>
      <x:c r="G72" s="34" t="n">
        <x:f>-Assumptions!$B$8*E72</x:f>
        <x:v>2.2252418228050863</x:v>
      </x:c>
      <x:c r="H72" s="34" t="n">
        <x:f>-Assumptions!$B$9*E72</x:f>
        <x:v>1.4930132104162552</x:v>
      </x:c>
      <x:c r="I72" s="34" t="n">
        <x:f>-Assumptions!$B$10*E72</x:f>
        <x:v>2.4931833309957105</x:v>
      </x:c>
      <x:c r="J72" s="36" t="n">
        <x:f>IF(C72&lt;-F72,1,0)</x:f>
        <x:v>0</x:v>
      </x:c>
      <x:c r="K72" s="36" t="n">
        <x:f>IF(C72&lt;-G72,1,0)</x:f>
        <x:v>0</x:v>
      </x:c>
      <x:c r="L72" s="36" t="n">
        <x:f>IF(C72&lt;-H72,1,0)</x:f>
        <x:v>0</x:v>
      </x:c>
      <x:c r="M72" s="36" t="n">
        <x:f>IF(C72&lt;-I72,1,0)</x:f>
        <x:v>0</x:v>
      </x:c>
      <x:c r="N72" s="34" t="n">
        <x:f>-F72</x:f>
        <x:v>-1.5733661865141997</x:v>
      </x:c>
      <x:c r="O72" s="34" t="n">
        <x:f>-H72</x:f>
        <x:v>-1.4930132104162552</x:v>
      </x:c>
      <x:c r="P72" s="34" t="n">
        <x:f>-G72</x:f>
        <x:v>-2.2252418228050863</x:v>
      </x:c>
      <x:c r="Q72" s="34" t="n">
        <x:f>-I72</x:f>
        <x:v>-2.4931833309957105</x:v>
      </x:c>
      <x:c r="R72" s="36" t="n">
        <x:f>YEAR(A72)</x:f>
        <x:v>2021</x:v>
      </x:c>
    </x:row>
    <x:row r="73">
      <x:c r="A73" s="30" t="n">
        <x:v>44294</x:v>
      </x:c>
      <x:c r="B73" s="38" t="n">
        <x:v>4097.17</x:v>
      </x:c>
      <x:c r="C73" s="34" t="n">
        <x:f>(B73/B72-1)*100</x:f>
        <x:v>0.4220639958823158</x:v>
      </x:c>
      <x:c r="D73" s="34" t="n">
        <x:f>Assumptions!$B$4*D72+(1-Assumptions!$B$4)*C72^2</x:f>
        <x:v>0.861374130207289</x:v>
      </x:c>
      <x:c r="E73" s="34" t="n">
        <x:f>SQRT(D73)</x:f>
        <x:v>0.9281024351909055</x:v>
      </x:c>
      <x:c r="F73" s="34" t="n">
        <x:f>-Assumptions!$B$7*E73</x:f>
        <x:v>1.5265926567062553</x:v>
      </x:c>
      <x:c r="G73" s="34" t="n">
        <x:f>-Assumptions!$B$8*E73</x:f>
        <x:v>2.1590891269984898</x:v>
      </x:c>
      <x:c r="H73" s="34" t="n">
        <x:f>-Assumptions!$B$9*E73</x:f>
        <x:v>1.4486284394076854</x:v>
      </x:c>
      <x:c r="I73" s="34" t="n">
        <x:f>-Assumptions!$B$10*E73</x:f>
        <x:v>2.419065184915961</x:v>
      </x:c>
      <x:c r="J73" s="36" t="n">
        <x:f>IF(C73&lt;-F73,1,0)</x:f>
        <x:v>0</x:v>
      </x:c>
      <x:c r="K73" s="36" t="n">
        <x:f>IF(C73&lt;-G73,1,0)</x:f>
        <x:v>0</x:v>
      </x:c>
      <x:c r="L73" s="36" t="n">
        <x:f>IF(C73&lt;-H73,1,0)</x:f>
        <x:v>0</x:v>
      </x:c>
      <x:c r="M73" s="36" t="n">
        <x:f>IF(C73&lt;-I73,1,0)</x:f>
        <x:v>0</x:v>
      </x:c>
      <x:c r="N73" s="34" t="n">
        <x:f>-F73</x:f>
        <x:v>-1.5265926567062553</x:v>
      </x:c>
      <x:c r="O73" s="34" t="n">
        <x:f>-H73</x:f>
        <x:v>-1.4486284394076854</x:v>
      </x:c>
      <x:c r="P73" s="34" t="n">
        <x:f>-G73</x:f>
        <x:v>-2.1590891269984898</x:v>
      </x:c>
      <x:c r="Q73" s="34" t="n">
        <x:f>-I73</x:f>
        <x:v>-2.419065184915961</x:v>
      </x:c>
      <x:c r="R73" s="36" t="n">
        <x:f>YEAR(A73)</x:f>
        <x:v>2021</x:v>
      </x:c>
    </x:row>
    <x:row r="74">
      <x:c r="A74" s="30" t="n">
        <x:v>44295</x:v>
      </x:c>
      <x:c r="B74" s="38" t="n">
        <x:v>4128.8</x:v>
      </x:c>
      <x:c r="C74" s="34" t="n">
        <x:f>(B74/B73-1)*100</x:f>
        <x:v>0.7719962803593772</x:v>
      </x:c>
      <x:c r="D74" s="34" t="n">
        <x:f>Assumptions!$B$4*D73+(1-Assumptions!$B$4)*C73^2</x:f>
        <x:v>0.8203799633920605</x:v>
      </x:c>
      <x:c r="E74" s="34" t="n">
        <x:f>SQRT(D74)</x:f>
        <x:v>0.9057482892018403</x:v>
      </x:c>
      <x:c r="F74" s="34" t="n">
        <x:f>-Assumptions!$B$7*E74</x:f>
        <x:v>1.4898233585987386</x:v>
      </x:c>
      <x:c r="G74" s="34" t="n">
        <x:f>-Assumptions!$B$8*E74</x:f>
        <x:v>2.1070856070008293</x:v>
      </x:c>
      <x:c r="H74" s="34" t="n">
        <x:f>-Assumptions!$B$9*E74</x:f>
        <x:v>1.4137369765792636</x:v>
      </x:c>
      <x:c r="I74" s="34" t="n">
        <x:f>-Assumptions!$B$10*E74</x:f>
        <x:v>2.3607999177964394</x:v>
      </x:c>
      <x:c r="J74" s="36" t="n">
        <x:f>IF(C74&lt;-F74,1,0)</x:f>
        <x:v>0</x:v>
      </x:c>
      <x:c r="K74" s="36" t="n">
        <x:f>IF(C74&lt;-G74,1,0)</x:f>
        <x:v>0</x:v>
      </x:c>
      <x:c r="L74" s="36" t="n">
        <x:f>IF(C74&lt;-H74,1,0)</x:f>
        <x:v>0</x:v>
      </x:c>
      <x:c r="M74" s="36" t="n">
        <x:f>IF(C74&lt;-I74,1,0)</x:f>
        <x:v>0</x:v>
      </x:c>
      <x:c r="N74" s="34" t="n">
        <x:f>-F74</x:f>
        <x:v>-1.4898233585987386</x:v>
      </x:c>
      <x:c r="O74" s="34" t="n">
        <x:f>-H74</x:f>
        <x:v>-1.4137369765792636</x:v>
      </x:c>
      <x:c r="P74" s="34" t="n">
        <x:f>-G74</x:f>
        <x:v>-2.1070856070008293</x:v>
      </x:c>
      <x:c r="Q74" s="34" t="n">
        <x:f>-I74</x:f>
        <x:v>-2.3607999177964394</x:v>
      </x:c>
      <x:c r="R74" s="36" t="n">
        <x:f>YEAR(A74)</x:f>
        <x:v>2021</x:v>
      </x:c>
    </x:row>
    <x:row r="75">
      <x:c r="A75" s="30" t="n">
        <x:v>44298</x:v>
      </x:c>
      <x:c r="B75" s="38" t="n">
        <x:v>4127.99</x:v>
      </x:c>
      <x:c r="C75" s="34" t="n">
        <x:f>(B75/B74-1)*100</x:f>
        <x:v>-0.0196182910288778</x:v>
      </x:c>
      <x:c r="D75" s="34" t="n">
        <x:f>Assumptions!$B$4*D74+(1-Assumptions!$B$4)*C74^2</x:f>
        <x:v>0.8069158610018597</x:v>
      </x:c>
      <x:c r="E75" s="34" t="n">
        <x:f>SQRT(D75)</x:f>
        <x:v>0.8982849553464979</x:v>
      </x:c>
      <x:c r="F75" s="34" t="n">
        <x:f>-Assumptions!$B$7*E75</x:f>
        <x:v>1.4775472668376288</x:v>
      </x:c>
      <x:c r="G75" s="34" t="n">
        <x:f>-Assumptions!$B$8*E75</x:f>
        <x:v>2.0897232961531964</x:v>
      </x:c>
      <x:c r="H75" s="34" t="n">
        <x:f>-Assumptions!$B$9*E75</x:f>
        <x:v>1.4020878339138645</x:v>
      </x:c>
      <x:c r="I75" s="34" t="n">
        <x:f>-Assumptions!$B$10*E75</x:f>
        <x:v>2.341347010004909</x:v>
      </x:c>
      <x:c r="J75" s="36" t="n">
        <x:f>IF(C75&lt;-F75,1,0)</x:f>
        <x:v>0</x:v>
      </x:c>
      <x:c r="K75" s="36" t="n">
        <x:f>IF(C75&lt;-G75,1,0)</x:f>
        <x:v>0</x:v>
      </x:c>
      <x:c r="L75" s="36" t="n">
        <x:f>IF(C75&lt;-H75,1,0)</x:f>
        <x:v>0</x:v>
      </x:c>
      <x:c r="M75" s="36" t="n">
        <x:f>IF(C75&lt;-I75,1,0)</x:f>
        <x:v>0</x:v>
      </x:c>
      <x:c r="N75" s="34" t="n">
        <x:f>-F75</x:f>
        <x:v>-1.4775472668376288</x:v>
      </x:c>
      <x:c r="O75" s="34" t="n">
        <x:f>-H75</x:f>
        <x:v>-1.4020878339138645</x:v>
      </x:c>
      <x:c r="P75" s="34" t="n">
        <x:f>-G75</x:f>
        <x:v>-2.0897232961531964</x:v>
      </x:c>
      <x:c r="Q75" s="34" t="n">
        <x:f>-I75</x:f>
        <x:v>-2.341347010004909</x:v>
      </x:c>
      <x:c r="R75" s="36" t="n">
        <x:f>YEAR(A75)</x:f>
        <x:v>2021</x:v>
      </x:c>
    </x:row>
    <x:row r="76">
      <x:c r="A76" s="30" t="n">
        <x:v>44299</x:v>
      </x:c>
      <x:c r="B76" s="38" t="n">
        <x:v>4141.59</x:v>
      </x:c>
      <x:c r="C76" s="34" t="n">
        <x:f>(B76/B75-1)*100</x:f>
        <x:v>0.329458162447116</x:v>
      </x:c>
      <x:c r="D76" s="34" t="n">
        <x:f>Assumptions!$B$4*D75+(1-Assumptions!$B$4)*C75^2</x:f>
        <x:v>0.7585240019823217</x:v>
      </x:c>
      <x:c r="E76" s="34" t="n">
        <x:f>SQRT(D76)</x:f>
        <x:v>0.8709328343691732</x:v>
      </x:c>
      <x:c r="F76" s="34" t="n">
        <x:f>-Assumptions!$B$7*E76</x:f>
        <x:v>1.432557031443261</x:v>
      </x:c>
      <x:c r="G76" s="34" t="n">
        <x:f>-Assumptions!$B$8*E76</x:f>
        <x:v>2.0260927476670894</x:v>
      </x:c>
      <x:c r="H76" s="34" t="n">
        <x:f>-Assumptions!$B$9*E76</x:f>
        <x:v>1.359395283152782</x:v>
      </x:c>
      <x:c r="I76" s="34" t="n">
        <x:f>-Assumptions!$B$10*E76</x:f>
        <x:v>2.2700547031635363</x:v>
      </x:c>
      <x:c r="J76" s="36" t="n">
        <x:f>IF(C76&lt;-F76,1,0)</x:f>
        <x:v>0</x:v>
      </x:c>
      <x:c r="K76" s="36" t="n">
        <x:f>IF(C76&lt;-G76,1,0)</x:f>
        <x:v>0</x:v>
      </x:c>
      <x:c r="L76" s="36" t="n">
        <x:f>IF(C76&lt;-H76,1,0)</x:f>
        <x:v>0</x:v>
      </x:c>
      <x:c r="M76" s="36" t="n">
        <x:f>IF(C76&lt;-I76,1,0)</x:f>
        <x:v>0</x:v>
      </x:c>
      <x:c r="N76" s="34" t="n">
        <x:f>-F76</x:f>
        <x:v>-1.432557031443261</x:v>
      </x:c>
      <x:c r="O76" s="34" t="n">
        <x:f>-H76</x:f>
        <x:v>-1.359395283152782</x:v>
      </x:c>
      <x:c r="P76" s="34" t="n">
        <x:f>-G76</x:f>
        <x:v>-2.0260927476670894</x:v>
      </x:c>
      <x:c r="Q76" s="34" t="n">
        <x:f>-I76</x:f>
        <x:v>-2.2700547031635363</x:v>
      </x:c>
      <x:c r="R76" s="36" t="n">
        <x:f>YEAR(A76)</x:f>
        <x:v>2021</x:v>
      </x:c>
    </x:row>
    <x:row r="77">
      <x:c r="A77" s="30" t="n">
        <x:v>44300</x:v>
      </x:c>
      <x:c r="B77" s="38" t="n">
        <x:v>4124.66</x:v>
      </x:c>
      <x:c r="C77" s="34" t="n">
        <x:f>(B77/B76-1)*100</x:f>
        <x:v>-0.40878020277237415</x:v>
      </x:c>
      <x:c r="D77" s="34" t="n">
        <x:f>Assumptions!$B$4*D76+(1-Assumptions!$B$4)*C76^2</x:f>
        <x:v>0.7195251227115642</x:v>
      </x:c>
      <x:c r="E77" s="34" t="n">
        <x:f>SQRT(D77)</x:f>
        <x:v>0.8482482671432723</x:v>
      </x:c>
      <x:c r="F77" s="34" t="n">
        <x:f>-Assumptions!$B$7*E77</x:f>
        <x:v>1.3952442387659132</x:v>
      </x:c>
      <x:c r="G77" s="34" t="n">
        <x:f>-Assumptions!$B$8*E77</x:f>
        <x:v>1.9733205529275784</x:v>
      </x:c>
      <x:c r="H77" s="34" t="n">
        <x:f>-Assumptions!$B$9*E77</x:f>
        <x:v>1.323988082424625</x:v>
      </x:c>
      <x:c r="I77" s="34" t="n">
        <x:f>-Assumptions!$B$10*E77</x:f>
        <x:v>2.210928205128031</x:v>
      </x:c>
      <x:c r="J77" s="36" t="n">
        <x:f>IF(C77&lt;-F77,1,0)</x:f>
        <x:v>0</x:v>
      </x:c>
      <x:c r="K77" s="36" t="n">
        <x:f>IF(C77&lt;-G77,1,0)</x:f>
        <x:v>0</x:v>
      </x:c>
      <x:c r="L77" s="36" t="n">
        <x:f>IF(C77&lt;-H77,1,0)</x:f>
        <x:v>0</x:v>
      </x:c>
      <x:c r="M77" s="36" t="n">
        <x:f>IF(C77&lt;-I77,1,0)</x:f>
        <x:v>0</x:v>
      </x:c>
      <x:c r="N77" s="34" t="n">
        <x:f>-F77</x:f>
        <x:v>-1.3952442387659132</x:v>
      </x:c>
      <x:c r="O77" s="34" t="n">
        <x:f>-H77</x:f>
        <x:v>-1.323988082424625</x:v>
      </x:c>
      <x:c r="P77" s="34" t="n">
        <x:f>-G77</x:f>
        <x:v>-1.9733205529275784</x:v>
      </x:c>
      <x:c r="Q77" s="34" t="n">
        <x:f>-I77</x:f>
        <x:v>-2.210928205128031</x:v>
      </x:c>
      <x:c r="R77" s="36" t="n">
        <x:f>YEAR(A77)</x:f>
        <x:v>2021</x:v>
      </x:c>
    </x:row>
    <x:row r="78">
      <x:c r="A78" s="30" t="n">
        <x:v>44301</x:v>
      </x:c>
      <x:c r="B78" s="38" t="n">
        <x:v>4170.42</x:v>
      </x:c>
      <x:c r="C78" s="34" t="n">
        <x:f>(B78/B77-1)*100</x:f>
        <x:v>1.1094247768300924</x:v>
      </x:c>
      <x:c r="D78" s="34" t="n">
        <x:f>Assumptions!$B$4*D77+(1-Assumptions!$B$4)*C77^2</x:f>
        <x:v>0.6863796905995877</x:v>
      </x:c>
      <x:c r="E78" s="34" t="n">
        <x:f>SQRT(D78)</x:f>
        <x:v>0.8284803501590051</x:v>
      </x:c>
      <x:c r="F78" s="34" t="n">
        <x:f>-Assumptions!$B$7*E78</x:f>
        <x:v>1.3627289088170658</x:v>
      </x:c>
      <x:c r="G78" s="34" t="n">
        <x:f>-Assumptions!$B$8*E78</x:f>
        <x:v>1.9273335012770125</x:v>
      </x:c>
      <x:c r="H78" s="34" t="n">
        <x:f>-Assumptions!$B$9*E78</x:f>
        <x:v>1.2931333344512839</x:v>
      </x:c>
      <x:c r="I78" s="34" t="n">
        <x:f>-Assumptions!$B$10*E78</x:f>
        <x:v>2.1594038496886303</x:v>
      </x:c>
      <x:c r="J78" s="36" t="n">
        <x:f>IF(C78&lt;-F78,1,0)</x:f>
        <x:v>0</x:v>
      </x:c>
      <x:c r="K78" s="36" t="n">
        <x:f>IF(C78&lt;-G78,1,0)</x:f>
        <x:v>0</x:v>
      </x:c>
      <x:c r="L78" s="36" t="n">
        <x:f>IF(C78&lt;-H78,1,0)</x:f>
        <x:v>0</x:v>
      </x:c>
      <x:c r="M78" s="36" t="n">
        <x:f>IF(C78&lt;-I78,1,0)</x:f>
        <x:v>0</x:v>
      </x:c>
      <x:c r="N78" s="34" t="n">
        <x:f>-F78</x:f>
        <x:v>-1.3627289088170658</x:v>
      </x:c>
      <x:c r="O78" s="34" t="n">
        <x:f>-H78</x:f>
        <x:v>-1.2931333344512839</x:v>
      </x:c>
      <x:c r="P78" s="34" t="n">
        <x:f>-G78</x:f>
        <x:v>-1.9273335012770125</x:v>
      </x:c>
      <x:c r="Q78" s="34" t="n">
        <x:f>-I78</x:f>
        <x:v>-2.1594038496886303</x:v>
      </x:c>
      <x:c r="R78" s="36" t="n">
        <x:f>YEAR(A78)</x:f>
        <x:v>2021</x:v>
      </x:c>
    </x:row>
    <x:row r="79">
      <x:c r="A79" s="30" t="n">
        <x:v>44302</x:v>
      </x:c>
      <x:c r="B79" s="38" t="n">
        <x:v>4185.47</x:v>
      </x:c>
      <x:c r="C79" s="34" t="n">
        <x:f>(B79/B78-1)*100</x:f>
        <x:v>0.36087492386858155</x:v>
      </x:c>
      <x:c r="D79" s="34" t="n">
        <x:f>Assumptions!$B$4*D78+(1-Assumptions!$B$4)*C78^2</x:f>
        <x:v>0.7190463092902825</x:v>
      </x:c>
      <x:c r="E79" s="34" t="n">
        <x:f>SQRT(D79)</x:f>
        <x:v>0.847965983569083</x:v>
      </x:c>
      <x:c r="F79" s="34" t="n">
        <x:f>-Assumptions!$B$7*E79</x:f>
        <x:v>1.3947799236050793</x:v>
      </x:c>
      <x:c r="G79" s="34" t="n">
        <x:f>-Assumptions!$B$8*E79</x:f>
        <x:v>1.9726638631348865</x:v>
      </x:c>
      <x:c r="H79" s="34" t="n">
        <x:f>-Assumptions!$B$9*E79</x:f>
        <x:v>1.3235474801828435</x:v>
      </x:c>
      <x:c r="I79" s="34" t="n">
        <x:f>-Assumptions!$B$10*E79</x:f>
        <x:v>2.210192443275995</x:v>
      </x:c>
      <x:c r="J79" s="36" t="n">
        <x:f>IF(C79&lt;-F79,1,0)</x:f>
        <x:v>0</x:v>
      </x:c>
      <x:c r="K79" s="36" t="n">
        <x:f>IF(C79&lt;-G79,1,0)</x:f>
        <x:v>0</x:v>
      </x:c>
      <x:c r="L79" s="36" t="n">
        <x:f>IF(C79&lt;-H79,1,0)</x:f>
        <x:v>0</x:v>
      </x:c>
      <x:c r="M79" s="36" t="n">
        <x:f>IF(C79&lt;-I79,1,0)</x:f>
        <x:v>0</x:v>
      </x:c>
      <x:c r="N79" s="34" t="n">
        <x:f>-F79</x:f>
        <x:v>-1.3947799236050793</x:v>
      </x:c>
      <x:c r="O79" s="34" t="n">
        <x:f>-H79</x:f>
        <x:v>-1.3235474801828435</x:v>
      </x:c>
      <x:c r="P79" s="34" t="n">
        <x:f>-G79</x:f>
        <x:v>-1.9726638631348865</x:v>
      </x:c>
      <x:c r="Q79" s="34" t="n">
        <x:f>-I79</x:f>
        <x:v>-2.210192443275995</x:v>
      </x:c>
      <x:c r="R79" s="36" t="n">
        <x:f>YEAR(A79)</x:f>
        <x:v>2021</x:v>
      </x:c>
    </x:row>
    <x:row r="80">
      <x:c r="A80" s="30" t="n">
        <x:v>44305</x:v>
      </x:c>
      <x:c r="B80" s="38" t="n">
        <x:v>4163.26</x:v>
      </x:c>
      <x:c r="C80" s="34" t="n">
        <x:f>(B80/B79-1)*100</x:f>
        <x:v>-0.5306453038726788</x:v>
      </x:c>
      <x:c r="D80" s="34" t="n">
        <x:f>Assumptions!$B$4*D79+(1-Assumptions!$B$4)*C79^2</x:f>
        <x:v>0.6837173733734947</x:v>
      </x:c>
      <x:c r="E80" s="34" t="n">
        <x:f>SQRT(D80)</x:f>
        <x:v>0.8268720417171539</x:v>
      </x:c>
      <x:c r="F80" s="34" t="n">
        <x:f>-Assumptions!$B$7*E80</x:f>
        <x:v>1.3600834768432302</x:v>
      </x:c>
      <x:c r="G80" s="34" t="n">
        <x:f>-Assumptions!$B$8*E80</x:f>
        <x:v>1.92359201635251</x:v>
      </x:c>
      <x:c r="H80" s="34" t="n">
        <x:f>-Assumptions!$B$9*E80</x:f>
        <x:v>1.2906230066470843</x:v>
      </x:c>
      <x:c r="I80" s="34" t="n">
        <x:f>-Assumptions!$B$10*E80</x:f>
        <x:v>2.155211852328459</x:v>
      </x:c>
      <x:c r="J80" s="36" t="n">
        <x:f>IF(C80&lt;-F80,1,0)</x:f>
        <x:v>0</x:v>
      </x:c>
      <x:c r="K80" s="36" t="n">
        <x:f>IF(C80&lt;-G80,1,0)</x:f>
        <x:v>0</x:v>
      </x:c>
      <x:c r="L80" s="36" t="n">
        <x:f>IF(C80&lt;-H80,1,0)</x:f>
        <x:v>0</x:v>
      </x:c>
      <x:c r="M80" s="36" t="n">
        <x:f>IF(C80&lt;-I80,1,0)</x:f>
        <x:v>0</x:v>
      </x:c>
      <x:c r="N80" s="34" t="n">
        <x:f>-F80</x:f>
        <x:v>-1.3600834768432302</x:v>
      </x:c>
      <x:c r="O80" s="34" t="n">
        <x:f>-H80</x:f>
        <x:v>-1.2906230066470843</x:v>
      </x:c>
      <x:c r="P80" s="34" t="n">
        <x:f>-G80</x:f>
        <x:v>-1.92359201635251</x:v>
      </x:c>
      <x:c r="Q80" s="34" t="n">
        <x:f>-I80</x:f>
        <x:v>-2.155211852328459</x:v>
      </x:c>
      <x:c r="R80" s="36" t="n">
        <x:f>YEAR(A80)</x:f>
        <x:v>2021</x:v>
      </x:c>
    </x:row>
    <x:row r="81">
      <x:c r="A81" s="30" t="n">
        <x:v>44306</x:v>
      </x:c>
      <x:c r="B81" s="38" t="n">
        <x:v>4134.94</x:v>
      </x:c>
      <x:c r="C81" s="34" t="n">
        <x:f>(B81/B80-1)*100</x:f>
        <x:v>-0.6802361610853236</x:v>
      </x:c>
      <x:c r="D81" s="34" t="n">
        <x:f>Assumptions!$B$4*D80+(1-Assumptions!$B$4)*C80^2</x:f>
        <x:v>0.6595893972824126</x:v>
      </x:c>
      <x:c r="E81" s="34" t="n">
        <x:f>SQRT(D81)</x:f>
        <x:v>0.812151092643735</x:v>
      </x:c>
      <x:c r="F81" s="34" t="n">
        <x:f>-Assumptions!$B$7*E81</x:f>
        <x:v>1.3358696703676491</x:v>
      </x:c>
      <x:c r="G81" s="34" t="n">
        <x:f>-Assumptions!$B$8*E81</x:f>
        <x:v>1.8893459677716984</x:v>
      </x:c>
      <x:c r="H81" s="34" t="n">
        <x:f>-Assumptions!$B$9*E81</x:f>
        <x:v>1.2676458171966112</x:v>
      </x:c>
      <x:c r="I81" s="34" t="n">
        <x:f>-Assumptions!$B$10*E81</x:f>
        <x:v>2.1168422348787392</x:v>
      </x:c>
      <x:c r="J81" s="36" t="n">
        <x:f>IF(C81&lt;-F81,1,0)</x:f>
        <x:v>0</x:v>
      </x:c>
      <x:c r="K81" s="36" t="n">
        <x:f>IF(C81&lt;-G81,1,0)</x:f>
        <x:v>0</x:v>
      </x:c>
      <x:c r="L81" s="36" t="n">
        <x:f>IF(C81&lt;-H81,1,0)</x:f>
        <x:v>0</x:v>
      </x:c>
      <x:c r="M81" s="36" t="n">
        <x:f>IF(C81&lt;-I81,1,0)</x:f>
        <x:v>0</x:v>
      </x:c>
      <x:c r="N81" s="34" t="n">
        <x:f>-F81</x:f>
        <x:v>-1.3358696703676491</x:v>
      </x:c>
      <x:c r="O81" s="34" t="n">
        <x:f>-H81</x:f>
        <x:v>-1.2676458171966112</x:v>
      </x:c>
      <x:c r="P81" s="34" t="n">
        <x:f>-G81</x:f>
        <x:v>-1.8893459677716984</x:v>
      </x:c>
      <x:c r="Q81" s="34" t="n">
        <x:f>-I81</x:f>
        <x:v>-2.1168422348787392</x:v>
      </x:c>
      <x:c r="R81" s="36" t="n">
        <x:f>YEAR(A81)</x:f>
        <x:v>2021</x:v>
      </x:c>
    </x:row>
    <x:row r="82">
      <x:c r="A82" s="30" t="n">
        <x:v>44307</x:v>
      </x:c>
      <x:c r="B82" s="38" t="n">
        <x:v>4173.42</x:v>
      </x:c>
      <x:c r="C82" s="34" t="n">
        <x:f>(B82/B81-1)*100</x:f>
        <x:v>0.9306060063749566</x:v>
      </x:c>
      <x:c r="D82" s="34" t="n">
        <x:f>Assumptions!$B$4*D81+(1-Assumptions!$B$4)*C81^2</x:f>
        <x:v>0.6477773075363538</x:v>
      </x:c>
      <x:c r="E82" s="34" t="n">
        <x:f>SQRT(D82)</x:f>
        <x:v>0.8048461390454412</x:v>
      </x:c>
      <x:c r="F82" s="34" t="n">
        <x:f>-Assumptions!$B$7*E82</x:f>
        <x:v>1.3238540909467835</x:v>
      </x:c>
      <x:c r="G82" s="34" t="n">
        <x:f>-Assumptions!$B$8*E82</x:f>
        <x:v>1.8723521044983407</x:v>
      </x:c>
      <x:c r="H82" s="34" t="n">
        <x:f>-Assumptions!$B$9*E82</x:f>
        <x:v>1.256243882313351</x:v>
      </x:c>
      <x:c r="I82" s="34" t="n">
        <x:f>-Assumptions!$B$10*E82</x:f>
        <x:v>2.097802139457134</x:v>
      </x:c>
      <x:c r="J82" s="36" t="n">
        <x:f>IF(C82&lt;-F82,1,0)</x:f>
        <x:v>0</x:v>
      </x:c>
      <x:c r="K82" s="36" t="n">
        <x:f>IF(C82&lt;-G82,1,0)</x:f>
        <x:v>0</x:v>
      </x:c>
      <x:c r="L82" s="36" t="n">
        <x:f>IF(C82&lt;-H82,1,0)</x:f>
        <x:v>0</x:v>
      </x:c>
      <x:c r="M82" s="36" t="n">
        <x:f>IF(C82&lt;-I82,1,0)</x:f>
        <x:v>0</x:v>
      </x:c>
      <x:c r="N82" s="34" t="n">
        <x:f>-F82</x:f>
        <x:v>-1.3238540909467835</x:v>
      </x:c>
      <x:c r="O82" s="34" t="n">
        <x:f>-H82</x:f>
        <x:v>-1.256243882313351</x:v>
      </x:c>
      <x:c r="P82" s="34" t="n">
        <x:f>-G82</x:f>
        <x:v>-1.8723521044983407</x:v>
      </x:c>
      <x:c r="Q82" s="34" t="n">
        <x:f>-I82</x:f>
        <x:v>-2.097802139457134</x:v>
      </x:c>
      <x:c r="R82" s="36" t="n">
        <x:f>YEAR(A82)</x:f>
        <x:v>2021</x:v>
      </x:c>
    </x:row>
    <x:row r="83">
      <x:c r="A83" s="30" t="n">
        <x:v>44308</x:v>
      </x:c>
      <x:c r="B83" s="38" t="n">
        <x:v>4134.98</x:v>
      </x:c>
      <x:c r="C83" s="34" t="n">
        <x:f>(B83/B82-1)*100</x:f>
        <x:v>-0.9210671343885979</x:v>
      </x:c>
      <x:c r="D83" s="34" t="n">
        <x:f>Assumptions!$B$4*D82+(1-Assumptions!$B$4)*C82^2</x:f>
        <x:v>0.6608723214302412</x:v>
      </x:c>
      <x:c r="E83" s="34" t="n">
        <x:f>SQRT(D83)</x:f>
        <x:v>0.8129405399106636</x:v>
      </x:c>
      <x:c r="F83" s="34" t="n">
        <x:f>-Assumptions!$B$7*E83</x:f>
        <x:v>1.3371681955679435</x:v>
      </x:c>
      <x:c r="G83" s="34" t="n">
        <x:f>-Assumptions!$B$8*E83</x:f>
        <x:v>1.8911824967427853</x:v>
      </x:c>
      <x:c r="H83" s="34" t="n">
        <x:f>-Assumptions!$B$9*E83</x:f>
        <x:v>1.268878025753472</x:v>
      </x:c>
      <x:c r="I83" s="34" t="n">
        <x:f>-Assumptions!$B$10*E83</x:f>
        <x:v>2.118899900419032</x:v>
      </x:c>
      <x:c r="J83" s="36" t="n">
        <x:f>IF(C83&lt;-F83,1,0)</x:f>
        <x:v>0</x:v>
      </x:c>
      <x:c r="K83" s="36" t="n">
        <x:f>IF(C83&lt;-G83,1,0)</x:f>
        <x:v>0</x:v>
      </x:c>
      <x:c r="L83" s="36" t="n">
        <x:f>IF(C83&lt;-H83,1,0)</x:f>
        <x:v>0</x:v>
      </x:c>
      <x:c r="M83" s="36" t="n">
        <x:f>IF(C83&lt;-I83,1,0)</x:f>
        <x:v>0</x:v>
      </x:c>
      <x:c r="N83" s="34" t="n">
        <x:f>-F83</x:f>
        <x:v>-1.3371681955679435</x:v>
      </x:c>
      <x:c r="O83" s="34" t="n">
        <x:f>-H83</x:f>
        <x:v>-1.268878025753472</x:v>
      </x:c>
      <x:c r="P83" s="34" t="n">
        <x:f>-G83</x:f>
        <x:v>-1.8911824967427853</x:v>
      </x:c>
      <x:c r="Q83" s="34" t="n">
        <x:f>-I83</x:f>
        <x:v>-2.118899900419032</x:v>
      </x:c>
      <x:c r="R83" s="36" t="n">
        <x:f>YEAR(A83)</x:f>
        <x:v>2021</x:v>
      </x:c>
    </x:row>
    <x:row r="84">
      <x:c r="A84" s="30" t="n">
        <x:v>44309</x:v>
      </x:c>
      <x:c r="B84" s="38" t="n">
        <x:v>4180.17</x:v>
      </x:c>
      <x:c r="C84" s="34" t="n">
        <x:f>(B84/B83-1)*100</x:f>
        <x:v>1.0928710658818286</x:v>
      </x:c>
      <x:c r="D84" s="34" t="n">
        <x:f>Assumptions!$B$4*D83+(1-Assumptions!$B$4)*C83^2</x:f>
        <x:v>0.6721218621074762</x:v>
      </x:c>
      <x:c r="E84" s="34" t="n">
        <x:f>SQRT(D84)</x:f>
        <x:v>0.8198303861820908</x:v>
      </x:c>
      <x:c r="F84" s="34" t="n">
        <x:f>-Assumptions!$B$7*E84</x:f>
        <x:v>1.3485009841966387</x:v>
      </x:c>
      <x:c r="G84" s="34" t="n">
        <x:f>-Assumptions!$B$8*E84</x:f>
        <x:v>1.9072106759687881</x:v>
      </x:c>
      <x:c r="H84" s="34" t="n">
        <x:f>-Assumptions!$B$9*E84</x:f>
        <x:v>1.2796320404758699</x:v>
      </x:c>
      <x:c r="I84" s="34" t="n">
        <x:f>-Assumptions!$B$10*E84</x:f>
        <x:v>2.1368580337162517</x:v>
      </x:c>
      <x:c r="J84" s="36" t="n">
        <x:f>IF(C84&lt;-F84,1,0)</x:f>
        <x:v>0</x:v>
      </x:c>
      <x:c r="K84" s="36" t="n">
        <x:f>IF(C84&lt;-G84,1,0)</x:f>
        <x:v>0</x:v>
      </x:c>
      <x:c r="L84" s="36" t="n">
        <x:f>IF(C84&lt;-H84,1,0)</x:f>
        <x:v>0</x:v>
      </x:c>
      <x:c r="M84" s="36" t="n">
        <x:f>IF(C84&lt;-I84,1,0)</x:f>
        <x:v>0</x:v>
      </x:c>
      <x:c r="N84" s="34" t="n">
        <x:f>-F84</x:f>
        <x:v>-1.3485009841966387</x:v>
      </x:c>
      <x:c r="O84" s="34" t="n">
        <x:f>-H84</x:f>
        <x:v>-1.2796320404758699</x:v>
      </x:c>
      <x:c r="P84" s="34" t="n">
        <x:f>-G84</x:f>
        <x:v>-1.9072106759687881</x:v>
      </x:c>
      <x:c r="Q84" s="34" t="n">
        <x:f>-I84</x:f>
        <x:v>-2.1368580337162517</x:v>
      </x:c>
      <x:c r="R84" s="36" t="n">
        <x:f>YEAR(A84)</x:f>
        <x:v>2021</x:v>
      </x:c>
    </x:row>
    <x:row r="85">
      <x:c r="A85" s="30" t="n">
        <x:v>44312</x:v>
      </x:c>
      <x:c r="B85" s="38" t="n">
        <x:v>4187.62</x:v>
      </x:c>
      <x:c r="C85" s="34" t="n">
        <x:f>(B85/B84-1)*100</x:f>
        <x:v>0.1782224167916624</x:v>
      </x:c>
      <x:c r="D85" s="34" t="n">
        <x:f>Assumptions!$B$4*D84+(1-Assumptions!$B$4)*C84^2</x:f>
        <x:v>0.7034565803795286</x:v>
      </x:c>
      <x:c r="E85" s="34" t="n">
        <x:f>SQRT(D85)</x:f>
        <x:v>0.838723184596401</x:v>
      </x:c>
      <x:c r="F85" s="34" t="n">
        <x:f>-Assumptions!$B$7*E85</x:f>
        <x:v>1.37957687219168</x:v>
      </x:c>
      <x:c r="G85" s="34" t="n">
        <x:f>-Assumptions!$B$8*E85</x:f>
        <x:v>1.9511618973946008</x:v>
      </x:c>
      <x:c r="H85" s="34" t="n">
        <x:f>-Assumptions!$B$9*E85</x:f>
        <x:v>1.309120859861778</x:v>
      </x:c>
      <x:c r="I85" s="34" t="n">
        <x:f>-Assumptions!$B$10*E85</x:f>
        <x:v>2.186101424485173</x:v>
      </x:c>
      <x:c r="J85" s="36" t="n">
        <x:f>IF(C85&lt;-F85,1,0)</x:f>
        <x:v>0</x:v>
      </x:c>
      <x:c r="K85" s="36" t="n">
        <x:f>IF(C85&lt;-G85,1,0)</x:f>
        <x:v>0</x:v>
      </x:c>
      <x:c r="L85" s="36" t="n">
        <x:f>IF(C85&lt;-H85,1,0)</x:f>
        <x:v>0</x:v>
      </x:c>
      <x:c r="M85" s="36" t="n">
        <x:f>IF(C85&lt;-I85,1,0)</x:f>
        <x:v>0</x:v>
      </x:c>
      <x:c r="N85" s="34" t="n">
        <x:f>-F85</x:f>
        <x:v>-1.37957687219168</x:v>
      </x:c>
      <x:c r="O85" s="34" t="n">
        <x:f>-H85</x:f>
        <x:v>-1.309120859861778</x:v>
      </x:c>
      <x:c r="P85" s="34" t="n">
        <x:f>-G85</x:f>
        <x:v>-1.9511618973946008</x:v>
      </x:c>
      <x:c r="Q85" s="34" t="n">
        <x:f>-I85</x:f>
        <x:v>-2.186101424485173</x:v>
      </x:c>
      <x:c r="R85" s="36" t="n">
        <x:f>YEAR(A85)</x:f>
        <x:v>2021</x:v>
      </x:c>
    </x:row>
    <x:row r="86">
      <x:c r="A86" s="30" t="n">
        <x:v>44313</x:v>
      </x:c>
      <x:c r="B86" s="38" t="n">
        <x:v>4186.72</x:v>
      </x:c>
      <x:c r="C86" s="34" t="n">
        <x:f>(B86/B85-1)*100</x:f>
        <x:v>-0.02149192142553158</x:v>
      </x:c>
      <x:c r="D86" s="34" t="n">
        <x:f>Assumptions!$B$4*D85+(1-Assumptions!$B$4)*C85^2</x:f>
        <x:v>0.6631549793475805</x:v>
      </x:c>
      <x:c r="E86" s="34" t="n">
        <x:f>SQRT(D86)</x:f>
        <x:v>0.8143432810231693</x:v>
      </x:c>
      <x:c r="F86" s="34" t="n">
        <x:f>-Assumptions!$B$7*E86</x:f>
        <x:v>1.3394754993745226</x:v>
      </x:c>
      <x:c r="G86" s="34" t="n">
        <x:f>-Assumptions!$B$8*E86</x:f>
        <x:v>1.8944457605476925</x:v>
      </x:c>
      <x:c r="H86" s="34" t="n">
        <x:f>-Assumptions!$B$9*E86</x:f>
        <x:v>1.2710674938462738</x:v>
      </x:c>
      <x:c r="I86" s="34" t="n">
        <x:f>-Assumptions!$B$10*E86</x:f>
        <x:v>2.1225560940244446</x:v>
      </x:c>
      <x:c r="J86" s="36" t="n">
        <x:f>IF(C86&lt;-F86,1,0)</x:f>
        <x:v>0</x:v>
      </x:c>
      <x:c r="K86" s="36" t="n">
        <x:f>IF(C86&lt;-G86,1,0)</x:f>
        <x:v>0</x:v>
      </x:c>
      <x:c r="L86" s="36" t="n">
        <x:f>IF(C86&lt;-H86,1,0)</x:f>
        <x:v>0</x:v>
      </x:c>
      <x:c r="M86" s="36" t="n">
        <x:f>IF(C86&lt;-I86,1,0)</x:f>
        <x:v>0</x:v>
      </x:c>
      <x:c r="N86" s="34" t="n">
        <x:f>-F86</x:f>
        <x:v>-1.3394754993745226</x:v>
      </x:c>
      <x:c r="O86" s="34" t="n">
        <x:f>-H86</x:f>
        <x:v>-1.2710674938462738</x:v>
      </x:c>
      <x:c r="P86" s="34" t="n">
        <x:f>-G86</x:f>
        <x:v>-1.8944457605476925</x:v>
      </x:c>
      <x:c r="Q86" s="34" t="n">
        <x:f>-I86</x:f>
        <x:v>-2.1225560940244446</x:v>
      </x:c>
      <x:c r="R86" s="36" t="n">
        <x:f>YEAR(A86)</x:f>
        <x:v>2021</x:v>
      </x:c>
    </x:row>
    <x:row r="87">
      <x:c r="A87" s="30" t="n">
        <x:v>44314</x:v>
      </x:c>
      <x:c r="B87" s="38" t="n">
        <x:v>4183.18</x:v>
      </x:c>
      <x:c r="C87" s="34" t="n">
        <x:f>(B87/B86-1)*100</x:f>
        <x:v>-0.08455306301830001</x:v>
      </x:c>
      <x:c r="D87" s="34" t="n">
        <x:f>Assumptions!$B$4*D86+(1-Assumptions!$B$4)*C86^2</x:f>
        <x:v>0.6233933947479192</x:v>
      </x:c>
      <x:c r="E87" s="34" t="n">
        <x:f>SQRT(D87)</x:f>
        <x:v>0.7895526548292515</x:v>
      </x:c>
      <x:c r="F87" s="34" t="n">
        <x:f>-Assumptions!$B$7*E87</x:f>
        <x:v>1.2986985479650588</x:v>
      </x:c>
      <x:c r="G87" s="34" t="n">
        <x:f>-Assumptions!$B$8*E87</x:f>
        <x:v>1.8367741400053308</x:v>
      </x:c>
      <x:c r="H87" s="34" t="n">
        <x:f>-Assumptions!$B$9*E87</x:f>
        <x:v>1.232373051537384</x:v>
      </x:c>
      <x:c r="I87" s="34" t="n">
        <x:f>-Assumptions!$B$10*E87</x:f>
        <x:v>2.0579402300162473</x:v>
      </x:c>
      <x:c r="J87" s="36" t="n">
        <x:f>IF(C87&lt;-F87,1,0)</x:f>
        <x:v>0</x:v>
      </x:c>
      <x:c r="K87" s="36" t="n">
        <x:f>IF(C87&lt;-G87,1,0)</x:f>
        <x:v>0</x:v>
      </x:c>
      <x:c r="L87" s="36" t="n">
        <x:f>IF(C87&lt;-H87,1,0)</x:f>
        <x:v>0</x:v>
      </x:c>
      <x:c r="M87" s="36" t="n">
        <x:f>IF(C87&lt;-I87,1,0)</x:f>
        <x:v>0</x:v>
      </x:c>
      <x:c r="N87" s="34" t="n">
        <x:f>-F87</x:f>
        <x:v>-1.2986985479650588</x:v>
      </x:c>
      <x:c r="O87" s="34" t="n">
        <x:f>-H87</x:f>
        <x:v>-1.232373051537384</x:v>
      </x:c>
      <x:c r="P87" s="34" t="n">
        <x:f>-G87</x:f>
        <x:v>-1.8367741400053308</x:v>
      </x:c>
      <x:c r="Q87" s="34" t="n">
        <x:f>-I87</x:f>
        <x:v>-2.0579402300162473</x:v>
      </x:c>
      <x:c r="R87" s="36" t="n">
        <x:f>YEAR(A87)</x:f>
        <x:v>2021</x:v>
      </x:c>
    </x:row>
    <x:row r="88">
      <x:c r="A88" s="30" t="n">
        <x:v>44315</x:v>
      </x:c>
      <x:c r="B88" s="38" t="n">
        <x:v>4211.47</x:v>
      </x:c>
      <x:c r="C88" s="34" t="n">
        <x:f>(B88/B87-1)*100</x:f>
        <x:v>0.6762797680233579</x:v>
      </x:c>
      <x:c r="D88" s="34" t="n">
        <x:f>Assumptions!$B$4*D87+(1-Assumptions!$B$4)*C87^2</x:f>
        <x:v>0.5864187442909906</x:v>
      </x:c>
      <x:c r="E88" s="34" t="n">
        <x:f>SQRT(D88)</x:f>
        <x:v>0.7657798275555388</x:v>
      </x:c>
      <x:c r="F88" s="34" t="n">
        <x:f>-Assumptions!$B$7*E88</x:f>
        <x:v>1.2595957268010014</x:v>
      </x:c>
      <x:c r="G88" s="34" t="n">
        <x:f>-Assumptions!$B$8*E88</x:f>
        <x:v>1.7814702738171888</x:v>
      </x:c>
      <x:c r="H88" s="34" t="n">
        <x:f>-Assumptions!$B$9*E88</x:f>
        <x:v>1.1952672404027078</x:v>
      </x:c>
      <x:c r="I88" s="34" t="n">
        <x:f>-Assumptions!$B$10*E88</x:f>
        <x:v>1.995977221813354</x:v>
      </x:c>
      <x:c r="J88" s="36" t="n">
        <x:f>IF(C88&lt;-F88,1,0)</x:f>
        <x:v>0</x:v>
      </x:c>
      <x:c r="K88" s="36" t="n">
        <x:f>IF(C88&lt;-G88,1,0)</x:f>
        <x:v>0</x:v>
      </x:c>
      <x:c r="L88" s="36" t="n">
        <x:f>IF(C88&lt;-H88,1,0)</x:f>
        <x:v>0</x:v>
      </x:c>
      <x:c r="M88" s="36" t="n">
        <x:f>IF(C88&lt;-I88,1,0)</x:f>
        <x:v>0</x:v>
      </x:c>
      <x:c r="N88" s="34" t="n">
        <x:f>-F88</x:f>
        <x:v>-1.2595957268010014</x:v>
      </x:c>
      <x:c r="O88" s="34" t="n">
        <x:f>-H88</x:f>
        <x:v>-1.1952672404027078</x:v>
      </x:c>
      <x:c r="P88" s="34" t="n">
        <x:f>-G88</x:f>
        <x:v>-1.7814702738171888</x:v>
      </x:c>
      <x:c r="Q88" s="34" t="n">
        <x:f>-I88</x:f>
        <x:v>-1.995977221813354</x:v>
      </x:c>
      <x:c r="R88" s="36" t="n">
        <x:f>YEAR(A88)</x:f>
        <x:v>2021</x:v>
      </x:c>
    </x:row>
    <x:row r="89">
      <x:c r="A89" s="30" t="n">
        <x:v>44316</x:v>
      </x:c>
      <x:c r="B89" s="38" t="n">
        <x:v>4181.17</x:v>
      </x:c>
      <x:c r="C89" s="34" t="n">
        <x:f>(B89/B88-1)*100</x:f>
        <x:v>-0.7194637501869883</x:v>
      </x:c>
      <x:c r="D89" s="34" t="n">
        <x:f>Assumptions!$B$4*D88+(1-Assumptions!$B$4)*C88^2</x:f>
        <x:v>0.5786748791117947</x:v>
      </x:c>
      <x:c r="E89" s="34" t="n">
        <x:f>SQRT(D89)</x:f>
        <x:v>0.7607068286217725</x:v>
      </x:c>
      <x:c r="F89" s="34" t="n">
        <x:f>-Assumptions!$B$7*E89</x:f>
        <x:v>1.251251386105275</x:v>
      </x:c>
      <x:c r="G89" s="34" t="n">
        <x:f>-Assumptions!$B$8*E89</x:f>
        <x:v>1.7696687135326103</x:v>
      </x:c>
      <x:c r="H89" s="34" t="n">
        <x:f>-Assumptions!$B$9*E89</x:f>
        <x:v>1.1873490513646334</x:v>
      </x:c>
      <x:c r="I89" s="34" t="n">
        <x:f>-Assumptions!$B$10*E89</x:f>
        <x:v>1.9827546349107936</x:v>
      </x:c>
      <x:c r="J89" s="36" t="n">
        <x:f>IF(C89&lt;-F89,1,0)</x:f>
        <x:v>0</x:v>
      </x:c>
      <x:c r="K89" s="36" t="n">
        <x:f>IF(C89&lt;-G89,1,0)</x:f>
        <x:v>0</x:v>
      </x:c>
      <x:c r="L89" s="36" t="n">
        <x:f>IF(C89&lt;-H89,1,0)</x:f>
        <x:v>0</x:v>
      </x:c>
      <x:c r="M89" s="36" t="n">
        <x:f>IF(C89&lt;-I89,1,0)</x:f>
        <x:v>0</x:v>
      </x:c>
      <x:c r="N89" s="34" t="n">
        <x:f>-F89</x:f>
        <x:v>-1.251251386105275</x:v>
      </x:c>
      <x:c r="O89" s="34" t="n">
        <x:f>-H89</x:f>
        <x:v>-1.1873490513646334</x:v>
      </x:c>
      <x:c r="P89" s="34" t="n">
        <x:f>-G89</x:f>
        <x:v>-1.7696687135326103</x:v>
      </x:c>
      <x:c r="Q89" s="34" t="n">
        <x:f>-I89</x:f>
        <x:v>-1.9827546349107936</x:v>
      </x:c>
      <x:c r="R89" s="36" t="n">
        <x:f>YEAR(A89)</x:f>
        <x:v>2021</x:v>
      </x:c>
    </x:row>
    <x:row r="90">
      <x:c r="A90" s="30" t="n">
        <x:v>44319</x:v>
      </x:c>
      <x:c r="B90" s="38" t="n">
        <x:v>4192.66</x:v>
      </x:c>
      <x:c r="C90" s="34" t="n">
        <x:f>(B90/B89-1)*100</x:f>
        <x:v>0.27480346410215795</x:v>
      </x:c>
      <x:c r="D90" s="34" t="n">
        <x:f>Assumptions!$B$4*D89+(1-Assumptions!$B$4)*C89^2</x:f>
        <x:v>0.5750120716350745</x:v>
      </x:c>
      <x:c r="E90" s="34" t="n">
        <x:f>SQRT(D90)</x:f>
        <x:v>0.7582955041638283</x:v>
      </x:c>
      <x:c r="F90" s="34" t="n">
        <x:f>-Assumptions!$B$7*E90</x:f>
        <x:v>1.2472851103248686</x:v>
      </x:c>
      <x:c r="G90" s="34" t="n">
        <x:f>-Assumptions!$B$8*E90</x:f>
        <x:v>1.764059134006249</x:v>
      </x:c>
      <x:c r="H90" s="34" t="n">
        <x:f>-Assumptions!$B$9*E90</x:f>
        <x:v>1.1835853362250446</x:v>
      </x:c>
      <x:c r="I90" s="34" t="n">
        <x:f>-Assumptions!$B$10*E90</x:f>
        <x:v>1.9764696055599662</x:v>
      </x:c>
      <x:c r="J90" s="36" t="n">
        <x:f>IF(C90&lt;-F90,1,0)</x:f>
        <x:v>0</x:v>
      </x:c>
      <x:c r="K90" s="36" t="n">
        <x:f>IF(C90&lt;-G90,1,0)</x:f>
        <x:v>0</x:v>
      </x:c>
      <x:c r="L90" s="36" t="n">
        <x:f>IF(C90&lt;-H90,1,0)</x:f>
        <x:v>0</x:v>
      </x:c>
      <x:c r="M90" s="36" t="n">
        <x:f>IF(C90&lt;-I90,1,0)</x:f>
        <x:v>0</x:v>
      </x:c>
      <x:c r="N90" s="34" t="n">
        <x:f>-F90</x:f>
        <x:v>-1.2472851103248686</x:v>
      </x:c>
      <x:c r="O90" s="34" t="n">
        <x:f>-H90</x:f>
        <x:v>-1.1835853362250446</x:v>
      </x:c>
      <x:c r="P90" s="34" t="n">
        <x:f>-G90</x:f>
        <x:v>-1.764059134006249</x:v>
      </x:c>
      <x:c r="Q90" s="34" t="n">
        <x:f>-I90</x:f>
        <x:v>-1.9764696055599662</x:v>
      </x:c>
      <x:c r="R90" s="36" t="n">
        <x:f>YEAR(A90)</x:f>
        <x:v>2021</x:v>
      </x:c>
    </x:row>
    <x:row r="91">
      <x:c r="A91" s="30" t="n">
        <x:v>44320</x:v>
      </x:c>
      <x:c r="B91" s="38" t="n">
        <x:v>4164.66</x:v>
      </x:c>
      <x:c r="C91" s="34" t="n">
        <x:f>(B91/B90-1)*100</x:f>
        <x:v>-0.6678337857112138</x:v>
      </x:c>
      <x:c r="D91" s="34" t="n">
        <x:f>Assumptions!$B$4*D90+(1-Assumptions!$B$4)*C90^2</x:f>
        <x:v>0.5450423639699228</x:v>
      </x:c>
      <x:c r="E91" s="34" t="n">
        <x:f>SQRT(D91)</x:f>
        <x:v>0.7382698449550291</x:v>
      </x:c>
      <x:c r="F91" s="34" t="n">
        <x:f>-Assumptions!$B$7*E91</x:f>
        <x:v>1.2143458321431813</x:v>
      </x:c>
      <x:c r="G91" s="34" t="n">
        <x:f>-Assumptions!$B$8*E91</x:f>
        <x:v>1.7174724842795928</x:v>
      </x:c>
      <x:c r="H91" s="34" t="n">
        <x:f>-Assumptions!$B$9*E91</x:f>
        <x:v>1.1523282913690145</x:v>
      </x:c>
      <x:c r="I91" s="34" t="n">
        <x:f>-Assumptions!$B$10*E91</x:f>
        <x:v>1.9242734544023268</x:v>
      </x:c>
      <x:c r="J91" s="36" t="n">
        <x:f>IF(C91&lt;-F91,1,0)</x:f>
        <x:v>0</x:v>
      </x:c>
      <x:c r="K91" s="36" t="n">
        <x:f>IF(C91&lt;-G91,1,0)</x:f>
        <x:v>0</x:v>
      </x:c>
      <x:c r="L91" s="36" t="n">
        <x:f>IF(C91&lt;-H91,1,0)</x:f>
        <x:v>0</x:v>
      </x:c>
      <x:c r="M91" s="36" t="n">
        <x:f>IF(C91&lt;-I91,1,0)</x:f>
        <x:v>0</x:v>
      </x:c>
      <x:c r="N91" s="34" t="n">
        <x:f>-F91</x:f>
        <x:v>-1.2143458321431813</x:v>
      </x:c>
      <x:c r="O91" s="34" t="n">
        <x:f>-H91</x:f>
        <x:v>-1.1523282913690145</x:v>
      </x:c>
      <x:c r="P91" s="34" t="n">
        <x:f>-G91</x:f>
        <x:v>-1.7174724842795928</x:v>
      </x:c>
      <x:c r="Q91" s="34" t="n">
        <x:f>-I91</x:f>
        <x:v>-1.9242734544023268</x:v>
      </x:c>
      <x:c r="R91" s="36" t="n">
        <x:f>YEAR(A91)</x:f>
        <x:v>2021</x:v>
      </x:c>
    </x:row>
    <x:row r="92">
      <x:c r="A92" s="30" t="n">
        <x:v>44321</x:v>
      </x:c>
      <x:c r="B92" s="38" t="n">
        <x:v>4167.59</x:v>
      </x:c>
      <x:c r="C92" s="34" t="n">
        <x:f>(B92/B91-1)*100</x:f>
        <x:v>0.07035388242977447</x:v>
      </x:c>
      <x:c r="D92" s="34" t="n">
        <x:f>Assumptions!$B$4*D91+(1-Assumptions!$B$4)*C91^2</x:f>
        <x:v>0.5390999400519697</x:v>
      </x:c>
      <x:c r="E92" s="34" t="n">
        <x:f>SQRT(D92)</x:f>
        <x:v>0.734234254207722</x:v>
      </x:c>
      <x:c r="F92" s="34" t="n">
        <x:f>-Assumptions!$B$7*E92</x:f>
        <x:v>1.2077078760655813</x:v>
      </x:c>
      <x:c r="G92" s="34" t="n">
        <x:f>-Assumptions!$B$8*E92</x:f>
        <x:v>1.708084296324096</x:v>
      </x:c>
      <x:c r="H92" s="34" t="n">
        <x:f>-Assumptions!$B$9*E92</x:f>
        <x:v>1.1460293406231767</x:v>
      </x:c>
      <x:c r="I92" s="34" t="n">
        <x:f>-Assumptions!$B$10*E92</x:f>
        <x:v>1.9137548341431616</x:v>
      </x:c>
      <x:c r="J92" s="36" t="n">
        <x:f>IF(C92&lt;-F92,1,0)</x:f>
        <x:v>0</x:v>
      </x:c>
      <x:c r="K92" s="36" t="n">
        <x:f>IF(C92&lt;-G92,1,0)</x:f>
        <x:v>0</x:v>
      </x:c>
      <x:c r="L92" s="36" t="n">
        <x:f>IF(C92&lt;-H92,1,0)</x:f>
        <x:v>0</x:v>
      </x:c>
      <x:c r="M92" s="36" t="n">
        <x:f>IF(C92&lt;-I92,1,0)</x:f>
        <x:v>0</x:v>
      </x:c>
      <x:c r="N92" s="34" t="n">
        <x:f>-F92</x:f>
        <x:v>-1.2077078760655813</x:v>
      </x:c>
      <x:c r="O92" s="34" t="n">
        <x:f>-H92</x:f>
        <x:v>-1.1460293406231767</x:v>
      </x:c>
      <x:c r="P92" s="34" t="n">
        <x:f>-G92</x:f>
        <x:v>-1.708084296324096</x:v>
      </x:c>
      <x:c r="Q92" s="34" t="n">
        <x:f>-I92</x:f>
        <x:v>-1.9137548341431616</x:v>
      </x:c>
      <x:c r="R92" s="36" t="n">
        <x:f>YEAR(A92)</x:f>
        <x:v>2021</x:v>
      </x:c>
    </x:row>
    <x:row r="93">
      <x:c r="A93" s="30" t="n">
        <x:v>44322</x:v>
      </x:c>
      <x:c r="B93" s="38" t="n">
        <x:v>4201.62</x:v>
      </x:c>
      <x:c r="C93" s="34" t="n">
        <x:f>(B93/B92-1)*100</x:f>
        <x:v>0.8165390549454088</x:v>
      </x:c>
      <x:c r="D93" s="34" t="n">
        <x:f>Assumptions!$B$4*D92+(1-Assumptions!$B$4)*C92^2</x:f>
        <x:v>0.5070509237752281</x:v>
      </x:c>
      <x:c r="E93" s="34" t="n">
        <x:f>SQRT(D93)</x:f>
        <x:v>0.712075082961922</x:v>
      </x:c>
      <x:c r="F93" s="34" t="n">
        <x:f>-Assumptions!$B$7*E93</x:f>
        <x:v>1.1712592828716883</x:v>
      </x:c>
      <x:c r="G93" s="34" t="n">
        <x:f>-Assumptions!$B$8*E93</x:f>
        <x:v>1.6565343554059222</x:v>
      </x:c>
      <x:c r="H93" s="34" t="n">
        <x:f>-Assumptions!$B$9*E93</x:f>
        <x:v>1.1114422040709835</x:v>
      </x:c>
      <x:c r="I93" s="34" t="n">
        <x:f>-Assumptions!$B$10*E93</x:f>
        <x:v>1.8559977615886871</x:v>
      </x:c>
      <x:c r="J93" s="36" t="n">
        <x:f>IF(C93&lt;-F93,1,0)</x:f>
        <x:v>0</x:v>
      </x:c>
      <x:c r="K93" s="36" t="n">
        <x:f>IF(C93&lt;-G93,1,0)</x:f>
        <x:v>0</x:v>
      </x:c>
      <x:c r="L93" s="36" t="n">
        <x:f>IF(C93&lt;-H93,1,0)</x:f>
        <x:v>0</x:v>
      </x:c>
      <x:c r="M93" s="36" t="n">
        <x:f>IF(C93&lt;-I93,1,0)</x:f>
        <x:v>0</x:v>
      </x:c>
      <x:c r="N93" s="34" t="n">
        <x:f>-F93</x:f>
        <x:v>-1.1712592828716883</x:v>
      </x:c>
      <x:c r="O93" s="34" t="n">
        <x:f>-H93</x:f>
        <x:v>-1.1114422040709835</x:v>
      </x:c>
      <x:c r="P93" s="34" t="n">
        <x:f>-G93</x:f>
        <x:v>-1.6565343554059222</x:v>
      </x:c>
      <x:c r="Q93" s="34" t="n">
        <x:f>-I93</x:f>
        <x:v>-1.8559977615886871</x:v>
      </x:c>
      <x:c r="R93" s="36" t="n">
        <x:f>YEAR(A93)</x:f>
        <x:v>2021</x:v>
      </x:c>
    </x:row>
    <x:row r="94">
      <x:c r="A94" s="30" t="n">
        <x:v>44323</x:v>
      </x:c>
      <x:c r="B94" s="38" t="n">
        <x:v>4232.6</x:v>
      </x:c>
      <x:c r="C94" s="34" t="n">
        <x:f>(B94/B93-1)*100</x:f>
        <x:v>0.7373346471123199</x:v>
      </x:c>
      <x:c r="D94" s="34" t="n">
        <x:f>Assumptions!$B$4*D93+(1-Assumptions!$B$4)*C93^2</x:f>
        <x:v>0.5166320300437829</x:v>
      </x:c>
      <x:c r="E94" s="34" t="n">
        <x:f>SQRT(D94)</x:f>
        <x:v>0.7187711945005746</x:v>
      </x:c>
      <x:c r="F94" s="34" t="n">
        <x:f>-Assumptions!$B$7*E94</x:f>
        <x:v>1.1822734062225126</x:v>
      </x:c>
      <x:c r="G94" s="34" t="n">
        <x:f>-Assumptions!$B$8*E94</x:f>
        <x:v>1.672111840248207</x:v>
      </x:c>
      <x:c r="H94" s="34" t="n">
        <x:f>-Assumptions!$B$9*E94</x:f>
        <x:v>1.121893827987198</x:v>
      </x:c>
      <x:c r="I94" s="34" t="n">
        <x:f>-Assumptions!$B$10*E94</x:f>
        <x:v>1.873450932363028</x:v>
      </x:c>
      <x:c r="J94" s="36" t="n">
        <x:f>IF(C94&lt;-F94,1,0)</x:f>
        <x:v>0</x:v>
      </x:c>
      <x:c r="K94" s="36" t="n">
        <x:f>IF(C94&lt;-G94,1,0)</x:f>
        <x:v>0</x:v>
      </x:c>
      <x:c r="L94" s="36" t="n">
        <x:f>IF(C94&lt;-H94,1,0)</x:f>
        <x:v>0</x:v>
      </x:c>
      <x:c r="M94" s="36" t="n">
        <x:f>IF(C94&lt;-I94,1,0)</x:f>
        <x:v>0</x:v>
      </x:c>
      <x:c r="N94" s="34" t="n">
        <x:f>-F94</x:f>
        <x:v>-1.1822734062225126</x:v>
      </x:c>
      <x:c r="O94" s="34" t="n">
        <x:f>-H94</x:f>
        <x:v>-1.121893827987198</x:v>
      </x:c>
      <x:c r="P94" s="34" t="n">
        <x:f>-G94</x:f>
        <x:v>-1.672111840248207</x:v>
      </x:c>
      <x:c r="Q94" s="34" t="n">
        <x:f>-I94</x:f>
        <x:v>-1.873450932363028</x:v>
      </x:c>
      <x:c r="R94" s="36" t="n">
        <x:f>YEAR(A94)</x:f>
        <x:v>2021</x:v>
      </x:c>
    </x:row>
    <x:row r="95">
      <x:c r="A95" s="30" t="n">
        <x:v>44326</x:v>
      </x:c>
      <x:c r="B95" s="38" t="n">
        <x:v>4188.43</x:v>
      </x:c>
      <x:c r="C95" s="34" t="n">
        <x:f>(B95/B94-1)*100</x:f>
        <x:v>-1.0435666020885526</x:v>
      </x:c>
      <x:c r="D95" s="34" t="n">
        <x:f>Assumptions!$B$4*D94+(1-Assumptions!$B$4)*C94^2</x:f>
        <x:v>0.5182538511510909</x:v>
      </x:c>
      <x:c r="E95" s="34" t="n">
        <x:f>SQRT(D95)</x:f>
        <x:v>0.719898500589556</x:v>
      </x:c>
      <x:c r="F95" s="34" t="n">
        <x:f>-Assumptions!$B$7*E95</x:f>
        <x:v>1.1841276597316581</x:v>
      </x:c>
      <x:c r="G95" s="34" t="n">
        <x:f>-Assumptions!$B$8*E95</x:f>
        <x:v>1.6747343463717022</x:v>
      </x:c>
      <x:c r="H95" s="34" t="n">
        <x:f>-Assumptions!$B$9*E95</x:f>
        <x:v>1.123653383396704</x:v>
      </x:c>
      <x:c r="I95" s="34" t="n">
        <x:f>-Assumptions!$B$10*E95</x:f>
        <x:v>1.8763892146142083</x:v>
      </x:c>
      <x:c r="J95" s="36" t="n">
        <x:f>IF(C95&lt;-F95,1,0)</x:f>
        <x:v>0</x:v>
      </x:c>
      <x:c r="K95" s="36" t="n">
        <x:f>IF(C95&lt;-G95,1,0)</x:f>
        <x:v>0</x:v>
      </x:c>
      <x:c r="L95" s="36" t="n">
        <x:f>IF(C95&lt;-H95,1,0)</x:f>
        <x:v>0</x:v>
      </x:c>
      <x:c r="M95" s="36" t="n">
        <x:f>IF(C95&lt;-I95,1,0)</x:f>
        <x:v>0</x:v>
      </x:c>
      <x:c r="N95" s="34" t="n">
        <x:f>-F95</x:f>
        <x:v>-1.1841276597316581</x:v>
      </x:c>
      <x:c r="O95" s="34" t="n">
        <x:f>-H95</x:f>
        <x:v>-1.123653383396704</x:v>
      </x:c>
      <x:c r="P95" s="34" t="n">
        <x:f>-G95</x:f>
        <x:v>-1.6747343463717022</x:v>
      </x:c>
      <x:c r="Q95" s="34" t="n">
        <x:f>-I95</x:f>
        <x:v>-1.8763892146142083</x:v>
      </x:c>
      <x:c r="R95" s="36" t="n">
        <x:f>YEAR(A95)</x:f>
        <x:v>2021</x:v>
      </x:c>
    </x:row>
    <x:row r="96">
      <x:c r="A96" s="30" t="n">
        <x:v>44327</x:v>
      </x:c>
      <x:c r="B96" s="38" t="n">
        <x:v>4152.1</x:v>
      </x:c>
      <x:c r="C96" s="34" t="n">
        <x:f>(B96/B95-1)*100</x:f>
        <x:v>-0.8673894514173552</x:v>
      </x:c>
      <x:c r="D96" s="34" t="n">
        <x:f>Assumptions!$B$4*D95+(1-Assumptions!$B$4)*C95^2</x:f>
        <x:v>0.5525004952617043</x:v>
      </x:c>
      <x:c r="E96" s="34" t="n">
        <x:f>SQRT(D96)</x:f>
        <x:v>0.743303770514925</x:v>
      </x:c>
      <x:c r="F96" s="34" t="n">
        <x:f>-Assumptions!$B$7*E96</x:f>
        <x:v>1.2226259028581796</x:v>
      </x:c>
      <x:c r="G96" s="34" t="n">
        <x:f>-Assumptions!$B$8*E96</x:f>
        <x:v>1.7291831463039364</x:v>
      </x:c>
      <x:c r="H96" s="34" t="n">
        <x:f>-Assumptions!$B$9*E96</x:f>
        <x:v>1.1601854927418636</x:v>
      </x:c>
      <x:c r="I96" s="34" t="n">
        <x:f>-Assumptions!$B$10*E96</x:f>
        <x:v>1.937394197979406</x:v>
      </x:c>
      <x:c r="J96" s="36" t="n">
        <x:f>IF(C96&lt;-F96,1,0)</x:f>
        <x:v>0</x:v>
      </x:c>
      <x:c r="K96" s="36" t="n">
        <x:f>IF(C96&lt;-G96,1,0)</x:f>
        <x:v>0</x:v>
      </x:c>
      <x:c r="L96" s="36" t="n">
        <x:f>IF(C96&lt;-H96,1,0)</x:f>
        <x:v>0</x:v>
      </x:c>
      <x:c r="M96" s="36" t="n">
        <x:f>IF(C96&lt;-I96,1,0)</x:f>
        <x:v>0</x:v>
      </x:c>
      <x:c r="N96" s="34" t="n">
        <x:f>-F96</x:f>
        <x:v>-1.2226259028581796</x:v>
      </x:c>
      <x:c r="O96" s="34" t="n">
        <x:f>-H96</x:f>
        <x:v>-1.1601854927418636</x:v>
      </x:c>
      <x:c r="P96" s="34" t="n">
        <x:f>-G96</x:f>
        <x:v>-1.7291831463039364</x:v>
      </x:c>
      <x:c r="Q96" s="34" t="n">
        <x:f>-I96</x:f>
        <x:v>-1.937394197979406</x:v>
      </x:c>
      <x:c r="R96" s="36" t="n">
        <x:f>YEAR(A96)</x:f>
        <x:v>2021</x:v>
      </x:c>
    </x:row>
    <x:row r="97">
      <x:c r="A97" s="30" t="n">
        <x:v>44328</x:v>
      </x:c>
      <x:c r="B97" s="38" t="n">
        <x:v>4063.04</x:v>
      </x:c>
      <x:c r="C97" s="34" t="n">
        <x:f>(B97/B96-1)*100</x:f>
        <x:v>-2.1449387057151936</x:v>
      </x:c>
      <x:c r="D97" s="34" t="n">
        <x:f>Assumptions!$B$4*D96+(1-Assumptions!$B$4)*C96^2</x:f>
        <x:v>0.5644923331718081</x:v>
      </x:c>
      <x:c r="E97" s="34" t="n">
        <x:f>SQRT(D97)</x:f>
        <x:v>0.7513270480768066</x:v>
      </x:c>
      <x:c r="F97" s="34" t="n">
        <x:f>-Assumptions!$B$7*E97</x:f>
        <x:v>1.235823020055879</x:v>
      </x:c>
      <x:c r="G97" s="34" t="n">
        <x:f>-Assumptions!$B$8*E97</x:f>
        <x:v>1.7478480810028594</x:v>
      </x:c>
      <x:c r="H97" s="34" t="n">
        <x:f>-Assumptions!$B$9*E97</x:f>
        <x:v>1.1727086233928594</x:v>
      </x:c>
      <x:c r="I97" s="34" t="n">
        <x:f>-Assumptions!$B$10*E97</x:f>
        <x:v>1.9583065786422937</x:v>
      </x:c>
      <x:c r="J97" s="36" t="n">
        <x:f>IF(C97&lt;-F97,1,0)</x:f>
        <x:v>1</x:v>
      </x:c>
      <x:c r="K97" s="36" t="n">
        <x:f>IF(C97&lt;-G97,1,0)</x:f>
        <x:v>1</x:v>
      </x:c>
      <x:c r="L97" s="36" t="n">
        <x:f>IF(C97&lt;-H97,1,0)</x:f>
        <x:v>1</x:v>
      </x:c>
      <x:c r="M97" s="36" t="n">
        <x:f>IF(C97&lt;-I97,1,0)</x:f>
        <x:v>1</x:v>
      </x:c>
      <x:c r="N97" s="34" t="n">
        <x:f>-F97</x:f>
        <x:v>-1.235823020055879</x:v>
      </x:c>
      <x:c r="O97" s="34" t="n">
        <x:f>-H97</x:f>
        <x:v>-1.1727086233928594</x:v>
      </x:c>
      <x:c r="P97" s="34" t="n">
        <x:f>-G97</x:f>
        <x:v>-1.7478480810028594</x:v>
      </x:c>
      <x:c r="Q97" s="34" t="n">
        <x:f>-I97</x:f>
        <x:v>-1.9583065786422937</x:v>
      </x:c>
      <x:c r="R97" s="36" t="n">
        <x:f>YEAR(A97)</x:f>
        <x:v>2021</x:v>
      </x:c>
    </x:row>
    <x:row r="98">
      <x:c r="A98" s="30" t="n">
        <x:v>44329</x:v>
      </x:c>
      <x:c r="B98" s="38" t="n">
        <x:v>4112.5</x:v>
      </x:c>
      <x:c r="C98" s="34" t="n">
        <x:f>(B98/B97-1)*100</x:f>
        <x:v>1.2173151138064053</x:v>
      </x:c>
      <x:c r="D98" s="34" t="n">
        <x:f>Assumptions!$B$4*D97+(1-Assumptions!$B$4)*C97^2</x:f>
        <x:v>0.8066685162580101</x:v>
      </x:c>
      <x:c r="E98" s="34" t="n">
        <x:f>SQRT(D98)</x:f>
        <x:v>0.8981472686915047</x:v>
      </x:c>
      <x:c r="F98" s="34" t="n">
        <x:f>-Assumptions!$B$7*E98</x:f>
        <x:v>1.4773207924437806</x:v>
      </x:c>
      <x:c r="G98" s="34" t="n">
        <x:f>-Assumptions!$B$8*E98</x:f>
        <x:v>2.0894029890960693</x:v>
      </x:c>
      <x:c r="H98" s="34" t="n">
        <x:f>-Assumptions!$B$9*E98</x:f>
        <x:v>1.4018729257349964</x:v>
      </x:c>
      <x:c r="I98" s="34" t="n">
        <x:f>-Assumptions!$B$10*E98</x:f>
        <x:v>2.3409881347548374</x:v>
      </x:c>
      <x:c r="J98" s="36" t="n">
        <x:f>IF(C98&lt;-F98,1,0)</x:f>
        <x:v>0</x:v>
      </x:c>
      <x:c r="K98" s="36" t="n">
        <x:f>IF(C98&lt;-G98,1,0)</x:f>
        <x:v>0</x:v>
      </x:c>
      <x:c r="L98" s="36" t="n">
        <x:f>IF(C98&lt;-H98,1,0)</x:f>
        <x:v>0</x:v>
      </x:c>
      <x:c r="M98" s="36" t="n">
        <x:f>IF(C98&lt;-I98,1,0)</x:f>
        <x:v>0</x:v>
      </x:c>
      <x:c r="N98" s="34" t="n">
        <x:f>-F98</x:f>
        <x:v>-1.4773207924437806</x:v>
      </x:c>
      <x:c r="O98" s="34" t="n">
        <x:f>-H98</x:f>
        <x:v>-1.4018729257349964</x:v>
      </x:c>
      <x:c r="P98" s="34" t="n">
        <x:f>-G98</x:f>
        <x:v>-2.0894029890960693</x:v>
      </x:c>
      <x:c r="Q98" s="34" t="n">
        <x:f>-I98</x:f>
        <x:v>-2.3409881347548374</x:v>
      </x:c>
      <x:c r="R98" s="36" t="n">
        <x:f>YEAR(A98)</x:f>
        <x:v>2021</x:v>
      </x:c>
    </x:row>
    <x:row r="99">
      <x:c r="A99" s="30" t="n">
        <x:v>44330</x:v>
      </x:c>
      <x:c r="B99" s="38" t="n">
        <x:v>4173.85</x:v>
      </x:c>
      <x:c r="C99" s="34" t="n">
        <x:f>(B99/B98-1)*100</x:f>
        <x:v>1.4917933130699224</x:v>
      </x:c>
      <x:c r="D99" s="34" t="n">
        <x:f>Assumptions!$B$4*D98+(1-Assumptions!$B$4)*C98^2</x:f>
        <x:v>0.8471797704606195</x:v>
      </x:c>
      <x:c r="E99" s="34" t="n">
        <x:f>SQRT(D99)</x:f>
        <x:v>0.9204236907319474</x:v>
      </x:c>
      <x:c r="F99" s="34" t="n">
        <x:f>-Assumptions!$B$7*E99</x:f>
        <x:v>1.5139622460325044</x:v>
      </x:c>
      <x:c r="G99" s="34" t="n">
        <x:f>-Assumptions!$B$8*E99</x:f>
        <x:v>2.1412256961510896</x:v>
      </x:c>
      <x:c r="H99" s="34" t="n">
        <x:f>-Assumptions!$B$9*E99</x:f>
        <x:v>1.4366430731588586</x:v>
      </x:c>
      <x:c r="I99" s="34" t="n">
        <x:f>-Assumptions!$B$10*E99</x:f>
        <x:v>2.3990508172338947</x:v>
      </x:c>
      <x:c r="J99" s="36" t="n">
        <x:f>IF(C99&lt;-F99,1,0)</x:f>
        <x:v>0</x:v>
      </x:c>
      <x:c r="K99" s="36" t="n">
        <x:f>IF(C99&lt;-G99,1,0)</x:f>
        <x:v>0</x:v>
      </x:c>
      <x:c r="L99" s="36" t="n">
        <x:f>IF(C99&lt;-H99,1,0)</x:f>
        <x:v>0</x:v>
      </x:c>
      <x:c r="M99" s="36" t="n">
        <x:f>IF(C99&lt;-I99,1,0)</x:f>
        <x:v>0</x:v>
      </x:c>
      <x:c r="N99" s="34" t="n">
        <x:f>-F99</x:f>
        <x:v>-1.5139622460325044</x:v>
      </x:c>
      <x:c r="O99" s="34" t="n">
        <x:f>-H99</x:f>
        <x:v>-1.4366430731588586</x:v>
      </x:c>
      <x:c r="P99" s="34" t="n">
        <x:f>-G99</x:f>
        <x:v>-2.1412256961510896</x:v>
      </x:c>
      <x:c r="Q99" s="34" t="n">
        <x:f>-I99</x:f>
        <x:v>-2.3990508172338947</x:v>
      </x:c>
      <x:c r="R99" s="36" t="n">
        <x:f>YEAR(A99)</x:f>
        <x:v>2021</x:v>
      </x:c>
    </x:row>
    <x:row r="100">
      <x:c r="A100" s="30" t="n">
        <x:v>44333</x:v>
      </x:c>
      <x:c r="B100" s="38" t="n">
        <x:v>4163.29</x:v>
      </x:c>
      <x:c r="C100" s="34" t="n">
        <x:f>(B100/B99-1)*100</x:f>
        <x:v>-0.25300382141189015</x:v>
      </x:c>
      <x:c r="D100" s="34" t="n">
        <x:f>Assumptions!$B$4*D99+(1-Assumptions!$B$4)*C99^2</x:f>
        <x:v>0.9298758215681905</x:v>
      </x:c>
      <x:c r="E100" s="34" t="n">
        <x:f>SQRT(D100)</x:f>
        <x:v>0.9643006904322896</x:v>
      </x:c>
      <x:c r="F100" s="34" t="n">
        <x:f>-Assumptions!$B$7*E100</x:f>
        <x:v>1.586133488129361</x:v>
      </x:c>
      <x:c r="G100" s="34" t="n">
        <x:f>-Assumptions!$B$8*E100</x:f>
        <x:v>2.2432988611232716</x:v>
      </x:c>
      <x:c r="H100" s="34" t="n">
        <x:f>-Assumptions!$B$9*E100</x:f>
        <x:v>1.5051284764847577</x:v>
      </x:c>
      <x:c r="I100" s="34" t="n">
        <x:f>-Assumptions!$B$10*E100</x:f>
        <x:v>2.5134146184363266</x:v>
      </x:c>
      <x:c r="J100" s="36" t="n">
        <x:f>IF(C100&lt;-F100,1,0)</x:f>
        <x:v>0</x:v>
      </x:c>
      <x:c r="K100" s="36" t="n">
        <x:f>IF(C100&lt;-G100,1,0)</x:f>
        <x:v>0</x:v>
      </x:c>
      <x:c r="L100" s="36" t="n">
        <x:f>IF(C100&lt;-H100,1,0)</x:f>
        <x:v>0</x:v>
      </x:c>
      <x:c r="M100" s="36" t="n">
        <x:f>IF(C100&lt;-I100,1,0)</x:f>
        <x:v>0</x:v>
      </x:c>
      <x:c r="N100" s="34" t="n">
        <x:f>-F100</x:f>
        <x:v>-1.586133488129361</x:v>
      </x:c>
      <x:c r="O100" s="34" t="n">
        <x:f>-H100</x:f>
        <x:v>-1.5051284764847577</x:v>
      </x:c>
      <x:c r="P100" s="34" t="n">
        <x:f>-G100</x:f>
        <x:v>-2.2432988611232716</x:v>
      </x:c>
      <x:c r="Q100" s="34" t="n">
        <x:f>-I100</x:f>
        <x:v>-2.5134146184363266</x:v>
      </x:c>
      <x:c r="R100" s="36" t="n">
        <x:f>YEAR(A100)</x:f>
        <x:v>2021</x:v>
      </x:c>
    </x:row>
    <x:row r="101">
      <x:c r="A101" s="30" t="n">
        <x:v>44334</x:v>
      </x:c>
      <x:c r="B101" s="38" t="n">
        <x:v>4127.83</x:v>
      </x:c>
      <x:c r="C101" s="34" t="n">
        <x:f>(B101/B100-1)*100</x:f>
        <x:v>-0.8517302421882755</x:v>
      </x:c>
      <x:c r="D101" s="34" t="n">
        <x:f>Assumptions!$B$4*D100+(1-Assumptions!$B$4)*C100^2</x:f>
        <x:v>0.8779239282930402</x:v>
      </x:c>
      <x:c r="E101" s="34" t="n">
        <x:f>SQRT(D101)</x:f>
        <x:v>0.9369759486203689</x:v>
      </x:c>
      <x:c r="F101" s="34" t="n">
        <x:f>-Assumptions!$B$7*E101</x:f>
        <x:v>1.5411882874545106</x:v>
      </x:c>
      <x:c r="G101" s="34" t="n">
        <x:f>-Assumptions!$B$8*E101</x:f>
        <x:v>2.179732006100395</x:v>
      </x:c>
      <x:c r="H101" s="34" t="n">
        <x:f>-Assumptions!$B$9*E101</x:f>
        <x:v>1.4624786604867224</x:v>
      </x:c>
      <x:c r="I101" s="34" t="n">
        <x:f>-Assumptions!$B$10*E101</x:f>
        <x:v>2.442193674392108</x:v>
      </x:c>
      <x:c r="J101" s="36" t="n">
        <x:f>IF(C101&lt;-F101,1,0)</x:f>
        <x:v>0</x:v>
      </x:c>
      <x:c r="K101" s="36" t="n">
        <x:f>IF(C101&lt;-G101,1,0)</x:f>
        <x:v>0</x:v>
      </x:c>
      <x:c r="L101" s="36" t="n">
        <x:f>IF(C101&lt;-H101,1,0)</x:f>
        <x:v>0</x:v>
      </x:c>
      <x:c r="M101" s="36" t="n">
        <x:f>IF(C101&lt;-I101,1,0)</x:f>
        <x:v>0</x:v>
      </x:c>
      <x:c r="N101" s="34" t="n">
        <x:f>-F101</x:f>
        <x:v>-1.5411882874545106</x:v>
      </x:c>
      <x:c r="O101" s="34" t="n">
        <x:f>-H101</x:f>
        <x:v>-1.4624786604867224</x:v>
      </x:c>
      <x:c r="P101" s="34" t="n">
        <x:f>-G101</x:f>
        <x:v>-2.179732006100395</x:v>
      </x:c>
      <x:c r="Q101" s="34" t="n">
        <x:f>-I101</x:f>
        <x:v>-2.442193674392108</x:v>
      </x:c>
      <x:c r="R101" s="36" t="n">
        <x:f>YEAR(A101)</x:f>
        <x:v>2021</x:v>
      </x:c>
    </x:row>
    <x:row r="102">
      <x:c r="A102" s="30" t="n">
        <x:v>44335</x:v>
      </x:c>
      <x:c r="B102" s="38" t="n">
        <x:v>4115.68</x:v>
      </x:c>
      <x:c r="C102" s="34" t="n">
        <x:f>(B102/B101-1)*100</x:f>
        <x:v>-0.2943435170537412</x:v>
      </x:c>
      <x:c r="D102" s="34" t="n">
        <x:f>Assumptions!$B$4*D101+(1-Assumptions!$B$4)*C101^2</x:f>
        <x:v>0.8687751569229437</x:v>
      </x:c>
      <x:c r="E102" s="34" t="n">
        <x:f>SQRT(D102)</x:f>
        <x:v>0.9320810892422094</x:v>
      </x:c>
      <x:c r="F102" s="34" t="n">
        <x:f>-Assumptions!$B$7*E102</x:f>
        <x:v>1.5331369602529277</x:v>
      </x:c>
      <x:c r="G102" s="34" t="n">
        <x:f>-Assumptions!$B$8*E102</x:f>
        <x:v>2.168344860392285</x:v>
      </x:c>
      <x:c r="H102" s="34" t="n">
        <x:f>-Assumptions!$B$9*E102</x:f>
        <x:v>1.4548385205266925</x:v>
      </x:c>
      <x:c r="I102" s="34" t="n">
        <x:f>-Assumptions!$B$10*E102</x:f>
        <x:v>2.4294354017512982</x:v>
      </x:c>
      <x:c r="J102" s="36" t="n">
        <x:f>IF(C102&lt;-F102,1,0)</x:f>
        <x:v>0</x:v>
      </x:c>
      <x:c r="K102" s="36" t="n">
        <x:f>IF(C102&lt;-G102,1,0)</x:f>
        <x:v>0</x:v>
      </x:c>
      <x:c r="L102" s="36" t="n">
        <x:f>IF(C102&lt;-H102,1,0)</x:f>
        <x:v>0</x:v>
      </x:c>
      <x:c r="M102" s="36" t="n">
        <x:f>IF(C102&lt;-I102,1,0)</x:f>
        <x:v>0</x:v>
      </x:c>
      <x:c r="N102" s="34" t="n">
        <x:f>-F102</x:f>
        <x:v>-1.5331369602529277</x:v>
      </x:c>
      <x:c r="O102" s="34" t="n">
        <x:f>-H102</x:f>
        <x:v>-1.4548385205266925</x:v>
      </x:c>
      <x:c r="P102" s="34" t="n">
        <x:f>-G102</x:f>
        <x:v>-2.168344860392285</x:v>
      </x:c>
      <x:c r="Q102" s="34" t="n">
        <x:f>-I102</x:f>
        <x:v>-2.4294354017512982</x:v>
      </x:c>
      <x:c r="R102" s="36" t="n">
        <x:f>YEAR(A102)</x:f>
        <x:v>2021</x:v>
      </x:c>
    </x:row>
    <x:row r="103">
      <x:c r="A103" s="30" t="n">
        <x:v>44336</x:v>
      </x:c>
      <x:c r="B103" s="38" t="n">
        <x:v>4159.12</x:v>
      </x:c>
      <x:c r="C103" s="34" t="n">
        <x:f>(B103/B102-1)*100</x:f>
        <x:v>1.055475644364945</x:v>
      </x:c>
      <x:c r="D103" s="34" t="n">
        <x:f>Assumptions!$B$4*D102+(1-Assumptions!$B$4)*C102^2</x:f>
        <x:v>0.8218469338694611</x:v>
      </x:c>
      <x:c r="E103" s="34" t="n">
        <x:f>SQRT(D103)</x:f>
        <x:v>0.906557738850351</x:v>
      </x:c>
      <x:c r="F103" s="34" t="n">
        <x:f>-Assumptions!$B$7*E103</x:f>
        <x:v>1.491154784788926</x:v>
      </x:c>
      <x:c r="G103" s="34" t="n">
        <x:f>-Assumptions!$B$8*E103</x:f>
        <x:v>2.1089686684697853</x:v>
      </x:c>
      <x:c r="H103" s="34" t="n">
        <x:f>-Assumptions!$B$9*E103</x:f>
        <x:v>1.415000405848103</x:v>
      </x:c>
      <x:c r="I103" s="34" t="n">
        <x:f>-Assumptions!$B$10*E103</x:f>
        <x:v>2.3629097188156036</x:v>
      </x:c>
      <x:c r="J103" s="36" t="n">
        <x:f>IF(C103&lt;-F103,1,0)</x:f>
        <x:v>0</x:v>
      </x:c>
      <x:c r="K103" s="36" t="n">
        <x:f>IF(C103&lt;-G103,1,0)</x:f>
        <x:v>0</x:v>
      </x:c>
      <x:c r="L103" s="36" t="n">
        <x:f>IF(C103&lt;-H103,1,0)</x:f>
        <x:v>0</x:v>
      </x:c>
      <x:c r="M103" s="36" t="n">
        <x:f>IF(C103&lt;-I103,1,0)</x:f>
        <x:v>0</x:v>
      </x:c>
      <x:c r="N103" s="34" t="n">
        <x:f>-F103</x:f>
        <x:v>-1.491154784788926</x:v>
      </x:c>
      <x:c r="O103" s="34" t="n">
        <x:f>-H103</x:f>
        <x:v>-1.415000405848103</x:v>
      </x:c>
      <x:c r="P103" s="34" t="n">
        <x:f>-G103</x:f>
        <x:v>-2.1089686684697853</x:v>
      </x:c>
      <x:c r="Q103" s="34" t="n">
        <x:f>-I103</x:f>
        <x:v>-2.3629097188156036</x:v>
      </x:c>
      <x:c r="R103" s="36" t="n">
        <x:f>YEAR(A103)</x:f>
        <x:v>2021</x:v>
      </x:c>
    </x:row>
    <x:row r="104">
      <x:c r="A104" s="30" t="n">
        <x:v>44337</x:v>
      </x:c>
      <x:c r="B104" s="38" t="n">
        <x:v>4155.86</x:v>
      </x:c>
      <x:c r="C104" s="34" t="n">
        <x:f>(B104/B103-1)*100</x:f>
        <x:v>-0.07838196541576359</x:v>
      </x:c>
      <x:c r="D104" s="34" t="n">
        <x:f>Assumptions!$B$4*D103+(1-Assumptions!$B$4)*C103^2</x:f>
        <x:v>0.8393778479881492</x:v>
      </x:c>
      <x:c r="E104" s="34" t="n">
        <x:f>SQRT(D104)</x:f>
        <x:v>0.9161756643723676</x:v>
      </x:c>
      <x:c r="F104" s="34" t="n">
        <x:f>-Assumptions!$B$7*E104</x:f>
        <x:v>1.5069748644675642</x:v>
      </x:c>
      <x:c r="G104" s="34" t="n">
        <x:f>-Assumptions!$B$8*E104</x:f>
        <x:v>2.131343309060612</x:v>
      </x:c>
      <x:c r="H104" s="34" t="n">
        <x:f>-Assumptions!$B$9*E104</x:f>
        <x:v>1.4300125423440408</x:v>
      </x:c>
      <x:c r="I104" s="34" t="n">
        <x:f>-Assumptions!$B$10*E104</x:f>
        <x:v>2.387978491290745</x:v>
      </x:c>
      <x:c r="J104" s="36" t="n">
        <x:f>IF(C104&lt;-F104,1,0)</x:f>
        <x:v>0</x:v>
      </x:c>
      <x:c r="K104" s="36" t="n">
        <x:f>IF(C104&lt;-G104,1,0)</x:f>
        <x:v>0</x:v>
      </x:c>
      <x:c r="L104" s="36" t="n">
        <x:f>IF(C104&lt;-H104,1,0)</x:f>
        <x:v>0</x:v>
      </x:c>
      <x:c r="M104" s="36" t="n">
        <x:f>IF(C104&lt;-I104,1,0)</x:f>
        <x:v>0</x:v>
      </x:c>
      <x:c r="N104" s="34" t="n">
        <x:f>-F104</x:f>
        <x:v>-1.5069748644675642</x:v>
      </x:c>
      <x:c r="O104" s="34" t="n">
        <x:f>-H104</x:f>
        <x:v>-1.4300125423440408</x:v>
      </x:c>
      <x:c r="P104" s="34" t="n">
        <x:f>-G104</x:f>
        <x:v>-2.131343309060612</x:v>
      </x:c>
      <x:c r="Q104" s="34" t="n">
        <x:f>-I104</x:f>
        <x:v>-2.387978491290745</x:v>
      </x:c>
      <x:c r="R104" s="36" t="n">
        <x:f>YEAR(A104)</x:f>
        <x:v>2021</x:v>
      </x:c>
    </x:row>
    <x:row r="105">
      <x:c r="A105" s="30" t="n">
        <x:v>44340</x:v>
      </x:c>
      <x:c r="B105" s="38" t="n">
        <x:v>4197.05</x:v>
      </x:c>
      <x:c r="C105" s="34" t="n">
        <x:f>(B105/B104-1)*100</x:f>
        <x:v>0.9911305963146155</x:v>
      </x:c>
      <x:c r="D105" s="34" t="n">
        <x:f>Assumptions!$B$4*D104+(1-Assumptions!$B$4)*C104^2</x:f>
        <x:v>0.7893838010590064</x:v>
      </x:c>
      <x:c r="E105" s="34" t="n">
        <x:f>SQRT(D105)</x:f>
        <x:v>0.8884727351241604</x:v>
      </x:c>
      <x:c r="F105" s="34" t="n">
        <x:f>-Assumptions!$B$7*E105</x:f>
        <x:v>1.4614076008164705</x:v>
      </x:c>
      <x:c r="G105" s="34" t="n">
        <x:f>-Assumptions!$B$8*E105</x:f>
        <x:v>2.066896658499341</x:v>
      </x:c>
      <x:c r="H105" s="34" t="n">
        <x:f>-Assumptions!$B$9*E105</x:f>
        <x:v>1.3867724325865471</x:v>
      </x:c>
      <x:c r="I105" s="34" t="n">
        <x:f>-Assumptions!$B$10*E105</x:f>
        <x:v>2.3157718154718805</x:v>
      </x:c>
      <x:c r="J105" s="36" t="n">
        <x:f>IF(C105&lt;-F105,1,0)</x:f>
        <x:v>0</x:v>
      </x:c>
      <x:c r="K105" s="36" t="n">
        <x:f>IF(C105&lt;-G105,1,0)</x:f>
        <x:v>0</x:v>
      </x:c>
      <x:c r="L105" s="36" t="n">
        <x:f>IF(C105&lt;-H105,1,0)</x:f>
        <x:v>0</x:v>
      </x:c>
      <x:c r="M105" s="36" t="n">
        <x:f>IF(C105&lt;-I105,1,0)</x:f>
        <x:v>0</x:v>
      </x:c>
      <x:c r="N105" s="34" t="n">
        <x:f>-F105</x:f>
        <x:v>-1.4614076008164705</x:v>
      </x:c>
      <x:c r="O105" s="34" t="n">
        <x:f>-H105</x:f>
        <x:v>-1.3867724325865471</x:v>
      </x:c>
      <x:c r="P105" s="34" t="n">
        <x:f>-G105</x:f>
        <x:v>-2.066896658499341</x:v>
      </x:c>
      <x:c r="Q105" s="34" t="n">
        <x:f>-I105</x:f>
        <x:v>-2.3157718154718805</x:v>
      </x:c>
      <x:c r="R105" s="36" t="n">
        <x:f>YEAR(A105)</x:f>
        <x:v>2021</x:v>
      </x:c>
    </x:row>
    <x:row r="106">
      <x:c r="A106" s="30" t="n">
        <x:v>44341</x:v>
      </x:c>
      <x:c r="B106" s="38" t="n">
        <x:v>4188.13</x:v>
      </x:c>
      <x:c r="C106" s="34" t="n">
        <x:f>(B106/B105-1)*100</x:f>
        <x:v>-0.2125302295660103</x:v>
      </x:c>
      <x:c r="D106" s="34" t="n">
        <x:f>Assumptions!$B$4*D105+(1-Assumptions!$B$4)*C105^2</x:f>
        <x:v>0.800961164532524</x:v>
      </x:c>
      <x:c r="E106" s="34" t="n">
        <x:f>SQRT(D106)</x:f>
        <x:v>0.8949643370171372</x:v>
      </x:c>
      <x:c r="F106" s="34" t="n">
        <x:f>-Assumptions!$B$7*E106</x:f>
        <x:v>1.4720853357348584</x:v>
      </x:c>
      <x:c r="G106" s="34" t="n">
        <x:f>-Assumptions!$B$8*E106</x:f>
        <x:v>2.0819983827621873</x:v>
      </x:c>
      <x:c r="H106" s="34" t="n">
        <x:f>-Assumptions!$B$9*E106</x:f>
        <x:v>1.3969048476766386</x:v>
      </x:c>
      <x:c r="I106" s="34" t="n">
        <x:f>-Assumptions!$B$10*E106</x:f>
        <x:v>2.332691939305415</x:v>
      </x:c>
      <x:c r="J106" s="36" t="n">
        <x:f>IF(C106&lt;-F106,1,0)</x:f>
        <x:v>0</x:v>
      </x:c>
      <x:c r="K106" s="36" t="n">
        <x:f>IF(C106&lt;-G106,1,0)</x:f>
        <x:v>0</x:v>
      </x:c>
      <x:c r="L106" s="36" t="n">
        <x:f>IF(C106&lt;-H106,1,0)</x:f>
        <x:v>0</x:v>
      </x:c>
      <x:c r="M106" s="36" t="n">
        <x:f>IF(C106&lt;-I106,1,0)</x:f>
        <x:v>0</x:v>
      </x:c>
      <x:c r="N106" s="34" t="n">
        <x:f>-F106</x:f>
        <x:v>-1.4720853357348584</x:v>
      </x:c>
      <x:c r="O106" s="34" t="n">
        <x:f>-H106</x:f>
        <x:v>-1.3969048476766386</x:v>
      </x:c>
      <x:c r="P106" s="34" t="n">
        <x:f>-G106</x:f>
        <x:v>-2.0819983827621873</x:v>
      </x:c>
      <x:c r="Q106" s="34" t="n">
        <x:f>-I106</x:f>
        <x:v>-2.332691939305415</x:v>
      </x:c>
      <x:c r="R106" s="36" t="n">
        <x:f>YEAR(A106)</x:f>
        <x:v>2021</x:v>
      </x:c>
    </x:row>
    <x:row r="107">
      <x:c r="A107" s="30" t="n">
        <x:v>44342</x:v>
      </x:c>
      <x:c r="B107" s="38" t="n">
        <x:v>4195.99</x:v>
      </x:c>
      <x:c r="C107" s="34" t="n">
        <x:f>(B107/B106-1)*100</x:f>
        <x:v>0.1876732575158746</x:v>
      </x:c>
      <x:c r="D107" s="34" t="n">
        <x:f>Assumptions!$B$4*D106+(1-Assumptions!$B$4)*C106^2</x:f>
        <x:v>0.7556136405693353</x:v>
      </x:c>
      <x:c r="E107" s="34" t="n">
        <x:f>SQRT(D107)</x:f>
        <x:v>0.8692603985971841</x:v>
      </x:c>
      <x:c r="F107" s="34" t="n">
        <x:f>-Assumptions!$B$7*E107</x:f>
        <x:v>1.4298061193978613</x:v>
      </x:c>
      <x:c r="G107" s="34" t="n">
        <x:f>-Assumptions!$B$8*E107</x:f>
        <x:v>2.0222020802644525</x:v>
      </x:c>
      <x:c r="H107" s="34" t="n">
        <x:f>-Assumptions!$B$9*E107</x:f>
        <x:v>1.3567848622223726</x:v>
      </x:c>
      <x:c r="I107" s="34" t="n">
        <x:f>-Assumptions!$B$10*E107</x:f>
        <x:v>2.2656955602536324</x:v>
      </x:c>
      <x:c r="J107" s="36" t="n">
        <x:f>IF(C107&lt;-F107,1,0)</x:f>
        <x:v>0</x:v>
      </x:c>
      <x:c r="K107" s="36" t="n">
        <x:f>IF(C107&lt;-G107,1,0)</x:f>
        <x:v>0</x:v>
      </x:c>
      <x:c r="L107" s="36" t="n">
        <x:f>IF(C107&lt;-H107,1,0)</x:f>
        <x:v>0</x:v>
      </x:c>
      <x:c r="M107" s="36" t="n">
        <x:f>IF(C107&lt;-I107,1,0)</x:f>
        <x:v>0</x:v>
      </x:c>
      <x:c r="N107" s="34" t="n">
        <x:f>-F107</x:f>
        <x:v>-1.4298061193978613</x:v>
      </x:c>
      <x:c r="O107" s="34" t="n">
        <x:f>-H107</x:f>
        <x:v>-1.3567848622223726</x:v>
      </x:c>
      <x:c r="P107" s="34" t="n">
        <x:f>-G107</x:f>
        <x:v>-2.0222020802644525</x:v>
      </x:c>
      <x:c r="Q107" s="34" t="n">
        <x:f>-I107</x:f>
        <x:v>-2.2656955602536324</x:v>
      </x:c>
      <x:c r="R107" s="36" t="n">
        <x:f>YEAR(A107)</x:f>
        <x:v>2021</x:v>
      </x:c>
    </x:row>
    <x:row r="108">
      <x:c r="A108" s="30" t="n">
        <x:v>44343</x:v>
      </x:c>
      <x:c r="B108" s="38" t="n">
        <x:v>4200.88</x:v>
      </x:c>
      <x:c r="C108" s="34" t="n">
        <x:f>(B108/B107-1)*100</x:f>
        <x:v>0.11653983922745859</x:v>
      </x:c>
      <x:c r="D108" s="34" t="n">
        <x:f>Assumptions!$B$4*D107+(1-Assumptions!$B$4)*C107^2</x:f>
        <x:v>0.7123900972303724</x:v>
      </x:c>
      <x:c r="E108" s="34" t="n">
        <x:f>SQRT(D108)</x:f>
        <x:v>0.8440320475138207</x:v>
      </x:c>
      <x:c r="F108" s="34" t="n">
        <x:f>-Assumptions!$B$7*E108</x:f>
        <x:v>1.3883091746163858</x:v>
      </x:c>
      <x:c r="G108" s="34" t="n">
        <x:f>-Assumptions!$B$8*E108</x:f>
        <x:v>1.9635121593561142</x:v>
      </x:c>
      <x:c r="H108" s="34" t="n">
        <x:f>-Assumptions!$B$9*E108</x:f>
        <x:v>1.3174071971360781</x:v>
      </x:c>
      <x:c r="I108" s="34" t="n">
        <x:f>-Assumptions!$B$10*E108</x:f>
        <x:v>2.199938782268185</x:v>
      </x:c>
      <x:c r="J108" s="36" t="n">
        <x:f>IF(C108&lt;-F108,1,0)</x:f>
        <x:v>0</x:v>
      </x:c>
      <x:c r="K108" s="36" t="n">
        <x:f>IF(C108&lt;-G108,1,0)</x:f>
        <x:v>0</x:v>
      </x:c>
      <x:c r="L108" s="36" t="n">
        <x:f>IF(C108&lt;-H108,1,0)</x:f>
        <x:v>0</x:v>
      </x:c>
      <x:c r="M108" s="36" t="n">
        <x:f>IF(C108&lt;-I108,1,0)</x:f>
        <x:v>0</x:v>
      </x:c>
      <x:c r="N108" s="34" t="n">
        <x:f>-F108</x:f>
        <x:v>-1.3883091746163858</x:v>
      </x:c>
      <x:c r="O108" s="34" t="n">
        <x:f>-H108</x:f>
        <x:v>-1.3174071971360781</x:v>
      </x:c>
      <x:c r="P108" s="34" t="n">
        <x:f>-G108</x:f>
        <x:v>-1.9635121593561142</x:v>
      </x:c>
      <x:c r="Q108" s="34" t="n">
        <x:f>-I108</x:f>
        <x:v>-2.199938782268185</x:v>
      </x:c>
      <x:c r="R108" s="36" t="n">
        <x:f>YEAR(A108)</x:f>
        <x:v>2021</x:v>
      </x:c>
    </x:row>
    <x:row r="109">
      <x:c r="A109" s="30" t="n">
        <x:v>44344</x:v>
      </x:c>
      <x:c r="B109" s="38" t="n">
        <x:v>4204.11</x:v>
      </x:c>
      <x:c r="C109" s="34" t="n">
        <x:f>(B109/B108-1)*100</x:f>
        <x:v>0.07688865190149663</x:v>
      </x:c>
      <x:c r="D109" s="34" t="n">
        <x:f>Assumptions!$B$4*D108+(1-Assumptions!$B$4)*C108^2</x:f>
        <x:v>0.6704615834441797</x:v>
      </x:c>
      <x:c r="E109" s="34" t="n">
        <x:f>SQRT(D109)</x:f>
        <x:v>0.8188171856062743</x:v>
      </x:c>
      <x:c r="F109" s="34" t="n">
        <x:f>-Assumptions!$B$7*E109</x:f>
        <x:v>1.3468344175546776</x:v>
      </x:c>
      <x:c r="G109" s="34" t="n">
        <x:f>-Assumptions!$B$8*E109</x:f>
        <x:v>1.9048536189632603</x:v>
      </x:c>
      <x:c r="H109" s="34" t="n">
        <x:f>-Assumptions!$B$9*E109</x:f>
        <x:v>1.278050586626274</x:v>
      </x:c>
      <x:c r="I109" s="34" t="n">
        <x:f>-Assumptions!$B$10*E109</x:f>
        <x:v>2.13421716332807</x:v>
      </x:c>
      <x:c r="J109" s="36" t="n">
        <x:f>IF(C109&lt;-F109,1,0)</x:f>
        <x:v>0</x:v>
      </x:c>
      <x:c r="K109" s="36" t="n">
        <x:f>IF(C109&lt;-G109,1,0)</x:f>
        <x:v>0</x:v>
      </x:c>
      <x:c r="L109" s="36" t="n">
        <x:f>IF(C109&lt;-H109,1,0)</x:f>
        <x:v>0</x:v>
      </x:c>
      <x:c r="M109" s="36" t="n">
        <x:f>IF(C109&lt;-I109,1,0)</x:f>
        <x:v>0</x:v>
      </x:c>
      <x:c r="N109" s="34" t="n">
        <x:f>-F109</x:f>
        <x:v>-1.3468344175546776</x:v>
      </x:c>
      <x:c r="O109" s="34" t="n">
        <x:f>-H109</x:f>
        <x:v>-1.278050586626274</x:v>
      </x:c>
      <x:c r="P109" s="34" t="n">
        <x:f>-G109</x:f>
        <x:v>-1.9048536189632603</x:v>
      </x:c>
      <x:c r="Q109" s="34" t="n">
        <x:f>-I109</x:f>
        <x:v>-2.13421716332807</x:v>
      </x:c>
      <x:c r="R109" s="36" t="n">
        <x:f>YEAR(A109)</x:f>
        <x:v>2021</x:v>
      </x:c>
    </x:row>
    <x:row r="110">
      <x:c r="A110" s="30" t="n">
        <x:v>44348</x:v>
      </x:c>
      <x:c r="B110" s="38" t="n">
        <x:v>4202.04</x:v>
      </x:c>
      <x:c r="C110" s="34" t="n">
        <x:f>(B110/B109-1)*100</x:f>
        <x:v>-0.04923753184382651</x:v>
      </x:c>
      <x:c r="D110" s="34" t="n">
        <x:f>Assumptions!$B$4*D109+(1-Assumptions!$B$4)*C109^2</x:f>
        <x:v>0.6305886003250027</x:v>
      </x:c>
      <x:c r="E110" s="34" t="n">
        <x:f>SQRT(D110)</x:f>
        <x:v>0.7940960901081195</x:v>
      </x:c>
      <x:c r="F110" s="34" t="n">
        <x:f>-Assumptions!$B$7*E110</x:f>
        <x:v>1.306171833962324</x:v>
      </x:c>
      <x:c r="G110" s="34" t="n">
        <x:f>-Assumptions!$B$8*E110</x:f>
        <x:v>1.8473437510071675</x:v>
      </x:c>
      <x:c r="H110" s="34" t="n">
        <x:f>-Assumptions!$B$9*E110</x:f>
        <x:v>1.2394646712853945</x:v>
      </x:c>
      <x:c r="I110" s="34" t="n">
        <x:f>-Assumptions!$B$10*E110</x:f>
        <x:v>2.069782528545254</x:v>
      </x:c>
      <x:c r="J110" s="36" t="n">
        <x:f>IF(C110&lt;-F110,1,0)</x:f>
        <x:v>0</x:v>
      </x:c>
      <x:c r="K110" s="36" t="n">
        <x:f>IF(C110&lt;-G110,1,0)</x:f>
        <x:v>0</x:v>
      </x:c>
      <x:c r="L110" s="36" t="n">
        <x:f>IF(C110&lt;-H110,1,0)</x:f>
        <x:v>0</x:v>
      </x:c>
      <x:c r="M110" s="36" t="n">
        <x:f>IF(C110&lt;-I110,1,0)</x:f>
        <x:v>0</x:v>
      </x:c>
      <x:c r="N110" s="34" t="n">
        <x:f>-F110</x:f>
        <x:v>-1.306171833962324</x:v>
      </x:c>
      <x:c r="O110" s="34" t="n">
        <x:f>-H110</x:f>
        <x:v>-1.2394646712853945</x:v>
      </x:c>
      <x:c r="P110" s="34" t="n">
        <x:f>-G110</x:f>
        <x:v>-1.8473437510071675</x:v>
      </x:c>
      <x:c r="Q110" s="34" t="n">
        <x:f>-I110</x:f>
        <x:v>-2.069782528545254</x:v>
      </x:c>
      <x:c r="R110" s="36" t="n">
        <x:f>YEAR(A110)</x:f>
        <x:v>2021</x:v>
      </x:c>
    </x:row>
    <x:row r="111">
      <x:c r="A111" s="30" t="n">
        <x:v>44349</x:v>
      </x:c>
      <x:c r="B111" s="38" t="n">
        <x:v>4208.12</x:v>
      </x:c>
      <x:c r="C111" s="34" t="n">
        <x:f>(B111/B110-1)*100</x:f>
        <x:v>0.14469162597214869</x:v>
      </x:c>
      <x:c r="D111" s="34" t="n">
        <x:f>Assumptions!$B$4*D110+(1-Assumptions!$B$4)*C110^2</x:f>
        <x:v>0.5928987443780269</x:v>
      </x:c>
      <x:c r="E111" s="34" t="n">
        <x:f>SQRT(D111)</x:f>
        <x:v>0.7699991846606248</x:v>
      </x:c>
      <x:c r="F111" s="34" t="n">
        <x:f>-Assumptions!$B$7*E111</x:f>
        <x:v>1.2665359516387056</x:v>
      </x:c>
      <x:c r="G111" s="34" t="n">
        <x:f>-Assumptions!$B$8*E111</x:f>
        <x:v>1.7912859662484248</x:v>
      </x:c>
      <x:c r="H111" s="34" t="n">
        <x:f>-Assumptions!$B$9*E111</x:f>
        <x:v>1.2018530228192652</x:v>
      </x:c>
      <x:c r="I111" s="34" t="n">
        <x:f>-Assumptions!$B$10*E111</x:f>
        <x:v>2.0069748223891373</x:v>
      </x:c>
      <x:c r="J111" s="36" t="n">
        <x:f>IF(C111&lt;-F111,1,0)</x:f>
        <x:v>0</x:v>
      </x:c>
      <x:c r="K111" s="36" t="n">
        <x:f>IF(C111&lt;-G111,1,0)</x:f>
        <x:v>0</x:v>
      </x:c>
      <x:c r="L111" s="36" t="n">
        <x:f>IF(C111&lt;-H111,1,0)</x:f>
        <x:v>0</x:v>
      </x:c>
      <x:c r="M111" s="36" t="n">
        <x:f>IF(C111&lt;-I111,1,0)</x:f>
        <x:v>0</x:v>
      </x:c>
      <x:c r="N111" s="34" t="n">
        <x:f>-F111</x:f>
        <x:v>-1.2665359516387056</x:v>
      </x:c>
      <x:c r="O111" s="34" t="n">
        <x:f>-H111</x:f>
        <x:v>-1.2018530228192652</x:v>
      </x:c>
      <x:c r="P111" s="34" t="n">
        <x:f>-G111</x:f>
        <x:v>-1.7912859662484248</x:v>
      </x:c>
      <x:c r="Q111" s="34" t="n">
        <x:f>-I111</x:f>
        <x:v>-2.0069748223891373</x:v>
      </x:c>
      <x:c r="R111" s="36" t="n">
        <x:f>YEAR(A111)</x:f>
        <x:v>2021</x:v>
      </x:c>
    </x:row>
    <x:row r="112">
      <x:c r="A112" s="30" t="n">
        <x:v>44350</x:v>
      </x:c>
      <x:c r="B112" s="38" t="n">
        <x:v>4192.85</x:v>
      </x:c>
      <x:c r="C112" s="34" t="n">
        <x:f>(B112/B111-1)*100</x:f>
        <x:v>-0.3628698801364849</x:v>
      </x:c>
      <x:c r="D112" s="34" t="n">
        <x:f>Assumptions!$B$4*D111+(1-Assumptions!$B$4)*C111^2</x:f>
        <x:v>0.5585809597129332</x:v>
      </x:c>
      <x:c r="E112" s="34" t="n">
        <x:f>SQRT(D112)</x:f>
        <x:v>0.7473827397745637</x:v>
      </x:c>
      <x:c r="F112" s="34" t="n">
        <x:f>-Assumptions!$B$7*E112</x:f>
        <x:v>1.22933521023912</x:v>
      </x:c>
      <x:c r="G112" s="34" t="n">
        <x:f>-Assumptions!$B$8*E112</x:f>
        <x:v>1.7386722477693748</x:v>
      </x:c>
      <x:c r="H112" s="34" t="n">
        <x:f>-Assumptions!$B$9*E112</x:f>
        <x:v>1.1665521508271501</x:v>
      </x:c>
      <x:c r="I112" s="34" t="n">
        <x:f>-Assumptions!$B$10*E112</x:f>
        <x:v>1.9480258827506078</x:v>
      </x:c>
      <x:c r="J112" s="36" t="n">
        <x:f>IF(C112&lt;-F112,1,0)</x:f>
        <x:v>0</x:v>
      </x:c>
      <x:c r="K112" s="36" t="n">
        <x:f>IF(C112&lt;-G112,1,0)</x:f>
        <x:v>0</x:v>
      </x:c>
      <x:c r="L112" s="36" t="n">
        <x:f>IF(C112&lt;-H112,1,0)</x:f>
        <x:v>0</x:v>
      </x:c>
      <x:c r="M112" s="36" t="n">
        <x:f>IF(C112&lt;-I112,1,0)</x:f>
        <x:v>0</x:v>
      </x:c>
      <x:c r="N112" s="34" t="n">
        <x:f>-F112</x:f>
        <x:v>-1.22933521023912</x:v>
      </x:c>
      <x:c r="O112" s="34" t="n">
        <x:f>-H112</x:f>
        <x:v>-1.1665521508271501</x:v>
      </x:c>
      <x:c r="P112" s="34" t="n">
        <x:f>-G112</x:f>
        <x:v>-1.7386722477693748</x:v>
      </x:c>
      <x:c r="Q112" s="34" t="n">
        <x:f>-I112</x:f>
        <x:v>-1.9480258827506078</x:v>
      </x:c>
      <x:c r="R112" s="36" t="n">
        <x:f>YEAR(A112)</x:f>
        <x:v>2021</x:v>
      </x:c>
    </x:row>
    <x:row r="113">
      <x:c r="A113" s="30" t="n">
        <x:v>44351</x:v>
      </x:c>
      <x:c r="B113" s="38" t="n">
        <x:v>4229.89</x:v>
      </x:c>
      <x:c r="C113" s="34" t="n">
        <x:f>(B113/B112-1)*100</x:f>
        <x:v>0.883408659980689</x:v>
      </x:c>
      <x:c r="D113" s="34" t="n">
        <x:f>Assumptions!$B$4*D112+(1-Assumptions!$B$4)*C112^2</x:f>
        <x:v>0.5329665751247732</x:v>
      </x:c>
      <x:c r="E113" s="34" t="n">
        <x:f>SQRT(D113)</x:f>
        <x:v>0.7300455979764368</x:v>
      </x:c>
      <x:c r="F113" s="34" t="n">
        <x:f>-Assumptions!$B$7*E113</x:f>
        <x:v>1.200818149671499</x:v>
      </x:c>
      <x:c r="G113" s="34" t="n">
        <x:f>-Assumptions!$B$8*E113</x:f>
        <x:v>1.6983400248053577</x:v>
      </x:c>
      <x:c r="H113" s="34" t="n">
        <x:f>-Assumptions!$B$9*E113</x:f>
        <x:v>1.139491477657335</x:v>
      </x:c>
      <x:c r="I113" s="34" t="n">
        <x:f>-Assumptions!$B$10*E113</x:f>
        <x:v>1.9028372542764531</x:v>
      </x:c>
      <x:c r="J113" s="36" t="n">
        <x:f>IF(C113&lt;-F113,1,0)</x:f>
        <x:v>0</x:v>
      </x:c>
      <x:c r="K113" s="36" t="n">
        <x:f>IF(C113&lt;-G113,1,0)</x:f>
        <x:v>0</x:v>
      </x:c>
      <x:c r="L113" s="36" t="n">
        <x:f>IF(C113&lt;-H113,1,0)</x:f>
        <x:v>0</x:v>
      </x:c>
      <x:c r="M113" s="36" t="n">
        <x:f>IF(C113&lt;-I113,1,0)</x:f>
        <x:v>0</x:v>
      </x:c>
      <x:c r="N113" s="34" t="n">
        <x:f>-F113</x:f>
        <x:v>-1.200818149671499</x:v>
      </x:c>
      <x:c r="O113" s="34" t="n">
        <x:f>-H113</x:f>
        <x:v>-1.139491477657335</x:v>
      </x:c>
      <x:c r="P113" s="34" t="n">
        <x:f>-G113</x:f>
        <x:v>-1.6983400248053577</x:v>
      </x:c>
      <x:c r="Q113" s="34" t="n">
        <x:f>-I113</x:f>
        <x:v>-1.9028372542764531</x:v>
      </x:c>
      <x:c r="R113" s="36" t="n">
        <x:f>YEAR(A113)</x:f>
        <x:v>2021</x:v>
      </x:c>
    </x:row>
    <x:row r="114">
      <x:c r="A114" s="30" t="n">
        <x:v>44354</x:v>
      </x:c>
      <x:c r="B114" s="38" t="n">
        <x:v>4226.52</x:v>
      </x:c>
      <x:c r="C114" s="34" t="n">
        <x:f>(B114/B113-1)*100</x:f>
        <x:v>-0.07967110255822085</x:v>
      </x:c>
      <x:c r="D114" s="34" t="n">
        <x:f>Assumptions!$B$4*D113+(1-Assumptions!$B$4)*C113^2</x:f>
        <x:v>0.5478132322490195</x:v>
      </x:c>
      <x:c r="E114" s="34" t="n">
        <x:f>SQRT(D114)</x:f>
        <x:v>0.7401440618210886</x:v>
      </x:c>
      <x:c r="F114" s="34" t="n">
        <x:f>-Assumptions!$B$7*E114</x:f>
        <x:v>1.2174286445530127</x:v>
      </x:c>
      <x:c r="G114" s="34" t="n">
        <x:f>-Assumptions!$B$8*E114</x:f>
        <x:v>1.7218325647014419</x:v>
      </x:c>
      <x:c r="H114" s="34" t="n">
        <x:f>-Assumptions!$B$9*E114</x:f>
        <x:v>1.1552536622664984</x:v>
      </x:c>
      <x:c r="I114" s="34" t="n">
        <x:f>-Assumptions!$B$10*E114</x:f>
        <x:v>1.9291585323826839</x:v>
      </x:c>
      <x:c r="J114" s="36" t="n">
        <x:f>IF(C114&lt;-F114,1,0)</x:f>
        <x:v>0</x:v>
      </x:c>
      <x:c r="K114" s="36" t="n">
        <x:f>IF(C114&lt;-G114,1,0)</x:f>
        <x:v>0</x:v>
      </x:c>
      <x:c r="L114" s="36" t="n">
        <x:f>IF(C114&lt;-H114,1,0)</x:f>
        <x:v>0</x:v>
      </x:c>
      <x:c r="M114" s="36" t="n">
        <x:f>IF(C114&lt;-I114,1,0)</x:f>
        <x:v>0</x:v>
      </x:c>
      <x:c r="N114" s="34" t="n">
        <x:f>-F114</x:f>
        <x:v>-1.2174286445530127</x:v>
      </x:c>
      <x:c r="O114" s="34" t="n">
        <x:f>-H114</x:f>
        <x:v>-1.1552536622664984</x:v>
      </x:c>
      <x:c r="P114" s="34" t="n">
        <x:f>-G114</x:f>
        <x:v>-1.7218325647014419</x:v>
      </x:c>
      <x:c r="Q114" s="34" t="n">
        <x:f>-I114</x:f>
        <x:v>-1.9291585323826839</x:v>
      </x:c>
      <x:c r="R114" s="36" t="n">
        <x:f>YEAR(A114)</x:f>
        <x:v>2021</x:v>
      </x:c>
    </x:row>
    <x:row r="115">
      <x:c r="A115" s="30" t="n">
        <x:v>44355</x:v>
      </x:c>
      <x:c r="B115" s="38" t="n">
        <x:v>4227.26</x:v>
      </x:c>
      <x:c r="C115" s="34" t="n">
        <x:f>(B115/B114-1)*100</x:f>
        <x:v>0.017508493985585183</x:v>
      </x:c>
      <x:c r="D115" s="34" t="n">
        <x:f>Assumptions!$B$4*D114+(1-Assumptions!$B$4)*C114^2</x:f>
        <x:v>0.5153252873890488</x:v>
      </x:c>
      <x:c r="E115" s="34" t="n">
        <x:f>SQRT(D115)</x:f>
        <x:v>0.7178616074070606</x:v>
      </x:c>
      <x:c r="F115" s="34" t="n">
        <x:f>-Assumptions!$B$7*E115</x:f>
        <x:v>1.180777268592718</x:v>
      </x:c>
      <x:c r="G115" s="34" t="n">
        <x:f>-Assumptions!$B$8*E115</x:f>
        <x:v>1.669995824246956</x:v>
      </x:c>
      <x:c r="H115" s="34" t="n">
        <x:f>-Assumptions!$B$9*E115</x:f>
        <x:v>1.120474099213928</x:v>
      </x:c>
      <x:c r="I115" s="34" t="n">
        <x:f>-Assumptions!$B$10*E115</x:f>
        <x:v>1.8710801267416464</x:v>
      </x:c>
      <x:c r="J115" s="36" t="n">
        <x:f>IF(C115&lt;-F115,1,0)</x:f>
        <x:v>0</x:v>
      </x:c>
      <x:c r="K115" s="36" t="n">
        <x:f>IF(C115&lt;-G115,1,0)</x:f>
        <x:v>0</x:v>
      </x:c>
      <x:c r="L115" s="36" t="n">
        <x:f>IF(C115&lt;-H115,1,0)</x:f>
        <x:v>0</x:v>
      </x:c>
      <x:c r="M115" s="36" t="n">
        <x:f>IF(C115&lt;-I115,1,0)</x:f>
        <x:v>0</x:v>
      </x:c>
      <x:c r="N115" s="34" t="n">
        <x:f>-F115</x:f>
        <x:v>-1.180777268592718</x:v>
      </x:c>
      <x:c r="O115" s="34" t="n">
        <x:f>-H115</x:f>
        <x:v>-1.120474099213928</x:v>
      </x:c>
      <x:c r="P115" s="34" t="n">
        <x:f>-G115</x:f>
        <x:v>-1.669995824246956</x:v>
      </x:c>
      <x:c r="Q115" s="34" t="n">
        <x:f>-I115</x:f>
        <x:v>-1.8710801267416464</x:v>
      </x:c>
      <x:c r="R115" s="36" t="n">
        <x:f>YEAR(A115)</x:f>
        <x:v>2021</x:v>
      </x:c>
    </x:row>
    <x:row r="116">
      <x:c r="A116" s="30" t="n">
        <x:v>44356</x:v>
      </x:c>
      <x:c r="B116" s="38" t="n">
        <x:v>4219.55</x:v>
      </x:c>
      <x:c r="C116" s="34" t="n">
        <x:f>(B116/B115-1)*100</x:f>
        <x:v>-0.18238764589828538</x:v>
      </x:c>
      <x:c r="D116" s="34" t="n">
        <x:f>Assumptions!$B$4*D115+(1-Assumptions!$B$4)*C115^2</x:f>
        <x:v>0.4844241629874044</x:v>
      </x:c>
      <x:c r="E116" s="34" t="n">
        <x:f>SQRT(D116)</x:f>
        <x:v>0.6960058641903848</x:v>
      </x:c>
      <x:c r="F116" s="34" t="n">
        <x:f>-Assumptions!$B$7*E116</x:f>
        <x:v>1.1448277700930487</x:v>
      </x:c>
      <x:c r="G116" s="34" t="n">
        <x:f>-Assumptions!$B$8*E116</x:f>
        <x:v>1.6191517624792595</x:v>
      </x:c>
      <x:c r="H116" s="34" t="n">
        <x:f>-Assumptions!$B$9*E116</x:f>
        <x:v>1.0863605682203843</x:v>
      </x:c>
      <x:c r="I116" s="34" t="n">
        <x:f>-Assumptions!$B$10*E116</x:f>
        <x:v>1.8141139282906655</x:v>
      </x:c>
      <x:c r="J116" s="36" t="n">
        <x:f>IF(C116&lt;-F116,1,0)</x:f>
        <x:v>0</x:v>
      </x:c>
      <x:c r="K116" s="36" t="n">
        <x:f>IF(C116&lt;-G116,1,0)</x:f>
        <x:v>0</x:v>
      </x:c>
      <x:c r="L116" s="36" t="n">
        <x:f>IF(C116&lt;-H116,1,0)</x:f>
        <x:v>0</x:v>
      </x:c>
      <x:c r="M116" s="36" t="n">
        <x:f>IF(C116&lt;-I116,1,0)</x:f>
        <x:v>0</x:v>
      </x:c>
      <x:c r="N116" s="34" t="n">
        <x:f>-F116</x:f>
        <x:v>-1.1448277700930487</x:v>
      </x:c>
      <x:c r="O116" s="34" t="n">
        <x:f>-H116</x:f>
        <x:v>-1.0863605682203843</x:v>
      </x:c>
      <x:c r="P116" s="34" t="n">
        <x:f>-G116</x:f>
        <x:v>-1.6191517624792595</x:v>
      </x:c>
      <x:c r="Q116" s="34" t="n">
        <x:f>-I116</x:f>
        <x:v>-1.8141139282906655</x:v>
      </x:c>
      <x:c r="R116" s="36" t="n">
        <x:f>YEAR(A116)</x:f>
        <x:v>2021</x:v>
      </x:c>
    </x:row>
    <x:row r="117">
      <x:c r="A117" s="30" t="n">
        <x:v>44357</x:v>
      </x:c>
      <x:c r="B117" s="38" t="n">
        <x:v>4239.18</x:v>
      </x:c>
      <x:c r="C117" s="34" t="n">
        <x:f>(B117/B116-1)*100</x:f>
        <x:v>0.4652154850635748</x:v>
      </x:c>
      <x:c r="D117" s="34" t="n">
        <x:f>Assumptions!$B$4*D116+(1-Assumptions!$B$4)*C116^2</x:f>
        <x:v>0.4573546284107392</x:v>
      </x:c>
      <x:c r="E117" s="34" t="n">
        <x:f>SQRT(D117)</x:f>
        <x:v>0.6762799926145525</x:v>
      </x:c>
      <x:c r="F117" s="34" t="n">
        <x:f>-Assumptions!$B$7*E117</x:f>
        <x:v>1.112381598686762</x:v>
      </x:c>
      <x:c r="G117" s="34" t="n">
        <x:f>-Assumptions!$B$8*E117</x:f>
        <x:v>1.5732625230752195</x:v>
      </x:c>
      <x:c r="H117" s="34" t="n">
        <x:f>-Assumptions!$B$9*E117</x:f>
        <x:v>1.0555714468116288</x:v>
      </x:c>
      <x:c r="I117" s="34" t="n">
        <x:f>-Assumptions!$B$10*E117</x:f>
        <x:v>1.762699162676562</x:v>
      </x:c>
      <x:c r="J117" s="36" t="n">
        <x:f>IF(C117&lt;-F117,1,0)</x:f>
        <x:v>0</x:v>
      </x:c>
      <x:c r="K117" s="36" t="n">
        <x:f>IF(C117&lt;-G117,1,0)</x:f>
        <x:v>0</x:v>
      </x:c>
      <x:c r="L117" s="36" t="n">
        <x:f>IF(C117&lt;-H117,1,0)</x:f>
        <x:v>0</x:v>
      </x:c>
      <x:c r="M117" s="36" t="n">
        <x:f>IF(C117&lt;-I117,1,0)</x:f>
        <x:v>0</x:v>
      </x:c>
      <x:c r="N117" s="34" t="n">
        <x:f>-F117</x:f>
        <x:v>-1.112381598686762</x:v>
      </x:c>
      <x:c r="O117" s="34" t="n">
        <x:f>-H117</x:f>
        <x:v>-1.0555714468116288</x:v>
      </x:c>
      <x:c r="P117" s="34" t="n">
        <x:f>-G117</x:f>
        <x:v>-1.5732625230752195</x:v>
      </x:c>
      <x:c r="Q117" s="34" t="n">
        <x:f>-I117</x:f>
        <x:v>-1.762699162676562</x:v>
      </x:c>
      <x:c r="R117" s="36" t="n">
        <x:f>YEAR(A117)</x:f>
        <x:v>2021</x:v>
      </x:c>
    </x:row>
    <x:row r="118">
      <x:c r="A118" s="30" t="n">
        <x:v>44358</x:v>
      </x:c>
      <x:c r="B118" s="38" t="n">
        <x:v>4247.44</x:v>
      </x:c>
      <x:c r="C118" s="34" t="n">
        <x:f>(B118/B117-1)*100</x:f>
        <x:v>0.19484900381676606</x:v>
      </x:c>
      <x:c r="D118" s="34" t="n">
        <x:f>Assumptions!$B$4*D117+(1-Assumptions!$B$4)*C117^2</x:f>
        <x:v>0.4428988775586711</x:v>
      </x:c>
      <x:c r="E118" s="34" t="n">
        <x:f>SQRT(D118)</x:f>
        <x:v>0.665506481980958</x:v>
      </x:c>
      <x:c r="F118" s="34" t="n">
        <x:f>-Assumptions!$B$7*E118</x:f>
        <x:v>1.0946607506460937</x:v>
      </x:c>
      <x:c r="G118" s="34" t="n">
        <x:f>-Assumptions!$B$8*E118</x:f>
        <x:v>1.5481995895168004</x:v>
      </x:c>
      <x:c r="H118" s="34" t="n">
        <x:f>-Assumptions!$B$9*E118</x:f>
        <x:v>1.0387556156012778</x:v>
      </x:c>
      <x:c r="I118" s="34" t="n">
        <x:f>-Assumptions!$B$10*E118</x:f>
        <x:v>1.7346183997080975</x:v>
      </x:c>
      <x:c r="J118" s="36" t="n">
        <x:f>IF(C118&lt;-F118,1,0)</x:f>
        <x:v>0</x:v>
      </x:c>
      <x:c r="K118" s="36" t="n">
        <x:f>IF(C118&lt;-G118,1,0)</x:f>
        <x:v>0</x:v>
      </x:c>
      <x:c r="L118" s="36" t="n">
        <x:f>IF(C118&lt;-H118,1,0)</x:f>
        <x:v>0</x:v>
      </x:c>
      <x:c r="M118" s="36" t="n">
        <x:f>IF(C118&lt;-I118,1,0)</x:f>
        <x:v>0</x:v>
      </x:c>
      <x:c r="N118" s="34" t="n">
        <x:f>-F118</x:f>
        <x:v>-1.0946607506460937</x:v>
      </x:c>
      <x:c r="O118" s="34" t="n">
        <x:f>-H118</x:f>
        <x:v>-1.0387556156012778</x:v>
      </x:c>
      <x:c r="P118" s="34" t="n">
        <x:f>-G118</x:f>
        <x:v>-1.5481995895168004</x:v>
      </x:c>
      <x:c r="Q118" s="34" t="n">
        <x:f>-I118</x:f>
        <x:v>-1.7346183997080975</x:v>
      </x:c>
      <x:c r="R118" s="36" t="n">
        <x:f>YEAR(A118)</x:f>
        <x:v>2021</x:v>
      </x:c>
    </x:row>
    <x:row r="119">
      <x:c r="A119" s="30" t="n">
        <x:v>44361</x:v>
      </x:c>
      <x:c r="B119" s="38" t="n">
        <x:v>4255.15</x:v>
      </x:c>
      <x:c r="C119" s="34" t="n">
        <x:f>(B119/B118-1)*100</x:f>
        <x:v>0.18152110447704484</x:v>
      </x:c>
      <x:c r="D119" s="34" t="n">
        <x:f>Assumptions!$B$4*D118+(1-Assumptions!$B$4)*C118^2</x:f>
        <x:v>0.41860291296245394</x:v>
      </x:c>
      <x:c r="E119" s="34" t="n">
        <x:f>SQRT(D119)</x:f>
        <x:v>0.6469952959353367</x:v>
      </x:c>
      <x:c r="F119" s="34" t="n">
        <x:f>-Assumptions!$B$7*E119</x:f>
        <x:v>1.06421255913978</x:v>
      </x:c>
      <x:c r="G119" s="34" t="n">
        <x:f>-Assumptions!$B$8*E119</x:f>
        <x:v>1.5051361312135947</x:v>
      </x:c>
      <x:c r="H119" s="34" t="n">
        <x:f>-Assumptions!$B$9*E119</x:f>
        <x:v>1.0098624357796584</x:v>
      </x:c>
      <x:c r="I119" s="34" t="n">
        <x:f>-Assumptions!$B$10*E119</x:f>
        <x:v>1.686369667675352</x:v>
      </x:c>
      <x:c r="J119" s="36" t="n">
        <x:f>IF(C119&lt;-F119,1,0)</x:f>
        <x:v>0</x:v>
      </x:c>
      <x:c r="K119" s="36" t="n">
        <x:f>IF(C119&lt;-G119,1,0)</x:f>
        <x:v>0</x:v>
      </x:c>
      <x:c r="L119" s="36" t="n">
        <x:f>IF(C119&lt;-H119,1,0)</x:f>
        <x:v>0</x:v>
      </x:c>
      <x:c r="M119" s="36" t="n">
        <x:f>IF(C119&lt;-I119,1,0)</x:f>
        <x:v>0</x:v>
      </x:c>
      <x:c r="N119" s="34" t="n">
        <x:f>-F119</x:f>
        <x:v>-1.06421255913978</x:v>
      </x:c>
      <x:c r="O119" s="34" t="n">
        <x:f>-H119</x:f>
        <x:v>-1.0098624357796584</x:v>
      </x:c>
      <x:c r="P119" s="34" t="n">
        <x:f>-G119</x:f>
        <x:v>-1.5051361312135947</x:v>
      </x:c>
      <x:c r="Q119" s="34" t="n">
        <x:f>-I119</x:f>
        <x:v>-1.686369667675352</x:v>
      </x:c>
      <x:c r="R119" s="36" t="n">
        <x:f>YEAR(A119)</x:f>
        <x:v>2021</x:v>
      </x:c>
    </x:row>
    <x:row r="120">
      <x:c r="A120" s="30" t="n">
        <x:v>44362</x:v>
      </x:c>
      <x:c r="B120" s="38" t="n">
        <x:v>4246.59</x:v>
      </x:c>
      <x:c r="C120" s="34" t="n">
        <x:f>(B120/B119-1)*100</x:f>
        <x:v>-0.20116799642784233</x:v>
      </x:c>
      <x:c r="D120" s="34" t="n">
        <x:f>Assumptions!$B$4*D119+(1-Assumptions!$B$4)*C119^2</x:f>
        <x:v>0.3954637328669407</x:v>
      </x:c>
      <x:c r="E120" s="34" t="n">
        <x:f>SQRT(D120)</x:f>
        <x:v>0.6288590723420794</x:v>
      </x:c>
      <x:c r="F120" s="34" t="n">
        <x:f>-Assumptions!$B$7*E120</x:f>
        <x:v>1.0343811259832079</x:v>
      </x:c>
      <x:c r="G120" s="34" t="n">
        <x:f>-Assumptions!$B$8*E120</x:f>
        <x:v>1.4629449660142915</x:v>
      </x:c>
      <x:c r="H120" s="34" t="n">
        <x:f>-Assumptions!$B$9*E120</x:f>
        <x:v>0.9815545160021987</x:v>
      </x:c>
      <x:c r="I120" s="34" t="n">
        <x:f>-Assumptions!$B$10*E120</x:f>
        <x:v>1.6390982616141494</x:v>
      </x:c>
      <x:c r="J120" s="36" t="n">
        <x:f>IF(C120&lt;-F120,1,0)</x:f>
        <x:v>0</x:v>
      </x:c>
      <x:c r="K120" s="36" t="n">
        <x:f>IF(C120&lt;-G120,1,0)</x:f>
        <x:v>0</x:v>
      </x:c>
      <x:c r="L120" s="36" t="n">
        <x:f>IF(C120&lt;-H120,1,0)</x:f>
        <x:v>0</x:v>
      </x:c>
      <x:c r="M120" s="36" t="n">
        <x:f>IF(C120&lt;-I120,1,0)</x:f>
        <x:v>0</x:v>
      </x:c>
      <x:c r="N120" s="34" t="n">
        <x:f>-F120</x:f>
        <x:v>-1.0343811259832079</x:v>
      </x:c>
      <x:c r="O120" s="34" t="n">
        <x:f>-H120</x:f>
        <x:v>-0.9815545160021987</x:v>
      </x:c>
      <x:c r="P120" s="34" t="n">
        <x:f>-G120</x:f>
        <x:v>-1.4629449660142915</x:v>
      </x:c>
      <x:c r="Q120" s="34" t="n">
        <x:f>-I120</x:f>
        <x:v>-1.6390982616141494</x:v>
      </x:c>
      <x:c r="R120" s="36" t="n">
        <x:f>YEAR(A120)</x:f>
        <x:v>2021</x:v>
      </x:c>
    </x:row>
    <x:row r="121">
      <x:c r="A121" s="30" t="n">
        <x:v>44363</x:v>
      </x:c>
      <x:c r="B121" s="38" t="n">
        <x:v>4223.7</x:v>
      </x:c>
      <x:c r="C121" s="34" t="n">
        <x:f>(B121/B120-1)*100</x:f>
        <x:v>-0.5390207201542929</x:v>
      </x:c>
      <x:c r="D121" s="34" t="n">
        <x:f>Assumptions!$B$4*D120+(1-Assumptions!$B$4)*C120^2</x:f>
        <x:v>0.3741640226621318</x:v>
      </x:c>
      <x:c r="E121" s="34" t="n">
        <x:f>SQRT(D121)</x:f>
        <x:v>0.6116894822229101</x:v>
      </x:c>
      <x:c r="F121" s="34" t="n">
        <x:f>-Assumptions!$B$7*E121</x:f>
        <x:v>1.0061396634024222</x:v>
      </x:c>
      <x:c r="G121" s="34" t="n">
        <x:f>-Assumptions!$B$8*E121</x:f>
        <x:v>1.4230025265424093</x:v>
      </x:c>
      <x:c r="H121" s="34" t="n">
        <x:f>-Assumptions!$B$9*E121</x:f>
        <x:v>0.954755365825973</x:v>
      </x:c>
      <x:c r="I121" s="34" t="n">
        <x:f>-Assumptions!$B$10*E121</x:f>
        <x:v>1.5943463504869944</x:v>
      </x:c>
      <x:c r="J121" s="36" t="n">
        <x:f>IF(C121&lt;-F121,1,0)</x:f>
        <x:v>0</x:v>
      </x:c>
      <x:c r="K121" s="36" t="n">
        <x:f>IF(C121&lt;-G121,1,0)</x:f>
        <x:v>0</x:v>
      </x:c>
      <x:c r="L121" s="36" t="n">
        <x:f>IF(C121&lt;-H121,1,0)</x:f>
        <x:v>0</x:v>
      </x:c>
      <x:c r="M121" s="36" t="n">
        <x:f>IF(C121&lt;-I121,1,0)</x:f>
        <x:v>0</x:v>
      </x:c>
      <x:c r="N121" s="34" t="n">
        <x:f>-F121</x:f>
        <x:v>-1.0061396634024222</x:v>
      </x:c>
      <x:c r="O121" s="34" t="n">
        <x:f>-H121</x:f>
        <x:v>-0.954755365825973</x:v>
      </x:c>
      <x:c r="P121" s="34" t="n">
        <x:f>-G121</x:f>
        <x:v>-1.4230025265424093</x:v>
      </x:c>
      <x:c r="Q121" s="34" t="n">
        <x:f>-I121</x:f>
        <x:v>-1.5943463504869944</x:v>
      </x:c>
      <x:c r="R121" s="36" t="n">
        <x:f>YEAR(A121)</x:f>
        <x:v>2021</x:v>
      </x:c>
    </x:row>
    <x:row r="122">
      <x:c r="A122" s="30" t="n">
        <x:v>44364</x:v>
      </x:c>
      <x:c r="B122" s="38" t="n">
        <x:v>4221.86</x:v>
      </x:c>
      <x:c r="C122" s="34" t="n">
        <x:f>(B122/B121-1)*100</x:f>
        <x:v>-0.04356370007340127</x:v>
      </x:c>
      <x:c r="D122" s="34" t="n">
        <x:f>Assumptions!$B$4*D121+(1-Assumptions!$B$4)*C121^2</x:f>
        <x:v>0.369146781507743</x:v>
      </x:c>
      <x:c r="E122" s="34" t="n">
        <x:f>SQRT(D122)</x:f>
        <x:v>0.607574506960046</x:v>
      </x:c>
      <x:c r="F122" s="34" t="n">
        <x:f>-Assumptions!$B$7*E122</x:f>
        <x:v>0.9993711314164846</x:v>
      </x:c>
      <x:c r="G122" s="34" t="n">
        <x:f>-Assumptions!$B$8*E122</x:f>
        <x:v>1.4134296625879148</x:v>
      </x:c>
      <x:c r="H122" s="34" t="n">
        <x:f>-Assumptions!$B$9*E122</x:f>
        <x:v>0.9483325077801175</x:v>
      </x:c>
      <x:c r="I122" s="34" t="n">
        <x:f>-Assumptions!$B$10*E122</x:f>
        <x:v>1.5836208173801478</x:v>
      </x:c>
      <x:c r="J122" s="36" t="n">
        <x:f>IF(C122&lt;-F122,1,0)</x:f>
        <x:v>0</x:v>
      </x:c>
      <x:c r="K122" s="36" t="n">
        <x:f>IF(C122&lt;-G122,1,0)</x:f>
        <x:v>0</x:v>
      </x:c>
      <x:c r="L122" s="36" t="n">
        <x:f>IF(C122&lt;-H122,1,0)</x:f>
        <x:v>0</x:v>
      </x:c>
      <x:c r="M122" s="36" t="n">
        <x:f>IF(C122&lt;-I122,1,0)</x:f>
        <x:v>0</x:v>
      </x:c>
      <x:c r="N122" s="34" t="n">
        <x:f>-F122</x:f>
        <x:v>-0.9993711314164846</x:v>
      </x:c>
      <x:c r="O122" s="34" t="n">
        <x:f>-H122</x:f>
        <x:v>-0.9483325077801175</x:v>
      </x:c>
      <x:c r="P122" s="34" t="n">
        <x:f>-G122</x:f>
        <x:v>-1.4134296625879148</x:v>
      </x:c>
      <x:c r="Q122" s="34" t="n">
        <x:f>-I122</x:f>
        <x:v>-1.5836208173801478</x:v>
      </x:c>
      <x:c r="R122" s="36" t="n">
        <x:f>YEAR(A122)</x:f>
        <x:v>2021</x:v>
      </x:c>
    </x:row>
    <x:row r="123">
      <x:c r="A123" s="30" t="n">
        <x:v>44365</x:v>
      </x:c>
      <x:c r="B123" s="38" t="n">
        <x:v>4166.45</x:v>
      </x:c>
      <x:c r="C123" s="34" t="n">
        <x:f>(B123/B122-1)*100</x:f>
        <x:v>-1.3124547000611053</x:v>
      </x:c>
      <x:c r="D123" s="34" t="n">
        <x:f>Assumptions!$B$4*D122+(1-Assumptions!$B$4)*C122^2</x:f>
        <x:v>0.3471118423751235</x:v>
      </x:c>
      <x:c r="E123" s="34" t="n">
        <x:f>SQRT(D123)</x:f>
        <x:v>0.589161983138019</x:v>
      </x:c>
      <x:c r="F123" s="34" t="n">
        <x:f>-Assumptions!$B$7*E123</x:f>
        <x:v>0.9690852248264931</x:v>
      </x:c>
      <x:c r="G123" s="34" t="n">
        <x:f>-Assumptions!$B$8*E123</x:f>
        <x:v>1.370595726938816</x:v>
      </x:c>
      <x:c r="H123" s="34" t="n">
        <x:f>-Assumptions!$B$9*E123</x:f>
        <x:v>0.9195933248639846</x:v>
      </x:c>
      <x:c r="I123" s="34" t="n">
        <x:f>-Assumptions!$B$10*E123</x:f>
        <x:v>1.535629244838762</x:v>
      </x:c>
      <x:c r="J123" s="36" t="n">
        <x:f>IF(C123&lt;-F123,1,0)</x:f>
        <x:v>1</x:v>
      </x:c>
      <x:c r="K123" s="36" t="n">
        <x:f>IF(C123&lt;-G123,1,0)</x:f>
        <x:v>0</x:v>
      </x:c>
      <x:c r="L123" s="36" t="n">
        <x:f>IF(C123&lt;-H123,1,0)</x:f>
        <x:v>1</x:v>
      </x:c>
      <x:c r="M123" s="36" t="n">
        <x:f>IF(C123&lt;-I123,1,0)</x:f>
        <x:v>0</x:v>
      </x:c>
      <x:c r="N123" s="34" t="n">
        <x:f>-F123</x:f>
        <x:v>-0.9690852248264931</x:v>
      </x:c>
      <x:c r="O123" s="34" t="n">
        <x:f>-H123</x:f>
        <x:v>-0.9195933248639846</x:v>
      </x:c>
      <x:c r="P123" s="34" t="n">
        <x:f>-G123</x:f>
        <x:v>-1.370595726938816</x:v>
      </x:c>
      <x:c r="Q123" s="34" t="n">
        <x:f>-I123</x:f>
        <x:v>-1.535629244838762</x:v>
      </x:c>
      <x:c r="R123" s="36" t="n">
        <x:f>YEAR(A123)</x:f>
        <x:v>2021</x:v>
      </x:c>
    </x:row>
    <x:row r="124">
      <x:c r="A124" s="30" t="n">
        <x:v>44368</x:v>
      </x:c>
      <x:c r="B124" s="38" t="n">
        <x:v>4224.79</x:v>
      </x:c>
      <x:c r="C124" s="34" t="n">
        <x:f>(B124/B123-1)*100</x:f>
        <x:v>1.400232812106239</x:v>
      </x:c>
      <x:c r="D124" s="34" t="n">
        <x:f>Assumptions!$B$4*D123+(1-Assumptions!$B$4)*C123^2</x:f>
        <x:v>0.4296373722153653</x:v>
      </x:c>
      <x:c r="E124" s="34" t="n">
        <x:f>SQRT(D124)</x:f>
        <x:v>0.6554672930172529</x:v>
      </x:c>
      <x:c r="F124" s="34" t="n">
        <x:f>-Assumptions!$B$7*E124</x:f>
        <x:v>1.0781477542674922</x:v>
      </x:c>
      <x:c r="G124" s="34" t="n">
        <x:f>-Assumptions!$B$8*E124</x:f>
        <x:v>1.5248449436139908</x:v>
      </x:c>
      <x:c r="H124" s="34" t="n">
        <x:f>-Assumptions!$B$9*E124</x:f>
        <x:v>1.0230859501742935</x:v>
      </x:c>
      <x:c r="I124" s="34" t="n">
        <x:f>-Assumptions!$B$10*E124</x:f>
        <x:v>1.708451619419566</x:v>
      </x:c>
      <x:c r="J124" s="36" t="n">
        <x:f>IF(C124&lt;-F124,1,0)</x:f>
        <x:v>0</x:v>
      </x:c>
      <x:c r="K124" s="36" t="n">
        <x:f>IF(C124&lt;-G124,1,0)</x:f>
        <x:v>0</x:v>
      </x:c>
      <x:c r="L124" s="36" t="n">
        <x:f>IF(C124&lt;-H124,1,0)</x:f>
        <x:v>0</x:v>
      </x:c>
      <x:c r="M124" s="36" t="n">
        <x:f>IF(C124&lt;-I124,1,0)</x:f>
        <x:v>0</x:v>
      </x:c>
      <x:c r="N124" s="34" t="n">
        <x:f>-F124</x:f>
        <x:v>-1.0781477542674922</x:v>
      </x:c>
      <x:c r="O124" s="34" t="n">
        <x:f>-H124</x:f>
        <x:v>-1.0230859501742935</x:v>
      </x:c>
      <x:c r="P124" s="34" t="n">
        <x:f>-G124</x:f>
        <x:v>-1.5248449436139908</x:v>
      </x:c>
      <x:c r="Q124" s="34" t="n">
        <x:f>-I124</x:f>
        <x:v>-1.708451619419566</x:v>
      </x:c>
      <x:c r="R124" s="36" t="n">
        <x:f>YEAR(A124)</x:f>
        <x:v>2021</x:v>
      </x:c>
    </x:row>
    <x:row r="125">
      <x:c r="A125" s="30" t="n">
        <x:v>44369</x:v>
      </x:c>
      <x:c r="B125" s="38" t="n">
        <x:v>4246.44</x:v>
      </x:c>
      <x:c r="C125" s="34" t="n">
        <x:f>(B125/B124-1)*100</x:f>
        <x:v>0.5124515064653945</x:v>
      </x:c>
      <x:c r="D125" s="34" t="n">
        <x:f>Assumptions!$B$4*D124+(1-Assumptions!$B$4)*C124^2</x:f>
        <x:v>0.5214982455683803</x:v>
      </x:c>
      <x:c r="E125" s="34" t="n">
        <x:f>SQRT(D125)</x:f>
        <x:v>0.722148354265507</x:v>
      </x:c>
      <x:c r="F125" s="34" t="n">
        <x:f>-Assumptions!$B$7*E125</x:f>
        <x:v>1.1878283397106564</x:v>
      </x:c>
      <x:c r="G125" s="34" t="n">
        <x:f>-Assumptions!$B$8*E125</x:f>
        <x:v>1.679968288687654</x:v>
      </x:c>
      <x:c r="H125" s="34" t="n">
        <x:f>-Assumptions!$B$9*E125</x:f>
        <x:v>1.1271650669091153</x:v>
      </x:c>
      <x:c r="I125" s="34" t="n">
        <x:f>-Assumptions!$B$10*E125</x:f>
        <x:v>1.882253376254436</x:v>
      </x:c>
      <x:c r="J125" s="36" t="n">
        <x:f>IF(C125&lt;-F125,1,0)</x:f>
        <x:v>0</x:v>
      </x:c>
      <x:c r="K125" s="36" t="n">
        <x:f>IF(C125&lt;-G125,1,0)</x:f>
        <x:v>0</x:v>
      </x:c>
      <x:c r="L125" s="36" t="n">
        <x:f>IF(C125&lt;-H125,1,0)</x:f>
        <x:v>0</x:v>
      </x:c>
      <x:c r="M125" s="36" t="n">
        <x:f>IF(C125&lt;-I125,1,0)</x:f>
        <x:v>0</x:v>
      </x:c>
      <x:c r="N125" s="34" t="n">
        <x:f>-F125</x:f>
        <x:v>-1.1878283397106564</x:v>
      </x:c>
      <x:c r="O125" s="34" t="n">
        <x:f>-H125</x:f>
        <x:v>-1.1271650669091153</x:v>
      </x:c>
      <x:c r="P125" s="34" t="n">
        <x:f>-G125</x:f>
        <x:v>-1.679968288687654</x:v>
      </x:c>
      <x:c r="Q125" s="34" t="n">
        <x:f>-I125</x:f>
        <x:v>-1.882253376254436</x:v>
      </x:c>
      <x:c r="R125" s="36" t="n">
        <x:f>YEAR(A125)</x:f>
        <x:v>2021</x:v>
      </x:c>
    </x:row>
    <x:row r="126">
      <x:c r="A126" s="30" t="n">
        <x:v>44370</x:v>
      </x:c>
      <x:c r="B126" s="38" t="n">
        <x:v>4241.84</x:v>
      </x:c>
      <x:c r="C126" s="34" t="n">
        <x:f>(B126/B125-1)*100</x:f>
        <x:v>-0.10832603310065858</x:v>
      </x:c>
      <x:c r="D126" s="34" t="n">
        <x:f>Assumptions!$B$4*D125+(1-Assumptions!$B$4)*C125^2</x:f>
        <x:v>0.5059647436229966</x:v>
      </x:c>
      <x:c r="E126" s="34" t="n">
        <x:f>SQRT(D126)</x:f>
        <x:v>0.7113119875434384</x:v>
      </x:c>
      <x:c r="F126" s="34" t="n">
        <x:f>-Assumptions!$B$7*E126</x:f>
        <x:v>1.1700041026048855</x:v>
      </x:c>
      <x:c r="G126" s="34" t="n">
        <x:f>-Assumptions!$B$8*E126</x:f>
        <x:v>1.6547591300014426</x:v>
      </x:c>
      <x:c r="H126" s="34" t="n">
        <x:f>-Assumptions!$B$9*E126</x:f>
        <x:v>1.1102511267897677</x:v>
      </x:c>
      <x:c r="I126" s="34" t="n">
        <x:f>-Assumptions!$B$10*E126</x:f>
        <x:v>1.854008781181322</x:v>
      </x:c>
      <x:c r="J126" s="36" t="n">
        <x:f>IF(C126&lt;-F126,1,0)</x:f>
        <x:v>0</x:v>
      </x:c>
      <x:c r="K126" s="36" t="n">
        <x:f>IF(C126&lt;-G126,1,0)</x:f>
        <x:v>0</x:v>
      </x:c>
      <x:c r="L126" s="36" t="n">
        <x:f>IF(C126&lt;-H126,1,0)</x:f>
        <x:v>0</x:v>
      </x:c>
      <x:c r="M126" s="36" t="n">
        <x:f>IF(C126&lt;-I126,1,0)</x:f>
        <x:v>0</x:v>
      </x:c>
      <x:c r="N126" s="34" t="n">
        <x:f>-F126</x:f>
        <x:v>-1.1700041026048855</x:v>
      </x:c>
      <x:c r="O126" s="34" t="n">
        <x:f>-H126</x:f>
        <x:v>-1.1102511267897677</x:v>
      </x:c>
      <x:c r="P126" s="34" t="n">
        <x:f>-G126</x:f>
        <x:v>-1.6547591300014426</x:v>
      </x:c>
      <x:c r="Q126" s="34" t="n">
        <x:f>-I126</x:f>
        <x:v>-1.854008781181322</x:v>
      </x:c>
      <x:c r="R126" s="36" t="n">
        <x:f>YEAR(A126)</x:f>
        <x:v>2021</x:v>
      </x:c>
    </x:row>
    <x:row r="127">
      <x:c r="A127" s="30" t="n">
        <x:v>44371</x:v>
      </x:c>
      <x:c r="B127" s="38" t="n">
        <x:v>4266.49</x:v>
      </x:c>
      <x:c r="C127" s="34" t="n">
        <x:f>(B127/B126-1)*100</x:f>
        <x:v>0.5811157422250579</x:v>
      </x:c>
      <x:c r="D127" s="34" t="n">
        <x:f>Assumptions!$B$4*D126+(1-Assumptions!$B$4)*C126^2</x:f>
        <x:v>0.4763109307724563</x:v>
      </x:c>
      <x:c r="E127" s="34" t="n">
        <x:f>SQRT(D127)</x:f>
        <x:v>0.6901528314601457</x:v>
      </x:c>
      <x:c r="F127" s="34" t="n">
        <x:f>-Assumptions!$B$7*E127</x:f>
        <x:v>1.1352003879780492</x:v>
      </x:c>
      <x:c r="G127" s="34" t="n">
        <x:f>-Assumptions!$B$8*E127</x:f>
        <x:v>1.6055355722305764</x:v>
      </x:c>
      <x:c r="H127" s="34" t="n">
        <x:f>-Assumptions!$B$9*E127</x:f>
        <x:v>1.0772248636383095</x:v>
      </x:c>
      <x:c r="I127" s="34" t="n">
        <x:f>-Assumptions!$B$10*E127</x:f>
        <x:v>1.798858211715606</x:v>
      </x:c>
      <x:c r="J127" s="36" t="n">
        <x:f>IF(C127&lt;-F127,1,0)</x:f>
        <x:v>0</x:v>
      </x:c>
      <x:c r="K127" s="36" t="n">
        <x:f>IF(C127&lt;-G127,1,0)</x:f>
        <x:v>0</x:v>
      </x:c>
      <x:c r="L127" s="36" t="n">
        <x:f>IF(C127&lt;-H127,1,0)</x:f>
        <x:v>0</x:v>
      </x:c>
      <x:c r="M127" s="36" t="n">
        <x:f>IF(C127&lt;-I127,1,0)</x:f>
        <x:v>0</x:v>
      </x:c>
      <x:c r="N127" s="34" t="n">
        <x:f>-F127</x:f>
        <x:v>-1.1352003879780492</x:v>
      </x:c>
      <x:c r="O127" s="34" t="n">
        <x:f>-H127</x:f>
        <x:v>-1.0772248636383095</x:v>
      </x:c>
      <x:c r="P127" s="34" t="n">
        <x:f>-G127</x:f>
        <x:v>-1.6055355722305764</x:v>
      </x:c>
      <x:c r="Q127" s="34" t="n">
        <x:f>-I127</x:f>
        <x:v>-1.798858211715606</x:v>
      </x:c>
      <x:c r="R127" s="36" t="n">
        <x:f>YEAR(A127)</x:f>
        <x:v>2021</x:v>
      </x:c>
    </x:row>
    <x:row r="128">
      <x:c r="A128" s="30" t="n">
        <x:v>44372</x:v>
      </x:c>
      <x:c r="B128" s="38" t="n">
        <x:v>4280.7</x:v>
      </x:c>
      <x:c r="C128" s="34" t="n">
        <x:f>(B128/B127-1)*100</x:f>
        <x:v>0.3330606657931945</x:v>
      </x:c>
      <x:c r="D128" s="34" t="n">
        <x:f>Assumptions!$B$4*D127+(1-Assumptions!$B$4)*C127^2</x:f>
        <x:v>0.4679940052778157</x:v>
      </x:c>
      <x:c r="E128" s="34" t="n">
        <x:f>SQRT(D128)</x:f>
        <x:v>0.6841008736128142</x:v>
      </x:c>
      <x:c r="F128" s="34" t="n">
        <x:f>-Assumptions!$B$7*E128</x:f>
        <x:v>1.1252458031627086</x:v>
      </x:c>
      <x:c r="G128" s="34" t="n">
        <x:f>-Assumptions!$B$8*E128</x:f>
        <x:v>1.591456612958652</x:v>
      </x:c>
      <x:c r="H128" s="34" t="n">
        <x:f>-Assumptions!$B$9*E128</x:f>
        <x:v>1.0677786668400675</x:v>
      </x:c>
      <x:c r="I128" s="34" t="n">
        <x:f>-Assumptions!$B$10*E128</x:f>
        <x:v>1.7830840040700382</x:v>
      </x:c>
      <x:c r="J128" s="36" t="n">
        <x:f>IF(C128&lt;-F128,1,0)</x:f>
        <x:v>0</x:v>
      </x:c>
      <x:c r="K128" s="36" t="n">
        <x:f>IF(C128&lt;-G128,1,0)</x:f>
        <x:v>0</x:v>
      </x:c>
      <x:c r="L128" s="36" t="n">
        <x:f>IF(C128&lt;-H128,1,0)</x:f>
        <x:v>0</x:v>
      </x:c>
      <x:c r="M128" s="36" t="n">
        <x:f>IF(C128&lt;-I128,1,0)</x:f>
        <x:v>0</x:v>
      </x:c>
      <x:c r="N128" s="34" t="n">
        <x:f>-F128</x:f>
        <x:v>-1.1252458031627086</x:v>
      </x:c>
      <x:c r="O128" s="34" t="n">
        <x:f>-H128</x:f>
        <x:v>-1.0677786668400675</x:v>
      </x:c>
      <x:c r="P128" s="34" t="n">
        <x:f>-G128</x:f>
        <x:v>-1.591456612958652</x:v>
      </x:c>
      <x:c r="Q128" s="34" t="n">
        <x:f>-I128</x:f>
        <x:v>-1.7830840040700382</x:v>
      </x:c>
      <x:c r="R128" s="36" t="n">
        <x:f>YEAR(A128)</x:f>
        <x:v>2021</x:v>
      </x:c>
    </x:row>
    <x:row r="129">
      <x:c r="A129" s="30" t="n">
        <x:v>44375</x:v>
      </x:c>
      <x:c r="B129" s="38" t="n">
        <x:v>4290.61</x:v>
      </x:c>
      <x:c r="C129" s="34" t="n">
        <x:f>(B129/B128-1)*100</x:f>
        <x:v>0.23150419323942906</x:v>
      </x:c>
      <x:c r="D129" s="34" t="n">
        <x:f>Assumptions!$B$4*D128+(1-Assumptions!$B$4)*C128^2</x:f>
        <x:v>0.4465701293870631</x:v>
      </x:c>
      <x:c r="E129" s="34" t="n">
        <x:f>SQRT(D129)</x:f>
        <x:v>0.6682590286610897</x:v>
      </x:c>
      <x:c r="F129" s="34" t="n">
        <x:f>-Assumptions!$B$7*E129</x:f>
        <x:v>1.0991882870362615</x:v>
      </x:c>
      <x:c r="G129" s="34" t="n">
        <x:f>-Assumptions!$B$8*E129</x:f>
        <x:v>1.554602970634323</x:v>
      </x:c>
      <x:c r="H129" s="34" t="n">
        <x:f>-Assumptions!$B$9*E129</x:f>
        <x:v>1.0430519273557186</x:v>
      </x:c>
      <x:c r="I129" s="34" t="n">
        <x:f>-Assumptions!$B$10*E129</x:f>
        <x:v>1.741792812349729</x:v>
      </x:c>
      <x:c r="J129" s="36" t="n">
        <x:f>IF(C129&lt;-F129,1,0)</x:f>
        <x:v>0</x:v>
      </x:c>
      <x:c r="K129" s="36" t="n">
        <x:f>IF(C129&lt;-G129,1,0)</x:f>
        <x:v>0</x:v>
      </x:c>
      <x:c r="L129" s="36" t="n">
        <x:f>IF(C129&lt;-H129,1,0)</x:f>
        <x:v>0</x:v>
      </x:c>
      <x:c r="M129" s="36" t="n">
        <x:f>IF(C129&lt;-I129,1,0)</x:f>
        <x:v>0</x:v>
      </x:c>
      <x:c r="N129" s="34" t="n">
        <x:f>-F129</x:f>
        <x:v>-1.0991882870362615</x:v>
      </x:c>
      <x:c r="O129" s="34" t="n">
        <x:f>-H129</x:f>
        <x:v>-1.0430519273557186</x:v>
      </x:c>
      <x:c r="P129" s="34" t="n">
        <x:f>-G129</x:f>
        <x:v>-1.554602970634323</x:v>
      </x:c>
      <x:c r="Q129" s="34" t="n">
        <x:f>-I129</x:f>
        <x:v>-1.741792812349729</x:v>
      </x:c>
      <x:c r="R129" s="36" t="n">
        <x:f>YEAR(A129)</x:f>
        <x:v>2021</x:v>
      </x:c>
    </x:row>
    <x:row r="130">
      <x:c r="A130" s="30" t="n">
        <x:v>44376</x:v>
      </x:c>
      <x:c r="B130" s="38" t="n">
        <x:v>4291.8</x:v>
      </x:c>
      <x:c r="C130" s="34" t="n">
        <x:f>(B130/B129-1)*100</x:f>
        <x:v>0.027734984069871516</x:v>
      </x:c>
      <x:c r="D130" s="34" t="n">
        <x:f>Assumptions!$B$4*D129+(1-Assumptions!$B$4)*C129^2</x:f>
        <x:v>0.4229915731130856</x:v>
      </x:c>
      <x:c r="E130" s="34" t="n">
        <x:f>SQRT(D130)</x:f>
        <x:v>0.6503780232396276</x:v>
      </x:c>
      <x:c r="F130" s="34" t="n">
        <x:f>-Assumptions!$B$7*E130</x:f>
        <x:v>1.0697766504152306</x:v>
      </x:c>
      <x:c r="G130" s="34" t="n">
        <x:f>-Assumptions!$B$8*E130</x:f>
        <x:v>1.5130055316863917</x:v>
      </x:c>
      <x:c r="H130" s="34" t="n">
        <x:f>-Assumptions!$B$9*E130</x:f>
        <x:v>1.0151423647939042</x:v>
      </x:c>
      <x:c r="I130" s="34" t="n">
        <x:f>-Assumptions!$B$10*E130</x:f>
        <x:v>1.6951866231552624</x:v>
      </x:c>
      <x:c r="J130" s="36" t="n">
        <x:f>IF(C130&lt;-F130,1,0)</x:f>
        <x:v>0</x:v>
      </x:c>
      <x:c r="K130" s="36" t="n">
        <x:f>IF(C130&lt;-G130,1,0)</x:f>
        <x:v>0</x:v>
      </x:c>
      <x:c r="L130" s="36" t="n">
        <x:f>IF(C130&lt;-H130,1,0)</x:f>
        <x:v>0</x:v>
      </x:c>
      <x:c r="M130" s="36" t="n">
        <x:f>IF(C130&lt;-I130,1,0)</x:f>
        <x:v>0</x:v>
      </x:c>
      <x:c r="N130" s="34" t="n">
        <x:f>-F130</x:f>
        <x:v>-1.0697766504152306</x:v>
      </x:c>
      <x:c r="O130" s="34" t="n">
        <x:f>-H130</x:f>
        <x:v>-1.0151423647939042</x:v>
      </x:c>
      <x:c r="P130" s="34" t="n">
        <x:f>-G130</x:f>
        <x:v>-1.5130055316863917</x:v>
      </x:c>
      <x:c r="Q130" s="34" t="n">
        <x:f>-I130</x:f>
        <x:v>-1.6951866231552624</x:v>
      </x:c>
      <x:c r="R130" s="36" t="n">
        <x:f>YEAR(A130)</x:f>
        <x:v>2021</x:v>
      </x:c>
    </x:row>
    <x:row r="131">
      <x:c r="A131" s="30" t="n">
        <x:v>44377</x:v>
      </x:c>
      <x:c r="B131" s="38" t="n">
        <x:v>4297.5</x:v>
      </x:c>
      <x:c r="C131" s="34" t="n">
        <x:f>(B131/B130-1)*100</x:f>
        <x:v>0.1328114078009257</x:v>
      </x:c>
      <x:c r="D131" s="34" t="n">
        <x:f>Assumptions!$B$4*D130+(1-Assumptions!$B$4)*C130^2</x:f>
        <x:v>0.3976582324867818</x:v>
      </x:c>
      <x:c r="E131" s="34" t="n">
        <x:f>SQRT(D131)</x:f>
        <x:v>0.6306014846848854</x:v>
      </x:c>
      <x:c r="F131" s="34" t="n">
        <x:f>-Assumptions!$B$7*E131</x:f>
        <x:v>1.0372471392449174</x:v>
      </x:c>
      <x:c r="G131" s="34" t="n">
        <x:f>-Assumptions!$B$8*E131</x:f>
        <x:v>1.4669984232636808</x:v>
      </x:c>
      <x:c r="H131" s="34" t="n">
        <x:f>-Assumptions!$B$9*E131</x:f>
        <x:v>0.9842741598445776</x:v>
      </x:c>
      <x:c r="I131" s="34" t="n">
        <x:f>-Assumptions!$B$10*E131</x:f>
        <x:v>1.6436397959065177</x:v>
      </x:c>
      <x:c r="J131" s="36" t="n">
        <x:f>IF(C131&lt;-F131,1,0)</x:f>
        <x:v>0</x:v>
      </x:c>
      <x:c r="K131" s="36" t="n">
        <x:f>IF(C131&lt;-G131,1,0)</x:f>
        <x:v>0</x:v>
      </x:c>
      <x:c r="L131" s="36" t="n">
        <x:f>IF(C131&lt;-H131,1,0)</x:f>
        <x:v>0</x:v>
      </x:c>
      <x:c r="M131" s="36" t="n">
        <x:f>IF(C131&lt;-I131,1,0)</x:f>
        <x:v>0</x:v>
      </x:c>
      <x:c r="N131" s="34" t="n">
        <x:f>-F131</x:f>
        <x:v>-1.0372471392449174</x:v>
      </x:c>
      <x:c r="O131" s="34" t="n">
        <x:f>-H131</x:f>
        <x:v>-0.9842741598445776</x:v>
      </x:c>
      <x:c r="P131" s="34" t="n">
        <x:f>-G131</x:f>
        <x:v>-1.4669984232636808</x:v>
      </x:c>
      <x:c r="Q131" s="34" t="n">
        <x:f>-I131</x:f>
        <x:v>-1.6436397959065177</x:v>
      </x:c>
      <x:c r="R131" s="36" t="n">
        <x:f>YEAR(A131)</x:f>
        <x:v>2021</x:v>
      </x:c>
    </x:row>
    <x:row r="132">
      <x:c r="A132" s="30" t="n">
        <x:v>44378</x:v>
      </x:c>
      <x:c r="B132" s="38" t="n">
        <x:v>4319.94</x:v>
      </x:c>
      <x:c r="C132" s="34" t="n">
        <x:f>(B132/B131-1)*100</x:f>
        <x:v>0.5221640488656032</x:v>
      </x:c>
      <x:c r="D132" s="34" t="n">
        <x:f>Assumptions!$B$4*D131+(1-Assumptions!$B$4)*C131^2</x:f>
        <x:v>0.37485707074009866</x:v>
      </x:c>
      <x:c r="E132" s="34" t="n">
        <x:f>SQRT(D132)</x:f>
        <x:v>0.6122557233216351</x:v>
      </x:c>
      <x:c r="F132" s="34" t="n">
        <x:f>-Assumptions!$B$7*E132</x:f>
        <x:v>1.007071047127389</x:v>
      </x:c>
      <x:c r="G132" s="34" t="n">
        <x:f>-Assumptions!$B$8*E132</x:f>
        <x:v>1.4243198003186228</x:v>
      </x:c>
      <x:c r="H132" s="34" t="n">
        <x:f>-Assumptions!$B$9*E132</x:f>
        <x:v>0.9556391830944901</x:v>
      </x:c>
      <x:c r="I132" s="34" t="n">
        <x:f>-Assumptions!$B$10*E132</x:f>
        <x:v>1.595822237281659</x:v>
      </x:c>
      <x:c r="J132" s="36" t="n">
        <x:f>IF(C132&lt;-F132,1,0)</x:f>
        <x:v>0</x:v>
      </x:c>
      <x:c r="K132" s="36" t="n">
        <x:f>IF(C132&lt;-G132,1,0)</x:f>
        <x:v>0</x:v>
      </x:c>
      <x:c r="L132" s="36" t="n">
        <x:f>IF(C132&lt;-H132,1,0)</x:f>
        <x:v>0</x:v>
      </x:c>
      <x:c r="M132" s="36" t="n">
        <x:f>IF(C132&lt;-I132,1,0)</x:f>
        <x:v>0</x:v>
      </x:c>
      <x:c r="N132" s="34" t="n">
        <x:f>-F132</x:f>
        <x:v>-1.007071047127389</x:v>
      </x:c>
      <x:c r="O132" s="34" t="n">
        <x:f>-H132</x:f>
        <x:v>-0.9556391830944901</x:v>
      </x:c>
      <x:c r="P132" s="34" t="n">
        <x:f>-G132</x:f>
        <x:v>-1.4243198003186228</x:v>
      </x:c>
      <x:c r="Q132" s="34" t="n">
        <x:f>-I132</x:f>
        <x:v>-1.595822237281659</x:v>
      </x:c>
      <x:c r="R132" s="36" t="n">
        <x:f>YEAR(A132)</x:f>
        <x:v>2021</x:v>
      </x:c>
    </x:row>
    <x:row r="133">
      <x:c r="A133" s="30" t="n">
        <x:v>44379</x:v>
      </x:c>
      <x:c r="B133" s="38" t="n">
        <x:v>4352.34</x:v>
      </x:c>
      <x:c r="C133" s="34" t="n">
        <x:f>(B133/B132-1)*100</x:f>
        <x:v>0.750010416811353</x:v>
      </x:c>
      <x:c r="D133" s="34" t="n">
        <x:f>Assumptions!$B$4*D132+(1-Assumptions!$B$4)*C132^2</x:f>
        <x:v>0.36872496413135597</x:v>
      </x:c>
      <x:c r="E133" s="34" t="n">
        <x:f>SQRT(D133)</x:f>
        <x:v>0.6072272755166355</x:v>
      </x:c>
      <x:c r="F133" s="34" t="n">
        <x:f>-Assumptions!$B$7*E133</x:f>
        <x:v>0.9987999865173991</x:v>
      </x:c>
      <x:c r="G133" s="34" t="n">
        <x:f>-Assumptions!$B$8*E133</x:f>
        <x:v>1.4126218814577365</x:v>
      </x:c>
      <x:c r="H133" s="34" t="n">
        <x:f>-Assumptions!$B$9*E133</x:f>
        <x:v>0.9477905316739157</x:v>
      </x:c>
      <x:c r="I133" s="34" t="n">
        <x:f>-Assumptions!$B$10*E133</x:f>
        <x:v>1.5827157712731523</x:v>
      </x:c>
      <x:c r="J133" s="36" t="n">
        <x:f>IF(C133&lt;-F133,1,0)</x:f>
        <x:v>0</x:v>
      </x:c>
      <x:c r="K133" s="36" t="n">
        <x:f>IF(C133&lt;-G133,1,0)</x:f>
        <x:v>0</x:v>
      </x:c>
      <x:c r="L133" s="36" t="n">
        <x:f>IF(C133&lt;-H133,1,0)</x:f>
        <x:v>0</x:v>
      </x:c>
      <x:c r="M133" s="36" t="n">
        <x:f>IF(C133&lt;-I133,1,0)</x:f>
        <x:v>0</x:v>
      </x:c>
      <x:c r="N133" s="34" t="n">
        <x:f>-F133</x:f>
        <x:v>-0.9987999865173991</x:v>
      </x:c>
      <x:c r="O133" s="34" t="n">
        <x:f>-H133</x:f>
        <x:v>-0.9477905316739157</x:v>
      </x:c>
      <x:c r="P133" s="34" t="n">
        <x:f>-G133</x:f>
        <x:v>-1.4126218814577365</x:v>
      </x:c>
      <x:c r="Q133" s="34" t="n">
        <x:f>-I133</x:f>
        <x:v>-1.5827157712731523</x:v>
      </x:c>
      <x:c r="R133" s="36" t="n">
        <x:f>YEAR(A133)</x:f>
        <x:v>2021</x:v>
      </x:c>
    </x:row>
    <x:row r="134">
      <x:c r="A134" s="30" t="n">
        <x:v>44383</x:v>
      </x:c>
      <x:c r="B134" s="38" t="n">
        <x:v>4343.54</x:v>
      </x:c>
      <x:c r="C134" s="34" t="n">
        <x:f>(B134/B133-1)*100</x:f>
        <x:v>-0.20219008625245172</x:v>
      </x:c>
      <x:c r="D134" s="34" t="n">
        <x:f>Assumptions!$B$4*D133+(1-Assumptions!$B$4)*C133^2</x:f>
        <x:v>0.380352403803007</x:v>
      </x:c>
      <x:c r="E134" s="34" t="n">
        <x:f>SQRT(D134)</x:f>
        <x:v>0.6167271712864668</x:v>
      </x:c>
      <x:c r="F134" s="34" t="n">
        <x:f>-Assumptions!$B$7*E134</x:f>
        <x:v>1.014425924530067</x:v>
      </x:c>
      <x:c r="G134" s="34" t="n">
        <x:f>-Assumptions!$B$8*E134</x:f>
        <x:v>1.4347219437854932</x:v>
      </x:c>
      <x:c r="H134" s="34" t="n">
        <x:f>-Assumptions!$B$9*E134</x:f>
        <x:v>0.9626184414625111</x:v>
      </x:c>
      <x:c r="I134" s="34" t="n">
        <x:f>-Assumptions!$B$10*E134</x:f>
        <x:v>1.6074769034992547</x:v>
      </x:c>
      <x:c r="J134" s="36" t="n">
        <x:f>IF(C134&lt;-F134,1,0)</x:f>
        <x:v>0</x:v>
      </x:c>
      <x:c r="K134" s="36" t="n">
        <x:f>IF(C134&lt;-G134,1,0)</x:f>
        <x:v>0</x:v>
      </x:c>
      <x:c r="L134" s="36" t="n">
        <x:f>IF(C134&lt;-H134,1,0)</x:f>
        <x:v>0</x:v>
      </x:c>
      <x:c r="M134" s="36" t="n">
        <x:f>IF(C134&lt;-I134,1,0)</x:f>
        <x:v>0</x:v>
      </x:c>
      <x:c r="N134" s="34" t="n">
        <x:f>-F134</x:f>
        <x:v>-1.014425924530067</x:v>
      </x:c>
      <x:c r="O134" s="34" t="n">
        <x:f>-H134</x:f>
        <x:v>-0.9626184414625111</x:v>
      </x:c>
      <x:c r="P134" s="34" t="n">
        <x:f>-G134</x:f>
        <x:v>-1.4347219437854932</x:v>
      </x:c>
      <x:c r="Q134" s="34" t="n">
        <x:f>-I134</x:f>
        <x:v>-1.6074769034992547</x:v>
      </x:c>
      <x:c r="R134" s="36" t="n">
        <x:f>YEAR(A134)</x:f>
        <x:v>2021</x:v>
      </x:c>
    </x:row>
    <x:row r="135">
      <x:c r="A135" s="30" t="n">
        <x:v>44384</x:v>
      </x:c>
      <x:c r="B135" s="38" t="n">
        <x:v>4358.13</x:v>
      </x:c>
      <x:c r="C135" s="34" t="n">
        <x:f>(B135/B134-1)*100</x:f>
        <x:v>0.3359011313352811</x:v>
      </x:c>
      <x:c r="D135" s="34" t="n">
        <x:f>Assumptions!$B$4*D134+(1-Assumptions!$B$4)*C134^2</x:f>
        <x:v>0.359984109433553</x:v>
      </x:c>
      <x:c r="E135" s="34" t="n">
        <x:f>SQRT(D135)</x:f>
        <x:v>0.5999867577151624</x:v>
      </x:c>
      <x:c r="F135" s="34" t="n">
        <x:f>-Assumptions!$B$7*E135</x:f>
        <x:v>0.9868903945506394</x:v>
      </x:c>
      <x:c r="G135" s="34" t="n">
        <x:f>-Assumptions!$B$8*E135</x:f>
        <x:v>1.3957779182633248</x:v>
      </x:c>
      <x:c r="H135" s="34" t="n">
        <x:f>-Assumptions!$B$9*E135</x:f>
        <x:v>0.9364891713870052</x:v>
      </x:c>
      <x:c r="I135" s="34" t="n">
        <x:f>-Assumptions!$B$10*E135</x:f>
        <x:v>1.5638436254084507</x:v>
      </x:c>
      <x:c r="J135" s="36" t="n">
        <x:f>IF(C135&lt;-F135,1,0)</x:f>
        <x:v>0</x:v>
      </x:c>
      <x:c r="K135" s="36" t="n">
        <x:f>IF(C135&lt;-G135,1,0)</x:f>
        <x:v>0</x:v>
      </x:c>
      <x:c r="L135" s="36" t="n">
        <x:f>IF(C135&lt;-H135,1,0)</x:f>
        <x:v>0</x:v>
      </x:c>
      <x:c r="M135" s="36" t="n">
        <x:f>IF(C135&lt;-I135,1,0)</x:f>
        <x:v>0</x:v>
      </x:c>
      <x:c r="N135" s="34" t="n">
        <x:f>-F135</x:f>
        <x:v>-0.9868903945506394</x:v>
      </x:c>
      <x:c r="O135" s="34" t="n">
        <x:f>-H135</x:f>
        <x:v>-0.9364891713870052</x:v>
      </x:c>
      <x:c r="P135" s="34" t="n">
        <x:f>-G135</x:f>
        <x:v>-1.3957779182633248</x:v>
      </x:c>
      <x:c r="Q135" s="34" t="n">
        <x:f>-I135</x:f>
        <x:v>-1.5638436254084507</x:v>
      </x:c>
      <x:c r="R135" s="36" t="n">
        <x:f>YEAR(A135)</x:f>
        <x:v>2021</x:v>
      </x:c>
    </x:row>
    <x:row r="136">
      <x:c r="A136" s="30" t="n">
        <x:v>44385</x:v>
      </x:c>
      <x:c r="B136" s="38" t="n">
        <x:v>4320.82</x:v>
      </x:c>
      <x:c r="C136" s="34" t="n">
        <x:f>(B136/B135-1)*100</x:f>
        <x:v>-0.856101125941644</x:v>
      </x:c>
      <x:c r="D136" s="34" t="n">
        <x:f>Assumptions!$B$4*D135+(1-Assumptions!$B$4)*C135^2</x:f>
        <x:v>0.34515483706947914</x:v>
      </x:c>
      <x:c r="E136" s="34" t="n">
        <x:f>SQRT(D136)</x:f>
        <x:v>0.587498797504709</x:v>
      </x:c>
      <x:c r="F136" s="34" t="n">
        <x:f>-Assumptions!$B$7*E136</x:f>
        <x:v>0.9663495279052495</x:v>
      </x:c>
      <x:c r="G136" s="34" t="n">
        <x:f>-Assumptions!$B$8*E136</x:f>
        <x:v>1.36672657857663</x:v>
      </x:c>
      <x:c r="H136" s="34" t="n">
        <x:f>-Assumptions!$B$9*E136</x:f>
        <x:v>0.9169973420100751</x:v>
      </x:c>
      <x:c r="I136" s="34" t="n">
        <x:f>-Assumptions!$B$10*E136</x:f>
        <x:v>1.5312942120783264</x:v>
      </x:c>
      <x:c r="J136" s="36" t="n">
        <x:f>IF(C136&lt;-F136,1,0)</x:f>
        <x:v>0</x:v>
      </x:c>
      <x:c r="K136" s="36" t="n">
        <x:f>IF(C136&lt;-G136,1,0)</x:f>
        <x:v>0</x:v>
      </x:c>
      <x:c r="L136" s="36" t="n">
        <x:f>IF(C136&lt;-H136,1,0)</x:f>
        <x:v>0</x:v>
      </x:c>
      <x:c r="M136" s="36" t="n">
        <x:f>IF(C136&lt;-I136,1,0)</x:f>
        <x:v>0</x:v>
      </x:c>
      <x:c r="N136" s="34" t="n">
        <x:f>-F136</x:f>
        <x:v>-0.9663495279052495</x:v>
      </x:c>
      <x:c r="O136" s="34" t="n">
        <x:f>-H136</x:f>
        <x:v>-0.9169973420100751</x:v>
      </x:c>
      <x:c r="P136" s="34" t="n">
        <x:f>-G136</x:f>
        <x:v>-1.36672657857663</x:v>
      </x:c>
      <x:c r="Q136" s="34" t="n">
        <x:f>-I136</x:f>
        <x:v>-1.5312942120783264</x:v>
      </x:c>
      <x:c r="R136" s="36" t="n">
        <x:f>YEAR(A136)</x:f>
        <x:v>2021</x:v>
      </x:c>
    </x:row>
    <x:row r="137">
      <x:c r="A137" s="30" t="n">
        <x:v>44386</x:v>
      </x:c>
      <x:c r="B137" s="38" t="n">
        <x:v>4369.55</x:v>
      </x:c>
      <x:c r="C137" s="34" t="n">
        <x:f>(B137/B136-1)*100</x:f>
        <x:v>1.127795187024705</x:v>
      </x:c>
      <x:c r="D137" s="34" t="n">
        <x:f>Assumptions!$B$4*D136+(1-Assumptions!$B$4)*C136^2</x:f>
        <x:v>0.3684200951156234</x:v>
      </x:c>
      <x:c r="E137" s="34" t="n">
        <x:f>SQRT(D137)</x:f>
        <x:v>0.606976189908322</x:v>
      </x:c>
      <x:c r="F137" s="34" t="n">
        <x:f>-Assumptions!$B$7*E137</x:f>
        <x:v>0.9983869874438894</x:v>
      </x:c>
      <x:c r="G137" s="34" t="n">
        <x:f>-Assumptions!$B$8*E137</x:f>
        <x:v>1.4120377689866344</x:v>
      </x:c>
      <x:c r="H137" s="34" t="n">
        <x:f>-Assumptions!$B$9*E137</x:f>
        <x:v>0.9473986247688831</x:v>
      </x:c>
      <x:c r="I137" s="34" t="n">
        <x:f>-Assumptions!$B$10*E137</x:f>
        <x:v>1.582061325782575</x:v>
      </x:c>
      <x:c r="J137" s="36" t="n">
        <x:f>IF(C137&lt;-F137,1,0)</x:f>
        <x:v>0</x:v>
      </x:c>
      <x:c r="K137" s="36" t="n">
        <x:f>IF(C137&lt;-G137,1,0)</x:f>
        <x:v>0</x:v>
      </x:c>
      <x:c r="L137" s="36" t="n">
        <x:f>IF(C137&lt;-H137,1,0)</x:f>
        <x:v>0</x:v>
      </x:c>
      <x:c r="M137" s="36" t="n">
        <x:f>IF(C137&lt;-I137,1,0)</x:f>
        <x:v>0</x:v>
      </x:c>
      <x:c r="N137" s="34" t="n">
        <x:f>-F137</x:f>
        <x:v>-0.9983869874438894</x:v>
      </x:c>
      <x:c r="O137" s="34" t="n">
        <x:f>-H137</x:f>
        <x:v>-0.9473986247688831</x:v>
      </x:c>
      <x:c r="P137" s="34" t="n">
        <x:f>-G137</x:f>
        <x:v>-1.4120377689866344</x:v>
      </x:c>
      <x:c r="Q137" s="34" t="n">
        <x:f>-I137</x:f>
        <x:v>-1.582061325782575</x:v>
      </x:c>
      <x:c r="R137" s="36" t="n">
        <x:f>YEAR(A137)</x:f>
        <x:v>2021</x:v>
      </x:c>
    </x:row>
    <x:row r="138">
      <x:c r="A138" s="30" t="n">
        <x:v>44389</x:v>
      </x:c>
      <x:c r="B138" s="38" t="n">
        <x:v>4384.63</x:v>
      </x:c>
      <x:c r="C138" s="34" t="n">
        <x:f>(B138/B137-1)*100</x:f>
        <x:v>0.345115629755921</x:v>
      </x:c>
      <x:c r="D138" s="34" t="n">
        <x:f>Assumptions!$B$4*D137+(1-Assumptions!$B$4)*C137^2</x:f>
        <x:v>0.42263020844125143</x:v>
      </x:c>
      <x:c r="E138" s="34" t="n">
        <x:f>SQRT(D138)</x:f>
        <x:v>0.650100152623618</x:v>
      </x:c>
      <x:c r="F138" s="34" t="n">
        <x:f>-Assumptions!$B$7*E138</x:f>
        <x:v>1.069319593924664</x:v>
      </x:c>
      <x:c r="G138" s="34" t="n">
        <x:f>-Assumptions!$B$8*E138</x:f>
        <x:v>1.5123591079695795</x:v>
      </x:c>
      <x:c r="H138" s="34" t="n">
        <x:f>-Assumptions!$B$9*E138</x:f>
        <x:v>1.0147086505167249</x:v>
      </x:c>
      <x:c r="I138" s="34" t="n">
        <x:f>-Assumptions!$B$10*E138</x:f>
        <x:v>1.69446236351795</x:v>
      </x:c>
      <x:c r="J138" s="36" t="n">
        <x:f>IF(C138&lt;-F138,1,0)</x:f>
        <x:v>0</x:v>
      </x:c>
      <x:c r="K138" s="36" t="n">
        <x:f>IF(C138&lt;-G138,1,0)</x:f>
        <x:v>0</x:v>
      </x:c>
      <x:c r="L138" s="36" t="n">
        <x:f>IF(C138&lt;-H138,1,0)</x:f>
        <x:v>0</x:v>
      </x:c>
      <x:c r="M138" s="36" t="n">
        <x:f>IF(C138&lt;-I138,1,0)</x:f>
        <x:v>0</x:v>
      </x:c>
      <x:c r="N138" s="34" t="n">
        <x:f>-F138</x:f>
        <x:v>-1.069319593924664</x:v>
      </x:c>
      <x:c r="O138" s="34" t="n">
        <x:f>-H138</x:f>
        <x:v>-1.0147086505167249</x:v>
      </x:c>
      <x:c r="P138" s="34" t="n">
        <x:f>-G138</x:f>
        <x:v>-1.5123591079695795</x:v>
      </x:c>
      <x:c r="Q138" s="34" t="n">
        <x:f>-I138</x:f>
        <x:v>-1.69446236351795</x:v>
      </x:c>
      <x:c r="R138" s="36" t="n">
        <x:f>YEAR(A138)</x:f>
        <x:v>2021</x:v>
      </x:c>
    </x:row>
    <x:row r="139">
      <x:c r="A139" s="30" t="n">
        <x:v>44390</x:v>
      </x:c>
      <x:c r="B139" s="38" t="n">
        <x:v>4369.21</x:v>
      </x:c>
      <x:c r="C139" s="34" t="n">
        <x:f>(B139/B138-1)*100</x:f>
        <x:v>-0.3516830382495284</x:v>
      </x:c>
      <x:c r="D139" s="34" t="n">
        <x:f>Assumptions!$B$4*D138+(1-Assumptions!$B$4)*C138^2</x:f>
        <x:v>0.4044186838088859</x:v>
      </x:c>
      <x:c r="E139" s="34" t="n">
        <x:f>SQRT(D139)</x:f>
        <x:v>0.6359392139260528</x:v>
      </x:c>
      <x:c r="F139" s="34" t="n">
        <x:f>-Assumptions!$B$7*E139</x:f>
        <x:v>1.0460269225469365</x:v>
      </x:c>
      <x:c r="G139" s="34" t="n">
        <x:f>-Assumptions!$B$8*E139</x:f>
        <x:v>1.479415838336076</x:v>
      </x:c>
      <x:c r="H139" s="34" t="n">
        <x:f>-Assumptions!$B$9*E139</x:f>
        <x:v>0.9926055531126304</x:v>
      </x:c>
      <x:c r="I139" s="34" t="n">
        <x:f>-Assumptions!$B$10*E139</x:f>
        <x:v>1.657552392710727</x:v>
      </x:c>
      <x:c r="J139" s="36" t="n">
        <x:f>IF(C139&lt;-F139,1,0)</x:f>
        <x:v>0</x:v>
      </x:c>
      <x:c r="K139" s="36" t="n">
        <x:f>IF(C139&lt;-G139,1,0)</x:f>
        <x:v>0</x:v>
      </x:c>
      <x:c r="L139" s="36" t="n">
        <x:f>IF(C139&lt;-H139,1,0)</x:f>
        <x:v>0</x:v>
      </x:c>
      <x:c r="M139" s="36" t="n">
        <x:f>IF(C139&lt;-I139,1,0)</x:f>
        <x:v>0</x:v>
      </x:c>
      <x:c r="N139" s="34" t="n">
        <x:f>-F139</x:f>
        <x:v>-1.0460269225469365</x:v>
      </x:c>
      <x:c r="O139" s="34" t="n">
        <x:f>-H139</x:f>
        <x:v>-0.9926055531126304</x:v>
      </x:c>
      <x:c r="P139" s="34" t="n">
        <x:f>-G139</x:f>
        <x:v>-1.479415838336076</x:v>
      </x:c>
      <x:c r="Q139" s="34" t="n">
        <x:f>-I139</x:f>
        <x:v>-1.657552392710727</x:v>
      </x:c>
      <x:c r="R139" s="36" t="n">
        <x:f>YEAR(A139)</x:f>
        <x:v>2021</x:v>
      </x:c>
    </x:row>
    <x:row r="140">
      <x:c r="A140" s="30" t="n">
        <x:v>44391</x:v>
      </x:c>
      <x:c r="B140" s="38" t="n">
        <x:v>4374.3</x:v>
      </x:c>
      <x:c r="C140" s="34" t="n">
        <x:f>(B140/B139-1)*100</x:f>
        <x:v>0.11649703264435818</x:v>
      </x:c>
      <x:c r="D140" s="34" t="n">
        <x:f>Assumptions!$B$4*D139+(1-Assumptions!$B$4)*C139^2</x:f>
        <x:v>0.3875744203438979</x:v>
      </x:c>
      <x:c r="E140" s="34" t="n">
        <x:f>SQRT(D140)</x:f>
        <x:v>0.6225547528883687</x:v>
      </x:c>
      <x:c r="F140" s="34" t="n">
        <x:f>-Assumptions!$B$7*E140</x:f>
        <x:v>1.0240114432643113</x:v>
      </x:c>
      <x:c r="G140" s="34" t="n">
        <x:f>-Assumptions!$B$8*E140</x:f>
        <x:v>1.4482789258558773</x:v>
      </x:c>
      <x:c r="H140" s="34" t="n">
        <x:f>-Assumptions!$B$9*E140</x:f>
        <x:v>0.9717144206576822</x:v>
      </x:c>
      <x:c r="I140" s="34" t="n">
        <x:f>-Assumptions!$B$10*E140</x:f>
        <x:v>1.6226662826355327</x:v>
      </x:c>
      <x:c r="J140" s="36" t="n">
        <x:f>IF(C140&lt;-F140,1,0)</x:f>
        <x:v>0</x:v>
      </x:c>
      <x:c r="K140" s="36" t="n">
        <x:f>IF(C140&lt;-G140,1,0)</x:f>
        <x:v>0</x:v>
      </x:c>
      <x:c r="L140" s="36" t="n">
        <x:f>IF(C140&lt;-H140,1,0)</x:f>
        <x:v>0</x:v>
      </x:c>
      <x:c r="M140" s="36" t="n">
        <x:f>IF(C140&lt;-I140,1,0)</x:f>
        <x:v>0</x:v>
      </x:c>
      <x:c r="N140" s="34" t="n">
        <x:f>-F140</x:f>
        <x:v>-1.0240114432643113</x:v>
      </x:c>
      <x:c r="O140" s="34" t="n">
        <x:f>-H140</x:f>
        <x:v>-0.9717144206576822</x:v>
      </x:c>
      <x:c r="P140" s="34" t="n">
        <x:f>-G140</x:f>
        <x:v>-1.4482789258558773</x:v>
      </x:c>
      <x:c r="Q140" s="34" t="n">
        <x:f>-I140</x:f>
        <x:v>-1.6226662826355327</x:v>
      </x:c>
      <x:c r="R140" s="36" t="n">
        <x:f>YEAR(A140)</x:f>
        <x:v>2021</x:v>
      </x:c>
    </x:row>
    <x:row r="141">
      <x:c r="A141" s="30" t="n">
        <x:v>44392</x:v>
      </x:c>
      <x:c r="B141" s="38" t="n">
        <x:v>4360.03</x:v>
      </x:c>
      <x:c r="C141" s="34" t="n">
        <x:f>(B141/B140-1)*100</x:f>
        <x:v>-0.32622362435132946</x:v>
      </x:c>
      <x:c r="D141" s="34" t="n">
        <x:f>Assumptions!$B$4*D140+(1-Assumptions!$B$4)*C140^2</x:f>
        <x:v>0.3651342486401604</x:v>
      </x:c>
      <x:c r="E141" s="34" t="n">
        <x:f>SQRT(D141)</x:f>
        <x:v>0.6042633934305143</x:v>
      </x:c>
      <x:c r="F141" s="34" t="n">
        <x:f>-Assumptions!$B$7*E141</x:f>
        <x:v>0.9939248343181862</x:v>
      </x:c>
      <x:c r="G141" s="34" t="n">
        <x:f>-Assumptions!$B$8*E141</x:f>
        <x:v>1.4057268606677809</x:v>
      </x:c>
      <x:c r="H141" s="34" t="n">
        <x:f>-Assumptions!$B$9*E141</x:f>
        <x:v>0.9431643571071795</x:v>
      </x:c>
      <x:c r="I141" s="34" t="n">
        <x:f>-Assumptions!$B$10*E141</x:f>
        <x:v>1.5749905205951311</x:v>
      </x:c>
      <x:c r="J141" s="36" t="n">
        <x:f>IF(C141&lt;-F141,1,0)</x:f>
        <x:v>0</x:v>
      </x:c>
      <x:c r="K141" s="36" t="n">
        <x:f>IF(C141&lt;-G141,1,0)</x:f>
        <x:v>0</x:v>
      </x:c>
      <x:c r="L141" s="36" t="n">
        <x:f>IF(C141&lt;-H141,1,0)</x:f>
        <x:v>0</x:v>
      </x:c>
      <x:c r="M141" s="36" t="n">
        <x:f>IF(C141&lt;-I141,1,0)</x:f>
        <x:v>0</x:v>
      </x:c>
      <x:c r="N141" s="34" t="n">
        <x:f>-F141</x:f>
        <x:v>-0.9939248343181862</x:v>
      </x:c>
      <x:c r="O141" s="34" t="n">
        <x:f>-H141</x:f>
        <x:v>-0.9431643571071795</x:v>
      </x:c>
      <x:c r="P141" s="34" t="n">
        <x:f>-G141</x:f>
        <x:v>-1.4057268606677809</x:v>
      </x:c>
      <x:c r="Q141" s="34" t="n">
        <x:f>-I141</x:f>
        <x:v>-1.5749905205951311</x:v>
      </x:c>
      <x:c r="R141" s="36" t="n">
        <x:f>YEAR(A141)</x:f>
        <x:v>2021</x:v>
      </x:c>
    </x:row>
    <x:row r="142">
      <x:c r="A142" s="30" t="n">
        <x:v>44393</x:v>
      </x:c>
      <x:c r="B142" s="38" t="n">
        <x:v>4327.16</x:v>
      </x:c>
      <x:c r="C142" s="34" t="n">
        <x:f>(B142/B141-1)*100</x:f>
        <x:v>-0.7538938952254881</x:v>
      </x:c>
      <x:c r="D142" s="34" t="n">
        <x:f>Assumptions!$B$4*D141+(1-Assumptions!$B$4)*C141^2</x:f>
        <x:v>0.34961150490684584</x:v>
      </x:c>
      <x:c r="E142" s="34" t="n">
        <x:f>SQRT(D142)</x:f>
        <x:v>0.591279548865717</x:v>
      </x:c>
      <x:c r="F142" s="34" t="n">
        <x:f>-Assumptions!$B$7*E142</x:f>
        <x:v>0.9725683104940052</x:v>
      </x:c>
      <x:c r="G142" s="34" t="n">
        <x:f>-Assumptions!$B$8*E142</x:f>
        <x:v>1.3755219214675878</x:v>
      </x:c>
      <x:c r="H142" s="34" t="n">
        <x:f>-Assumptions!$B$9*E142</x:f>
        <x:v>0.9228985267675086</x:v>
      </x:c>
      <x:c r="I142" s="34" t="n">
        <x:f>-Assumptions!$B$10*E142</x:f>
        <x:v>1.5411486027613512</x:v>
      </x:c>
      <x:c r="J142" s="36" t="n">
        <x:f>IF(C142&lt;-F142,1,0)</x:f>
        <x:v>0</x:v>
      </x:c>
      <x:c r="K142" s="36" t="n">
        <x:f>IF(C142&lt;-G142,1,0)</x:f>
        <x:v>0</x:v>
      </x:c>
      <x:c r="L142" s="36" t="n">
        <x:f>IF(C142&lt;-H142,1,0)</x:f>
        <x:v>0</x:v>
      </x:c>
      <x:c r="M142" s="36" t="n">
        <x:f>IF(C142&lt;-I142,1,0)</x:f>
        <x:v>0</x:v>
      </x:c>
      <x:c r="N142" s="34" t="n">
        <x:f>-F142</x:f>
        <x:v>-0.9725683104940052</x:v>
      </x:c>
      <x:c r="O142" s="34" t="n">
        <x:f>-H142</x:f>
        <x:v>-0.9228985267675086</x:v>
      </x:c>
      <x:c r="P142" s="34" t="n">
        <x:f>-G142</x:f>
        <x:v>-1.3755219214675878</x:v>
      </x:c>
      <x:c r="Q142" s="34" t="n">
        <x:f>-I142</x:f>
        <x:v>-1.5411486027613512</x:v>
      </x:c>
      <x:c r="R142" s="36" t="n">
        <x:f>YEAR(A142)</x:f>
        <x:v>2021</x:v>
      </x:c>
    </x:row>
    <x:row r="143">
      <x:c r="A143" s="30" t="n">
        <x:v>44396</x:v>
      </x:c>
      <x:c r="B143" s="38" t="n">
        <x:v>4258.49</x:v>
      </x:c>
      <x:c r="C143" s="34" t="n">
        <x:f>(B143/B142-1)*100</x:f>
        <x:v>-1.5869531055010655</x:v>
      </x:c>
      <x:c r="D143" s="34" t="n">
        <x:f>Assumptions!$B$4*D142+(1-Assumptions!$B$4)*C142^2</x:f>
        <x:v>0.36273617492793064</x:v>
      </x:c>
      <x:c r="E143" s="34" t="n">
        <x:f>SQRT(D143)</x:f>
        <x:v>0.6022758296062782</x:v>
      </x:c>
      <x:c r="F143" s="34" t="n">
        <x:f>-Assumptions!$B$7*E143</x:f>
        <x:v>0.9906555827530941</x:v>
      </x:c>
      <x:c r="G143" s="34" t="n">
        <x:f>-Assumptions!$B$8*E143</x:f>
        <x:v>1.4011030957907487</x:v>
      </x:c>
      <x:c r="H143" s="34" t="n">
        <x:f>-Assumptions!$B$9*E143</x:f>
        <x:v>0.9400620686401376</x:v>
      </x:c>
      <x:c r="I143" s="34" t="n">
        <x:f>-Assumptions!$B$10*E143</x:f>
        <x:v>1.5698100078977164</x:v>
      </x:c>
      <x:c r="J143" s="36" t="n">
        <x:f>IF(C143&lt;-F143,1,0)</x:f>
        <x:v>1</x:v>
      </x:c>
      <x:c r="K143" s="36" t="n">
        <x:f>IF(C143&lt;-G143,1,0)</x:f>
        <x:v>1</x:v>
      </x:c>
      <x:c r="L143" s="36" t="n">
        <x:f>IF(C143&lt;-H143,1,0)</x:f>
        <x:v>1</x:v>
      </x:c>
      <x:c r="M143" s="36" t="n">
        <x:f>IF(C143&lt;-I143,1,0)</x:f>
        <x:v>1</x:v>
      </x:c>
      <x:c r="N143" s="34" t="n">
        <x:f>-F143</x:f>
        <x:v>-0.9906555827530941</x:v>
      </x:c>
      <x:c r="O143" s="34" t="n">
        <x:f>-H143</x:f>
        <x:v>-0.9400620686401376</x:v>
      </x:c>
      <x:c r="P143" s="34" t="n">
        <x:f>-G143</x:f>
        <x:v>-1.4011030957907487</x:v>
      </x:c>
      <x:c r="Q143" s="34" t="n">
        <x:f>-I143</x:f>
        <x:v>-1.5698100078977164</x:v>
      </x:c>
      <x:c r="R143" s="36" t="n">
        <x:f>YEAR(A143)</x:f>
        <x:v>2021</x:v>
      </x:c>
    </x:row>
    <x:row r="144">
      <x:c r="A144" s="30" t="n">
        <x:v>44397</x:v>
      </x:c>
      <x:c r="B144" s="38" t="n">
        <x:v>4323.06</x:v>
      </x:c>
      <x:c r="C144" s="34" t="n">
        <x:f>(B144/B143-1)*100</x:f>
        <x:v>1.516265155019747</x:v>
      </x:c>
      <x:c r="D144" s="34" t="n">
        <x:f>Assumptions!$B$4*D143+(1-Assumptions!$B$4)*C143^2</x:f>
        <x:v>0.4920772139758235</x:v>
      </x:c>
      <x:c r="E144" s="34" t="n">
        <x:f>SQRT(D144)</x:f>
        <x:v>0.7014821551371235</x:v>
      </x:c>
      <x:c r="F144" s="34" t="n">
        <x:f>-Assumptions!$B$7*E144</x:f>
        <x:v>1.1538354671190334</x:v>
      </x:c>
      <x:c r="G144" s="34" t="n">
        <x:f>-Assumptions!$B$8*E144</x:f>
        <x:v>1.6318915202808342</x:v>
      </x:c>
      <x:c r="H144" s="34" t="n">
        <x:f>-Assumptions!$B$9*E144</x:f>
        <x:v>1.094908235489768</x:v>
      </x:c>
      <x:c r="I144" s="34" t="n">
        <x:f>-Assumptions!$B$10*E144</x:f>
        <x:v>1.8283876811323994</x:v>
      </x:c>
      <x:c r="J144" s="36" t="n">
        <x:f>IF(C144&lt;-F144,1,0)</x:f>
        <x:v>0</x:v>
      </x:c>
      <x:c r="K144" s="36" t="n">
        <x:f>IF(C144&lt;-G144,1,0)</x:f>
        <x:v>0</x:v>
      </x:c>
      <x:c r="L144" s="36" t="n">
        <x:f>IF(C144&lt;-H144,1,0)</x:f>
        <x:v>0</x:v>
      </x:c>
      <x:c r="M144" s="36" t="n">
        <x:f>IF(C144&lt;-I144,1,0)</x:f>
        <x:v>0</x:v>
      </x:c>
      <x:c r="N144" s="34" t="n">
        <x:f>-F144</x:f>
        <x:v>-1.1538354671190334</x:v>
      </x:c>
      <x:c r="O144" s="34" t="n">
        <x:f>-H144</x:f>
        <x:v>-1.094908235489768</x:v>
      </x:c>
      <x:c r="P144" s="34" t="n">
        <x:f>-G144</x:f>
        <x:v>-1.6318915202808342</x:v>
      </x:c>
      <x:c r="Q144" s="34" t="n">
        <x:f>-I144</x:f>
        <x:v>-1.8283876811323994</x:v>
      </x:c>
      <x:c r="R144" s="36" t="n">
        <x:f>YEAR(A144)</x:f>
        <x:v>2021</x:v>
      </x:c>
    </x:row>
    <x:row r="145">
      <x:c r="A145" s="30" t="n">
        <x:v>44398</x:v>
      </x:c>
      <x:c r="B145" s="38" t="n">
        <x:v>4358.69</x:v>
      </x:c>
      <x:c r="C145" s="34" t="n">
        <x:f>(B145/B144-1)*100</x:f>
        <x:v>0.8241847210077813</x:v>
      </x:c>
      <x:c r="D145" s="34" t="n">
        <x:f>Assumptions!$B$4*D144+(1-Assumptions!$B$4)*C144^2</x:f>
        <x:v>0.6004961823568976</x:v>
      </x:c>
      <x:c r="E145" s="34" t="n">
        <x:f>SQRT(D145)</x:f>
        <x:v>0.7749168873865749</x:v>
      </x:c>
      <x:c r="F145" s="34" t="n">
        <x:f>-Assumptions!$B$7*E145</x:f>
        <x:v>1.2746248528037538</x:v>
      </x:c>
      <x:c r="G145" s="34" t="n">
        <x:f>-Assumptions!$B$8*E145</x:f>
        <x:v>1.8027262535301039</x:v>
      </x:c>
      <x:c r="H145" s="34" t="n">
        <x:f>-Assumptions!$B$9*E145</x:f>
        <x:v>1.2095288178126258</x:v>
      </x:c>
      <x:c r="I145" s="34" t="n">
        <x:f>-Assumptions!$B$10*E145</x:f>
        <x:v>2.01979263538374</x:v>
      </x:c>
      <x:c r="J145" s="36" t="n">
        <x:f>IF(C145&lt;-F145,1,0)</x:f>
        <x:v>0</x:v>
      </x:c>
      <x:c r="K145" s="36" t="n">
        <x:f>IF(C145&lt;-G145,1,0)</x:f>
        <x:v>0</x:v>
      </x:c>
      <x:c r="L145" s="36" t="n">
        <x:f>IF(C145&lt;-H145,1,0)</x:f>
        <x:v>0</x:v>
      </x:c>
      <x:c r="M145" s="36" t="n">
        <x:f>IF(C145&lt;-I145,1,0)</x:f>
        <x:v>0</x:v>
      </x:c>
      <x:c r="N145" s="34" t="n">
        <x:f>-F145</x:f>
        <x:v>-1.2746248528037538</x:v>
      </x:c>
      <x:c r="O145" s="34" t="n">
        <x:f>-H145</x:f>
        <x:v>-1.2095288178126258</x:v>
      </x:c>
      <x:c r="P145" s="34" t="n">
        <x:f>-G145</x:f>
        <x:v>-1.8027262535301039</x:v>
      </x:c>
      <x:c r="Q145" s="34" t="n">
        <x:f>-I145</x:f>
        <x:v>-2.01979263538374</x:v>
      </x:c>
      <x:c r="R145" s="36" t="n">
        <x:f>YEAR(A145)</x:f>
        <x:v>2021</x:v>
      </x:c>
    </x:row>
    <x:row r="146">
      <x:c r="A146" s="30" t="n">
        <x:v>44399</x:v>
      </x:c>
      <x:c r="B146" s="38" t="n">
        <x:v>4367.48</x:v>
      </x:c>
      <x:c r="C146" s="34" t="n">
        <x:f>(B146/B145-1)*100</x:f>
        <x:v>0.20166609692362503</x:v>
      </x:c>
      <x:c r="D146" s="34" t="n">
        <x:f>Assumptions!$B$4*D145+(1-Assumptions!$B$4)*C145^2</x:f>
        <x:v>0.6052232386760442</x:v>
      </x:c>
      <x:c r="E146" s="34" t="n">
        <x:f>SQRT(D146)</x:f>
        <x:v>0.7779609493258928</x:v>
      </x:c>
      <x:c r="F146" s="34" t="n">
        <x:f>-Assumptions!$B$7*E146</x:f>
        <x:v>1.2796318891253058</x:v>
      </x:c>
      <x:c r="G146" s="34" t="n">
        <x:f>-Assumptions!$B$8*E146</x:f>
        <x:v>1.8098078005510845</x:v>
      </x:c>
      <x:c r="H146" s="34" t="n">
        <x:f>-Assumptions!$B$9*E146</x:f>
        <x:v>1.2142801410819235</x:v>
      </x:c>
      <x:c r="I146" s="34" t="n">
        <x:f>-Assumptions!$B$10*E146</x:f>
        <x:v>2.027726871928025</x:v>
      </x:c>
      <x:c r="J146" s="36" t="n">
        <x:f>IF(C146&lt;-F146,1,0)</x:f>
        <x:v>0</x:v>
      </x:c>
      <x:c r="K146" s="36" t="n">
        <x:f>IF(C146&lt;-G146,1,0)</x:f>
        <x:v>0</x:v>
      </x:c>
      <x:c r="L146" s="36" t="n">
        <x:f>IF(C146&lt;-H146,1,0)</x:f>
        <x:v>0</x:v>
      </x:c>
      <x:c r="M146" s="36" t="n">
        <x:f>IF(C146&lt;-I146,1,0)</x:f>
        <x:v>0</x:v>
      </x:c>
      <x:c r="N146" s="34" t="n">
        <x:f>-F146</x:f>
        <x:v>-1.2796318891253058</x:v>
      </x:c>
      <x:c r="O146" s="34" t="n">
        <x:f>-H146</x:f>
        <x:v>-1.2142801410819235</x:v>
      </x:c>
      <x:c r="P146" s="34" t="n">
        <x:f>-G146</x:f>
        <x:v>-1.8098078005510845</x:v>
      </x:c>
      <x:c r="Q146" s="34" t="n">
        <x:f>-I146</x:f>
        <x:v>-2.027726871928025</x:v>
      </x:c>
      <x:c r="R146" s="36" t="n">
        <x:f>YEAR(A146)</x:f>
        <x:v>2021</x:v>
      </x:c>
    </x:row>
    <x:row r="147">
      <x:c r="A147" s="30" t="n">
        <x:v>44400</x:v>
      </x:c>
      <x:c r="B147" s="38" t="n">
        <x:v>4411.79</x:v>
      </x:c>
      <x:c r="C147" s="34" t="n">
        <x:f>(B147/B146-1)*100</x:f>
        <x:v>1.0145438559535647</x:v>
      </x:c>
      <x:c r="D147" s="34" t="n">
        <x:f>Assumptions!$B$4*D146+(1-Assumptions!$B$4)*C146^2</x:f>
        <x:v>0.5713499972343861</x:v>
      </x:c>
      <x:c r="E147" s="34" t="n">
        <x:f>SQRT(D147)</x:f>
        <x:v>0.7558769722874127</x:v>
      </x:c>
      <x:c r="F147" s="34" t="n">
        <x:f>-Assumptions!$B$7*E147</x:f>
        <x:v>1.2433069793960487</x:v>
      </x:c>
      <x:c r="G147" s="34" t="n">
        <x:f>-Assumptions!$B$8*E147</x:f>
        <x:v>1.7584327875172496</x:v>
      </x:c>
      <x:c r="H147" s="34" t="n">
        <x:f>-Assumptions!$B$9*E147</x:f>
        <x:v>1.1798103713882493</x:v>
      </x:c>
      <x:c r="I147" s="34" t="n">
        <x:f>-Assumptions!$B$10*E147</x:f>
        <x:v>1.9701657903354721</x:v>
      </x:c>
      <x:c r="J147" s="36" t="n">
        <x:f>IF(C147&lt;-F147,1,0)</x:f>
        <x:v>0</x:v>
      </x:c>
      <x:c r="K147" s="36" t="n">
        <x:f>IF(C147&lt;-G147,1,0)</x:f>
        <x:v>0</x:v>
      </x:c>
      <x:c r="L147" s="36" t="n">
        <x:f>IF(C147&lt;-H147,1,0)</x:f>
        <x:v>0</x:v>
      </x:c>
      <x:c r="M147" s="36" t="n">
        <x:f>IF(C147&lt;-I147,1,0)</x:f>
        <x:v>0</x:v>
      </x:c>
      <x:c r="N147" s="34" t="n">
        <x:f>-F147</x:f>
        <x:v>-1.2433069793960487</x:v>
      </x:c>
      <x:c r="O147" s="34" t="n">
        <x:f>-H147</x:f>
        <x:v>-1.1798103713882493</x:v>
      </x:c>
      <x:c r="P147" s="34" t="n">
        <x:f>-G147</x:f>
        <x:v>-1.7584327875172496</x:v>
      </x:c>
      <x:c r="Q147" s="34" t="n">
        <x:f>-I147</x:f>
        <x:v>-1.9701657903354721</x:v>
      </x:c>
      <x:c r="R147" s="36" t="n">
        <x:f>YEAR(A147)</x:f>
        <x:v>2021</x:v>
      </x:c>
    </x:row>
    <x:row r="148">
      <x:c r="A148" s="30" t="n">
        <x:v>44403</x:v>
      </x:c>
      <x:c r="B148" s="38" t="n">
        <x:v>4422.3</x:v>
      </x:c>
      <x:c r="C148" s="34" t="n">
        <x:f>(B148/B147-1)*100</x:f>
        <x:v>0.2382253008416102</x:v>
      </x:c>
      <x:c r="D148" s="34" t="n">
        <x:f>Assumptions!$B$4*D147+(1-Assumptions!$B$4)*C147^2</x:f>
        <x:v>0.5988269515395106</x:v>
      </x:c>
      <x:c r="E148" s="34" t="n">
        <x:f>SQRT(D148)</x:f>
        <x:v>0.7738390992574041</x:v>
      </x:c>
      <x:c r="F148" s="34" t="n">
        <x:f>-Assumptions!$B$7*E148</x:f>
        <x:v>1.272852049090402</x:v>
      </x:c>
      <x:c r="G148" s="34" t="n">
        <x:f>-Assumptions!$B$8*E148</x:f>
        <x:v>1.800218943407141</x:v>
      </x:c>
      <x:c r="H148" s="34" t="n">
        <x:f>-Assumptions!$B$9*E148</x:f>
        <x:v>1.2078465524975353</x:v>
      </x:c>
      <x:c r="I148" s="34" t="n">
        <x:f>-Assumptions!$B$10*E148</x:f>
        <x:v>2.0169834198907792</x:v>
      </x:c>
      <x:c r="J148" s="36" t="n">
        <x:f>IF(C148&lt;-F148,1,0)</x:f>
        <x:v>0</x:v>
      </x:c>
      <x:c r="K148" s="36" t="n">
        <x:f>IF(C148&lt;-G148,1,0)</x:f>
        <x:v>0</x:v>
      </x:c>
      <x:c r="L148" s="36" t="n">
        <x:f>IF(C148&lt;-H148,1,0)</x:f>
        <x:v>0</x:v>
      </x:c>
      <x:c r="M148" s="36" t="n">
        <x:f>IF(C148&lt;-I148,1,0)</x:f>
        <x:v>0</x:v>
      </x:c>
      <x:c r="N148" s="34" t="n">
        <x:f>-F148</x:f>
        <x:v>-1.272852049090402</x:v>
      </x:c>
      <x:c r="O148" s="34" t="n">
        <x:f>-H148</x:f>
        <x:v>-1.2078465524975353</x:v>
      </x:c>
      <x:c r="P148" s="34" t="n">
        <x:f>-G148</x:f>
        <x:v>-1.800218943407141</x:v>
      </x:c>
      <x:c r="Q148" s="34" t="n">
        <x:f>-I148</x:f>
        <x:v>-2.0169834198907792</x:v>
      </x:c>
      <x:c r="R148" s="36" t="n">
        <x:f>YEAR(A148)</x:f>
        <x:v>2021</x:v>
      </x:c>
    </x:row>
    <x:row r="149">
      <x:c r="A149" s="30" t="n">
        <x:v>44404</x:v>
      </x:c>
      <x:c r="B149" s="38" t="n">
        <x:v>4401.46</x:v>
      </x:c>
      <x:c r="C149" s="34" t="n">
        <x:f>(B149/B148-1)*100</x:f>
        <x:v>-0.47124799312575627</x:v>
      </x:c>
      <x:c r="D149" s="34" t="n">
        <x:f>Assumptions!$B$4*D148+(1-Assumptions!$B$4)*C148^2</x:f>
        <x:v>0.5663024120848045</x:v>
      </x:c>
      <x:c r="E149" s="34" t="n">
        <x:f>SQRT(D149)</x:f>
        <x:v>0.7525306718565061</x:v>
      </x:c>
      <x:c r="F149" s="34" t="n">
        <x:f>-Assumptions!$B$7*E149</x:f>
        <x:v>1.2378028049954028</x:v>
      </x:c>
      <x:c r="G149" s="34" t="n">
        <x:f>-Assumptions!$B$8*E149</x:f>
        <x:v>1.7506481286239082</x:v>
      </x:c>
      <x:c r="H149" s="34" t="n">
        <x:f>-Assumptions!$B$9*E149</x:f>
        <x:v>1.1745872992496482</x:v>
      </x:c>
      <x:c r="I149" s="34" t="n">
        <x:f>-Assumptions!$B$10*E149</x:f>
        <x:v>1.9614437801739426</x:v>
      </x:c>
      <x:c r="J149" s="36" t="n">
        <x:f>IF(C149&lt;-F149,1,0)</x:f>
        <x:v>0</x:v>
      </x:c>
      <x:c r="K149" s="36" t="n">
        <x:f>IF(C149&lt;-G149,1,0)</x:f>
        <x:v>0</x:v>
      </x:c>
      <x:c r="L149" s="36" t="n">
        <x:f>IF(C149&lt;-H149,1,0)</x:f>
        <x:v>0</x:v>
      </x:c>
      <x:c r="M149" s="36" t="n">
        <x:f>IF(C149&lt;-I149,1,0)</x:f>
        <x:v>0</x:v>
      </x:c>
      <x:c r="N149" s="34" t="n">
        <x:f>-F149</x:f>
        <x:v>-1.2378028049954028</x:v>
      </x:c>
      <x:c r="O149" s="34" t="n">
        <x:f>-H149</x:f>
        <x:v>-1.1745872992496482</x:v>
      </x:c>
      <x:c r="P149" s="34" t="n">
        <x:f>-G149</x:f>
        <x:v>-1.7506481286239082</x:v>
      </x:c>
      <x:c r="Q149" s="34" t="n">
        <x:f>-I149</x:f>
        <x:v>-1.9614437801739426</x:v>
      </x:c>
      <x:c r="R149" s="36" t="n">
        <x:f>YEAR(A149)</x:f>
        <x:v>2021</x:v>
      </x:c>
    </x:row>
    <x:row r="150">
      <x:c r="A150" s="30" t="n">
        <x:v>44405</x:v>
      </x:c>
      <x:c r="B150" s="38" t="n">
        <x:v>4400.64</x:v>
      </x:c>
      <x:c r="C150" s="34" t="n">
        <x:f>(B150/B149-1)*100</x:f>
        <x:v>-0.018630181803303003</x:v>
      </x:c>
      <x:c r="D150" s="34" t="n">
        <x:f>Assumptions!$B$4*D149+(1-Assumptions!$B$4)*C149^2</x:f>
        <x:v>0.5456487476212194</x:v>
      </x:c>
      <x:c r="E150" s="34" t="n">
        <x:f>SQRT(D150)</x:f>
        <x:v>0.7386804096638948</x:v>
      </x:c>
      <x:c r="F150" s="34" t="n">
        <x:f>-Assumptions!$B$7*E150</x:f>
        <x:v>1.2150211509936573</x:v>
      </x:c>
      <x:c r="G150" s="34" t="n">
        <x:f>-Assumptions!$B$8*E150</x:f>
        <x:v>1.7184276006172188</x:v>
      </x:c>
      <x:c r="H150" s="34" t="n">
        <x:f>-Assumptions!$B$9*E150</x:f>
        <x:v>1.1529691211857767</x:v>
      </x:c>
      <x:c r="I150" s="34" t="n">
        <x:f>-Assumptions!$B$10*E150</x:f>
        <x:v>1.9253435763583886</x:v>
      </x:c>
      <x:c r="J150" s="36" t="n">
        <x:f>IF(C150&lt;-F150,1,0)</x:f>
        <x:v>0</x:v>
      </x:c>
      <x:c r="K150" s="36" t="n">
        <x:f>IF(C150&lt;-G150,1,0)</x:f>
        <x:v>0</x:v>
      </x:c>
      <x:c r="L150" s="36" t="n">
        <x:f>IF(C150&lt;-H150,1,0)</x:f>
        <x:v>0</x:v>
      </x:c>
      <x:c r="M150" s="36" t="n">
        <x:f>IF(C150&lt;-I150,1,0)</x:f>
        <x:v>0</x:v>
      </x:c>
      <x:c r="N150" s="34" t="n">
        <x:f>-F150</x:f>
        <x:v>-1.2150211509936573</x:v>
      </x:c>
      <x:c r="O150" s="34" t="n">
        <x:f>-H150</x:f>
        <x:v>-1.1529691211857767</x:v>
      </x:c>
      <x:c r="P150" s="34" t="n">
        <x:f>-G150</x:f>
        <x:v>-1.7184276006172188</x:v>
      </x:c>
      <x:c r="Q150" s="34" t="n">
        <x:f>-I150</x:f>
        <x:v>-1.9253435763583886</x:v>
      </x:c>
      <x:c r="R150" s="36" t="n">
        <x:f>YEAR(A150)</x:f>
        <x:v>2021</x:v>
      </x:c>
    </x:row>
    <x:row r="151">
      <x:c r="A151" s="30" t="n">
        <x:v>44406</x:v>
      </x:c>
      <x:c r="B151" s="38" t="n">
        <x:v>4419.15</x:v>
      </x:c>
      <x:c r="C151" s="34" t="n">
        <x:f>(B151/B150-1)*100</x:f>
        <x:v>0.4206206369982368</x:v>
      </x:c>
      <x:c r="D151" s="34" t="n">
        <x:f>Assumptions!$B$4*D150+(1-Assumptions!$B$4)*C150^2</x:f>
        <x:v>0.5129306477843877</x:v>
      </x:c>
      <x:c r="E151" s="34" t="n">
        <x:f>SQRT(D151)</x:f>
        <x:v>0.7161917674648234</x:v>
      </x:c>
      <x:c r="F151" s="34" t="n">
        <x:f>-Assumptions!$B$7*E151</x:f>
        <x:v>1.1780306263073006</x:v>
      </x:c>
      <x:c r="G151" s="34" t="n">
        <x:f>-Assumptions!$B$8*E151</x:f>
        <x:v>1.6661111956473438</x:v>
      </x:c>
      <x:c r="H151" s="34" t="n">
        <x:f>-Assumptions!$B$9*E151</x:f>
        <x:v>1.1178677299836972</x:v>
      </x:c>
      <x:c r="I151" s="34" t="n">
        <x:f>-Assumptions!$B$10*E151</x:f>
        <x:v>1.8667277497674202</x:v>
      </x:c>
      <x:c r="J151" s="36" t="n">
        <x:f>IF(C151&lt;-F151,1,0)</x:f>
        <x:v>0</x:v>
      </x:c>
      <x:c r="K151" s="36" t="n">
        <x:f>IF(C151&lt;-G151,1,0)</x:f>
        <x:v>0</x:v>
      </x:c>
      <x:c r="L151" s="36" t="n">
        <x:f>IF(C151&lt;-H151,1,0)</x:f>
        <x:v>0</x:v>
      </x:c>
      <x:c r="M151" s="36" t="n">
        <x:f>IF(C151&lt;-I151,1,0)</x:f>
        <x:v>0</x:v>
      </x:c>
      <x:c r="N151" s="34" t="n">
        <x:f>-F151</x:f>
        <x:v>-1.1780306263073006</x:v>
      </x:c>
      <x:c r="O151" s="34" t="n">
        <x:f>-H151</x:f>
        <x:v>-1.1178677299836972</x:v>
      </x:c>
      <x:c r="P151" s="34" t="n">
        <x:f>-G151</x:f>
        <x:v>-1.6661111956473438</x:v>
      </x:c>
      <x:c r="Q151" s="34" t="n">
        <x:f>-I151</x:f>
        <x:v>-1.8667277497674202</x:v>
      </x:c>
      <x:c r="R151" s="36" t="n">
        <x:f>YEAR(A151)</x:f>
        <x:v>2021</x:v>
      </x:c>
    </x:row>
    <x:row r="152">
      <x:c r="A152" s="30" t="n">
        <x:v>44407</x:v>
      </x:c>
      <x:c r="B152" s="38" t="n">
        <x:v>4395.26</x:v>
      </x:c>
      <x:c r="C152" s="34" t="n">
        <x:f>(B152/B151-1)*100</x:f>
        <x:v>-0.5406016994218166</x:v>
      </x:c>
      <x:c r="D152" s="34" t="n">
        <x:f>Assumptions!$B$4*D151+(1-Assumptions!$B$4)*C151^2</x:f>
        <x:v>0.4927701121334525</x:v>
      </x:c>
      <x:c r="E152" s="34" t="n">
        <x:f>SQRT(D152)</x:f>
        <x:v>0.7019758629279589</x:v>
      </x:c>
      <x:c r="F152" s="34" t="n">
        <x:f>-Assumptions!$B$7*E152</x:f>
        <x:v>1.154647544169443</x:v>
      </x:c>
      <x:c r="G152" s="34" t="n">
        <x:f>-Assumptions!$B$8*E152</x:f>
        <x:v>1.6330400563504415</x:v>
      </x:c>
      <x:c r="H152" s="34" t="n">
        <x:f>-Assumptions!$B$9*E152</x:f>
        <x:v>1.0956788391639347</x:v>
      </x:c>
      <x:c r="I152" s="34" t="n">
        <x:f>-Assumptions!$B$10*E152</x:f>
        <x:v>1.8296745125025657</x:v>
      </x:c>
      <x:c r="J152" s="36" t="n">
        <x:f>IF(C152&lt;-F152,1,0)</x:f>
        <x:v>0</x:v>
      </x:c>
      <x:c r="K152" s="36" t="n">
        <x:f>IF(C152&lt;-G152,1,0)</x:f>
        <x:v>0</x:v>
      </x:c>
      <x:c r="L152" s="36" t="n">
        <x:f>IF(C152&lt;-H152,1,0)</x:f>
        <x:v>0</x:v>
      </x:c>
      <x:c r="M152" s="36" t="n">
        <x:f>IF(C152&lt;-I152,1,0)</x:f>
        <x:v>0</x:v>
      </x:c>
      <x:c r="N152" s="34" t="n">
        <x:f>-F152</x:f>
        <x:v>-1.154647544169443</x:v>
      </x:c>
      <x:c r="O152" s="34" t="n">
        <x:f>-H152</x:f>
        <x:v>-1.0956788391639347</x:v>
      </x:c>
      <x:c r="P152" s="34" t="n">
        <x:f>-G152</x:f>
        <x:v>-1.6330400563504415</x:v>
      </x:c>
      <x:c r="Q152" s="34" t="n">
        <x:f>-I152</x:f>
        <x:v>-1.8296745125025657</x:v>
      </x:c>
      <x:c r="R152" s="36" t="n">
        <x:f>YEAR(A152)</x:f>
        <x:v>2021</x:v>
      </x:c>
    </x:row>
    <x:row r="153">
      <x:c r="A153" s="30" t="n">
        <x:v>44410</x:v>
      </x:c>
      <x:c r="B153" s="38" t="n">
        <x:v>4387.16</x:v>
      </x:c>
      <x:c r="C153" s="34" t="n">
        <x:f>(B153/B152-1)*100</x:f>
        <x:v>-0.18428943907755624</x:v>
      </x:c>
      <x:c r="D153" s="34" t="n">
        <x:f>Assumptions!$B$4*D152+(1-Assumptions!$B$4)*C152^2</x:f>
        <x:v>0.4807389172505107</x:v>
      </x:c>
      <x:c r="E153" s="34" t="n">
        <x:f>SQRT(D153)</x:f>
        <x:v>0.6933533855477384</x:v>
      </x:c>
      <x:c r="F153" s="34" t="n">
        <x:f>-Assumptions!$B$7*E153</x:f>
        <x:v>1.1404648309772805</x:v>
      </x:c>
      <x:c r="G153" s="34" t="n">
        <x:f>-Assumptions!$B$8*E153</x:f>
        <x:v>1.6129811744280003</x:v>
      </x:c>
      <x:c r="H153" s="34" t="n">
        <x:f>-Assumptions!$B$9*E153</x:f>
        <x:v>1.0822204476356683</x:v>
      </x:c>
      <x:c r="I153" s="34" t="n">
        <x:f>-Assumptions!$B$10*E153</x:f>
        <x:v>1.8072003393430844</x:v>
      </x:c>
      <x:c r="J153" s="36" t="n">
        <x:f>IF(C153&lt;-F153,1,0)</x:f>
        <x:v>0</x:v>
      </x:c>
      <x:c r="K153" s="36" t="n">
        <x:f>IF(C153&lt;-G153,1,0)</x:f>
        <x:v>0</x:v>
      </x:c>
      <x:c r="L153" s="36" t="n">
        <x:f>IF(C153&lt;-H153,1,0)</x:f>
        <x:v>0</x:v>
      </x:c>
      <x:c r="M153" s="36" t="n">
        <x:f>IF(C153&lt;-I153,1,0)</x:f>
        <x:v>0</x:v>
      </x:c>
      <x:c r="N153" s="34" t="n">
        <x:f>-F153</x:f>
        <x:v>-1.1404648309772805</x:v>
      </x:c>
      <x:c r="O153" s="34" t="n">
        <x:f>-H153</x:f>
        <x:v>-1.0822204476356683</x:v>
      </x:c>
      <x:c r="P153" s="34" t="n">
        <x:f>-G153</x:f>
        <x:v>-1.6129811744280003</x:v>
      </x:c>
      <x:c r="Q153" s="34" t="n">
        <x:f>-I153</x:f>
        <x:v>-1.8072003393430844</x:v>
      </x:c>
      <x:c r="R153" s="36" t="n">
        <x:f>YEAR(A153)</x:f>
        <x:v>2021</x:v>
      </x:c>
    </x:row>
    <x:row r="154">
      <x:c r="A154" s="30" t="n">
        <x:v>44411</x:v>
      </x:c>
      <x:c r="B154" s="38" t="n">
        <x:v>4423.15</x:v>
      </x:c>
      <x:c r="C154" s="34" t="n">
        <x:f>(B154/B153-1)*100</x:f>
        <x:v>0.8203484714484954</x:v>
      </x:c>
      <x:c r="D154" s="34" t="n">
        <x:f>Assumptions!$B$4*D153+(1-Assumptions!$B$4)*C153^2</x:f>
        <x:v>0.45393233805681127</x:v>
      </x:c>
      <x:c r="E154" s="34" t="n">
        <x:f>SQRT(D154)</x:f>
        <x:v>0.6737450096711747</x:v>
      </x:c>
      <x:c r="F154" s="34" t="n">
        <x:f>-Assumptions!$B$7*E154</x:f>
        <x:v>1.108211922798087</x:v>
      </x:c>
      <x:c r="G154" s="34" t="n">
        <x:f>-Assumptions!$B$8*E154</x:f>
        <x:v>1.5673652708941626</x:v>
      </x:c>
      <x:c r="H154" s="34" t="n">
        <x:f>-Assumptions!$B$9*E154</x:f>
        <x:v>1.0516147193579022</x:v>
      </x:c>
      <x:c r="I154" s="34" t="n">
        <x:f>-Assumptions!$B$10*E154</x:f>
        <x:v>1.7560918219885486</x:v>
      </x:c>
      <x:c r="J154" s="36" t="n">
        <x:f>IF(C154&lt;-F154,1,0)</x:f>
        <x:v>0</x:v>
      </x:c>
      <x:c r="K154" s="36" t="n">
        <x:f>IF(C154&lt;-G154,1,0)</x:f>
        <x:v>0</x:v>
      </x:c>
      <x:c r="L154" s="36" t="n">
        <x:f>IF(C154&lt;-H154,1,0)</x:f>
        <x:v>0</x:v>
      </x:c>
      <x:c r="M154" s="36" t="n">
        <x:f>IF(C154&lt;-I154,1,0)</x:f>
        <x:v>0</x:v>
      </x:c>
      <x:c r="N154" s="34" t="n">
        <x:f>-F154</x:f>
        <x:v>-1.108211922798087</x:v>
      </x:c>
      <x:c r="O154" s="34" t="n">
        <x:f>-H154</x:f>
        <x:v>-1.0516147193579022</x:v>
      </x:c>
      <x:c r="P154" s="34" t="n">
        <x:f>-G154</x:f>
        <x:v>-1.5673652708941626</x:v>
      </x:c>
      <x:c r="Q154" s="34" t="n">
        <x:f>-I154</x:f>
        <x:v>-1.7560918219885486</x:v>
      </x:c>
      <x:c r="R154" s="36" t="n">
        <x:f>YEAR(A154)</x:f>
        <x:v>2021</x:v>
      </x:c>
    </x:row>
    <x:row r="155">
      <x:c r="A155" s="30" t="n">
        <x:v>44412</x:v>
      </x:c>
      <x:c r="B155" s="38" t="n">
        <x:v>4402.66</x:v>
      </x:c>
      <x:c r="C155" s="34" t="n">
        <x:f>(B155/B154-1)*100</x:f>
        <x:v>-0.46324452030791496</x:v>
      </x:c>
      <x:c r="D155" s="34" t="n">
        <x:f>Assumptions!$B$4*D154+(1-Assumptions!$B$4)*C154^2</x:f>
        <x:v>0.4670746946498756</x:v>
      </x:c>
      <x:c r="E155" s="34" t="n">
        <x:f>SQRT(D155)</x:f>
        <x:v>0.6834286317164914</x:v>
      </x:c>
      <x:c r="F155" s="34" t="n">
        <x:f>-Assumptions!$B$7*E155</x:f>
        <x:v>1.1241400636413532</x:v>
      </x:c>
      <x:c r="G155" s="34" t="n">
        <x:f>-Assumptions!$B$8*E155</x:f>
        <x:v>1.5898927444523</x:v>
      </x:c>
      <x:c r="H155" s="34" t="n">
        <x:f>-Assumptions!$B$9*E155</x:f>
        <x:v>1.06672939825478</x:v>
      </x:c>
      <x:c r="I155" s="34" t="n">
        <x:f>-Assumptions!$B$10*E155</x:f>
        <x:v>1.781331830058231</x:v>
      </x:c>
      <x:c r="J155" s="36" t="n">
        <x:f>IF(C155&lt;-F155,1,0)</x:f>
        <x:v>0</x:v>
      </x:c>
      <x:c r="K155" s="36" t="n">
        <x:f>IF(C155&lt;-G155,1,0)</x:f>
        <x:v>0</x:v>
      </x:c>
      <x:c r="L155" s="36" t="n">
        <x:f>IF(C155&lt;-H155,1,0)</x:f>
        <x:v>0</x:v>
      </x:c>
      <x:c r="M155" s="36" t="n">
        <x:f>IF(C155&lt;-I155,1,0)</x:f>
        <x:v>0</x:v>
      </x:c>
      <x:c r="N155" s="34" t="n">
        <x:f>-F155</x:f>
        <x:v>-1.1241400636413532</x:v>
      </x:c>
      <x:c r="O155" s="34" t="n">
        <x:f>-H155</x:f>
        <x:v>-1.06672939825478</x:v>
      </x:c>
      <x:c r="P155" s="34" t="n">
        <x:f>-G155</x:f>
        <x:v>-1.5898927444523</x:v>
      </x:c>
      <x:c r="Q155" s="34" t="n">
        <x:f>-I155</x:f>
        <x:v>-1.781331830058231</x:v>
      </x:c>
      <x:c r="R155" s="36" t="n">
        <x:f>YEAR(A155)</x:f>
        <x:v>2021</x:v>
      </x:c>
    </x:row>
    <x:row r="156">
      <x:c r="A156" s="30" t="n">
        <x:v>44413</x:v>
      </x:c>
      <x:c r="B156" s="38" t="n">
        <x:v>4429.1</x:v>
      </x:c>
      <x:c r="C156" s="34" t="n">
        <x:f>(B156/B155-1)*100</x:f>
        <x:v>0.6005460335342772</x:v>
      </x:c>
      <x:c r="D156" s="34" t="n">
        <x:f>Assumptions!$B$4*D155+(1-Assumptions!$B$4)*C155^2</x:f>
        <x:v>0.45192594210660164</x:v>
      </x:c>
      <x:c r="E156" s="34" t="n">
        <x:f>SQRT(D156)</x:f>
        <x:v>0.6722543730661792</x:v>
      </x:c>
      <x:c r="F156" s="34" t="n">
        <x:f>-Assumptions!$B$7*E156</x:f>
        <x:v>1.1057600437718933</x:v>
      </x:c>
      <x:c r="G156" s="34" t="n">
        <x:f>-Assumptions!$B$8*E156</x:f>
        <x:v>1.563897531597164</x:v>
      </x:c>
      <x:c r="H156" s="34" t="n">
        <x:f>-Assumptions!$B$9*E156</x:f>
        <x:v>1.049288059608998</x:v>
      </x:c>
      <x:c r="I156" s="34" t="n">
        <x:f>-Assumptions!$B$10*E156</x:f>
        <x:v>1.7522065319841493</x:v>
      </x:c>
      <x:c r="J156" s="36" t="n">
        <x:f>IF(C156&lt;-F156,1,0)</x:f>
        <x:v>0</x:v>
      </x:c>
      <x:c r="K156" s="36" t="n">
        <x:f>IF(C156&lt;-G156,1,0)</x:f>
        <x:v>0</x:v>
      </x:c>
      <x:c r="L156" s="36" t="n">
        <x:f>IF(C156&lt;-H156,1,0)</x:f>
        <x:v>0</x:v>
      </x:c>
      <x:c r="M156" s="36" t="n">
        <x:f>IF(C156&lt;-I156,1,0)</x:f>
        <x:v>0</x:v>
      </x:c>
      <x:c r="N156" s="34" t="n">
        <x:f>-F156</x:f>
        <x:v>-1.1057600437718933</x:v>
      </x:c>
      <x:c r="O156" s="34" t="n">
        <x:f>-H156</x:f>
        <x:v>-1.049288059608998</x:v>
      </x:c>
      <x:c r="P156" s="34" t="n">
        <x:f>-G156</x:f>
        <x:v>-1.563897531597164</x:v>
      </x:c>
      <x:c r="Q156" s="34" t="n">
        <x:f>-I156</x:f>
        <x:v>-1.7522065319841493</x:v>
      </x:c>
      <x:c r="R156" s="36" t="n">
        <x:f>YEAR(A156)</x:f>
        <x:v>2021</x:v>
      </x:c>
    </x:row>
    <x:row r="157">
      <x:c r="A157" s="30" t="n">
        <x:v>44414</x:v>
      </x:c>
      <x:c r="B157" s="38" t="n">
        <x:v>4436.52</x:v>
      </x:c>
      <x:c r="C157" s="34" t="n">
        <x:f>(B157/B156-1)*100</x:f>
        <x:v>0.16752839177258672</x:v>
      </x:c>
      <x:c r="D157" s="34" t="n">
        <x:f>Assumptions!$B$4*D156+(1-Assumptions!$B$4)*C156^2</x:f>
        <x:v>0.4464497178838307</x:v>
      </x:c>
      <x:c r="E157" s="34" t="n">
        <x:f>SQRT(D157)</x:f>
        <x:v>0.6681689291517757</x:v>
      </x:c>
      <x:c r="F157" s="34" t="n">
        <x:f>-Assumptions!$B$7*E157</x:f>
        <x:v>1.09904008653158</x:v>
      </x:c>
      <x:c r="G157" s="34" t="n">
        <x:f>-Assumptions!$B$8*E157</x:f>
        <x:v>1.5543933678323782</x:v>
      </x:c>
      <x:c r="H157" s="34" t="n">
        <x:f>-Assumptions!$B$9*E157</x:f>
        <x:v>1.042911295560542</x:v>
      </x:c>
      <x:c r="I157" s="34" t="n">
        <x:f>-Assumptions!$B$10*E157</x:f>
        <x:v>1.7415579712611862</x:v>
      </x:c>
      <x:c r="J157" s="36" t="n">
        <x:f>IF(C157&lt;-F157,1,0)</x:f>
        <x:v>0</x:v>
      </x:c>
      <x:c r="K157" s="36" t="n">
        <x:f>IF(C157&lt;-G157,1,0)</x:f>
        <x:v>0</x:v>
      </x:c>
      <x:c r="L157" s="36" t="n">
        <x:f>IF(C157&lt;-H157,1,0)</x:f>
        <x:v>0</x:v>
      </x:c>
      <x:c r="M157" s="36" t="n">
        <x:f>IF(C157&lt;-I157,1,0)</x:f>
        <x:v>0</x:v>
      </x:c>
      <x:c r="N157" s="34" t="n">
        <x:f>-F157</x:f>
        <x:v>-1.09904008653158</x:v>
      </x:c>
      <x:c r="O157" s="34" t="n">
        <x:f>-H157</x:f>
        <x:v>-1.042911295560542</x:v>
      </x:c>
      <x:c r="P157" s="34" t="n">
        <x:f>-G157</x:f>
        <x:v>-1.5543933678323782</x:v>
      </x:c>
      <x:c r="Q157" s="34" t="n">
        <x:f>-I157</x:f>
        <x:v>-1.7415579712611862</x:v>
      </x:c>
      <x:c r="R157" s="36" t="n">
        <x:f>YEAR(A157)</x:f>
        <x:v>2021</x:v>
      </x:c>
    </x:row>
    <x:row r="158">
      <x:c r="A158" s="30" t="n">
        <x:v>44417</x:v>
      </x:c>
      <x:c r="B158" s="38" t="n">
        <x:v>4432.35</x:v>
      </x:c>
      <x:c r="C158" s="34" t="n">
        <x:f>(B158/B157-1)*100</x:f>
        <x:v>-0.0939925887858073</x:v>
      </x:c>
      <x:c r="D158" s="34" t="n">
        <x:f>Assumptions!$B$4*D157+(1-Assumptions!$B$4)*C157^2</x:f>
        <x:v>0.4213466805337954</x:v>
      </x:c>
      <x:c r="E158" s="34" t="n">
        <x:f>SQRT(D158)</x:f>
        <x:v>0.6491122249147642</x:v>
      </x:c>
      <x:c r="F158" s="34" t="n">
        <x:f>-Assumptions!$B$7*E158</x:f>
        <x:v>1.06769459744959</x:v>
      </x:c>
      <x:c r="G158" s="34" t="n">
        <x:f>-Assumptions!$B$8*E158</x:f>
        <x:v>1.5100608444443815</x:v>
      </x:c>
      <x:c r="H158" s="34" t="n">
        <x:f>-Assumptions!$B$9*E158</x:f>
        <x:v>1.0131666438148137</x:v>
      </x:c>
      <x:c r="I158" s="34" t="n">
        <x:f>-Assumptions!$B$10*E158</x:f>
        <x:v>1.6918873659367721</x:v>
      </x:c>
      <x:c r="J158" s="36" t="n">
        <x:f>IF(C158&lt;-F158,1,0)</x:f>
        <x:v>0</x:v>
      </x:c>
      <x:c r="K158" s="36" t="n">
        <x:f>IF(C158&lt;-G158,1,0)</x:f>
        <x:v>0</x:v>
      </x:c>
      <x:c r="L158" s="36" t="n">
        <x:f>IF(C158&lt;-H158,1,0)</x:f>
        <x:v>0</x:v>
      </x:c>
      <x:c r="M158" s="36" t="n">
        <x:f>IF(C158&lt;-I158,1,0)</x:f>
        <x:v>0</x:v>
      </x:c>
      <x:c r="N158" s="34" t="n">
        <x:f>-F158</x:f>
        <x:v>-1.06769459744959</x:v>
      </x:c>
      <x:c r="O158" s="34" t="n">
        <x:f>-H158</x:f>
        <x:v>-1.0131666438148137</x:v>
      </x:c>
      <x:c r="P158" s="34" t="n">
        <x:f>-G158</x:f>
        <x:v>-1.5100608444443815</x:v>
      </x:c>
      <x:c r="Q158" s="34" t="n">
        <x:f>-I158</x:f>
        <x:v>-1.6918873659367721</x:v>
      </x:c>
      <x:c r="R158" s="36" t="n">
        <x:f>YEAR(A158)</x:f>
        <x:v>2021</x:v>
      </x:c>
    </x:row>
    <x:row r="159">
      <x:c r="A159" s="30" t="n">
        <x:v>44418</x:v>
      </x:c>
      <x:c r="B159" s="38" t="n">
        <x:v>4436.75</x:v>
      </x:c>
      <x:c r="C159" s="34" t="n">
        <x:f>(B159/B158-1)*100</x:f>
        <x:v>0.0992701388653705</x:v>
      </x:c>
      <x:c r="D159" s="34" t="n">
        <x:f>Assumptions!$B$4*D158+(1-Assumptions!$B$4)*C158^2</x:f>
        <x:v>0.3965959561065671</x:v>
      </x:c>
      <x:c r="E159" s="34" t="n">
        <x:f>SQRT(D159)</x:f>
        <x:v>0.6297586490923067</x:v>
      </x:c>
      <x:c r="F159" s="34" t="n">
        <x:f>-Assumptions!$B$7*E159</x:f>
        <x:v>1.0358607980635406</x:v>
      </x:c>
      <x:c r="G159" s="34" t="n">
        <x:f>-Assumptions!$B$8*E159</x:f>
        <x:v>1.4650376944747192</x:v>
      </x:c>
      <x:c r="H159" s="34" t="n">
        <x:f>-Assumptions!$B$9*E159</x:f>
        <x:v>0.9829586201338091</x:v>
      </x:c>
      <x:c r="I159" s="34" t="n">
        <x:f>-Assumptions!$B$10*E159</x:f>
        <x:v>1.641442975640449</x:v>
      </x:c>
      <x:c r="J159" s="36" t="n">
        <x:f>IF(C159&lt;-F159,1,0)</x:f>
        <x:v>0</x:v>
      </x:c>
      <x:c r="K159" s="36" t="n">
        <x:f>IF(C159&lt;-G159,1,0)</x:f>
        <x:v>0</x:v>
      </x:c>
      <x:c r="L159" s="36" t="n">
        <x:f>IF(C159&lt;-H159,1,0)</x:f>
        <x:v>0</x:v>
      </x:c>
      <x:c r="M159" s="36" t="n">
        <x:f>IF(C159&lt;-I159,1,0)</x:f>
        <x:v>0</x:v>
      </x:c>
      <x:c r="N159" s="34" t="n">
        <x:f>-F159</x:f>
        <x:v>-1.0358607980635406</x:v>
      </x:c>
      <x:c r="O159" s="34" t="n">
        <x:f>-H159</x:f>
        <x:v>-0.9829586201338091</x:v>
      </x:c>
      <x:c r="P159" s="34" t="n">
        <x:f>-G159</x:f>
        <x:v>-1.4650376944747192</x:v>
      </x:c>
      <x:c r="Q159" s="34" t="n">
        <x:f>-I159</x:f>
        <x:v>-1.641442975640449</x:v>
      </x:c>
      <x:c r="R159" s="36" t="n">
        <x:f>YEAR(A159)</x:f>
        <x:v>2021</x:v>
      </x:c>
    </x:row>
    <x:row r="160">
      <x:c r="A160" s="30" t="n">
        <x:v>44419</x:v>
      </x:c>
      <x:c r="B160" s="38" t="n">
        <x:v>4447.7</x:v>
      </x:c>
      <x:c r="C160" s="34" t="n">
        <x:f>(B160/B159-1)*100</x:f>
        <x:v>0.24680227644109376</x:v>
      </x:c>
      <x:c r="D160" s="34" t="n">
        <x:f>Assumptions!$B$4*D159+(1-Assumptions!$B$4)*C159^2</x:f>
        <x:v>0.37339147236839404</x:v>
      </x:c>
      <x:c r="E160" s="34" t="n">
        <x:f>SQRT(D160)</x:f>
        <x:v>0.6110576669745614</x:v>
      </x:c>
      <x:c r="F160" s="34" t="n">
        <x:f>-Assumptions!$B$7*E160</x:f>
        <x:v>1.0051004197996125</x:v>
      </x:c>
      <x:c r="G160" s="34" t="n">
        <x:f>-Assumptions!$B$8*E160</x:f>
        <x:v>1.4215327044826267</x:v>
      </x:c>
      <x:c r="H160" s="34" t="n">
        <x:f>-Assumptions!$B$9*E160</x:f>
        <x:v>0.9537691971634362</x:v>
      </x:c>
      <x:c r="I160" s="34" t="n">
        <x:f>-Assumptions!$B$10*E160</x:f>
        <x:v>1.5926995470603178</x:v>
      </x:c>
      <x:c r="J160" s="36" t="n">
        <x:f>IF(C160&lt;-F160,1,0)</x:f>
        <x:v>0</x:v>
      </x:c>
      <x:c r="K160" s="36" t="n">
        <x:f>IF(C160&lt;-G160,1,0)</x:f>
        <x:v>0</x:v>
      </x:c>
      <x:c r="L160" s="36" t="n">
        <x:f>IF(C160&lt;-H160,1,0)</x:f>
        <x:v>0</x:v>
      </x:c>
      <x:c r="M160" s="36" t="n">
        <x:f>IF(C160&lt;-I160,1,0)</x:f>
        <x:v>0</x:v>
      </x:c>
      <x:c r="N160" s="34" t="n">
        <x:f>-F160</x:f>
        <x:v>-1.0051004197996125</x:v>
      </x:c>
      <x:c r="O160" s="34" t="n">
        <x:f>-H160</x:f>
        <x:v>-0.9537691971634362</x:v>
      </x:c>
      <x:c r="P160" s="34" t="n">
        <x:f>-G160</x:f>
        <x:v>-1.4215327044826267</x:v>
      </x:c>
      <x:c r="Q160" s="34" t="n">
        <x:f>-I160</x:f>
        <x:v>-1.5926995470603178</x:v>
      </x:c>
      <x:c r="R160" s="36" t="n">
        <x:f>YEAR(A160)</x:f>
        <x:v>2021</x:v>
      </x:c>
    </x:row>
    <x:row r="161">
      <x:c r="A161" s="30" t="n">
        <x:v>44420</x:v>
      </x:c>
      <x:c r="B161" s="38" t="n">
        <x:v>4460.83</x:v>
      </x:c>
      <x:c r="C161" s="34" t="n">
        <x:f>(B161/B160-1)*100</x:f>
        <x:v>0.2952087595835984</x:v>
      </x:c>
      <x:c r="D161" s="34" t="n">
        <x:f>Assumptions!$B$4*D160+(1-Assumptions!$B$4)*C160^2</x:f>
        <x:v>0.35464266584568077</x:v>
      </x:c>
      <x:c r="E161" s="34" t="n">
        <x:f>SQRT(D161)</x:f>
        <x:v>0.5955188207317051</x:v>
      </x:c>
      <x:c r="F161" s="34" t="n">
        <x:f>-Assumptions!$B$7*E161</x:f>
        <x:v>0.9795412921984091</x:v>
      </x:c>
      <x:c r="G161" s="34" t="n">
        <x:f>-Assumptions!$B$8*E161</x:f>
        <x:v>1.3853839425605106</x:v>
      </x:c>
      <x:c r="H161" s="34" t="n">
        <x:f>-Assumptions!$B$9*E161</x:f>
        <x:v>0.9295153931333296</x:v>
      </x:c>
      <x:c r="I161" s="34" t="n">
        <x:f>-Assumptions!$B$10*E161</x:f>
        <x:v>1.5521981104358962</x:v>
      </x:c>
      <x:c r="J161" s="36" t="n">
        <x:f>IF(C161&lt;-F161,1,0)</x:f>
        <x:v>0</x:v>
      </x:c>
      <x:c r="K161" s="36" t="n">
        <x:f>IF(C161&lt;-G161,1,0)</x:f>
        <x:v>0</x:v>
      </x:c>
      <x:c r="L161" s="36" t="n">
        <x:f>IF(C161&lt;-H161,1,0)</x:f>
        <x:v>0</x:v>
      </x:c>
      <x:c r="M161" s="36" t="n">
        <x:f>IF(C161&lt;-I161,1,0)</x:f>
        <x:v>0</x:v>
      </x:c>
      <x:c r="N161" s="34" t="n">
        <x:f>-F161</x:f>
        <x:v>-0.9795412921984091</x:v>
      </x:c>
      <x:c r="O161" s="34" t="n">
        <x:f>-H161</x:f>
        <x:v>-0.9295153931333296</x:v>
      </x:c>
      <x:c r="P161" s="34" t="n">
        <x:f>-G161</x:f>
        <x:v>-1.3853839425605106</x:v>
      </x:c>
      <x:c r="Q161" s="34" t="n">
        <x:f>-I161</x:f>
        <x:v>-1.5521981104358962</x:v>
      </x:c>
      <x:c r="R161" s="36" t="n">
        <x:f>YEAR(A161)</x:f>
        <x:v>2021</x:v>
      </x:c>
    </x:row>
    <x:row r="162">
      <x:c r="A162" s="30" t="n">
        <x:v>44421</x:v>
      </x:c>
      <x:c r="B162" s="38" t="n">
        <x:v>4468</x:v>
      </x:c>
      <x:c r="C162" s="34" t="n">
        <x:f>(B162/B161-1)*100</x:f>
        <x:v>0.1607324197514748</x:v>
      </x:c>
      <x:c r="D162" s="34" t="n">
        <x:f>Assumptions!$B$4*D161+(1-Assumptions!$B$4)*C161^2</x:f>
        <x:v>0.33859299859903313</x:v>
      </x:c>
      <x:c r="E162" s="34" t="n">
        <x:f>SQRT(D162)</x:f>
        <x:v>0.5818874449573844</x:v>
      </x:c>
      <x:c r="F162" s="34" t="n">
        <x:f>-Assumptions!$B$7*E162</x:f>
        <x:v>0.9571196743156793</x:v>
      </x:c>
      <x:c r="G162" s="34" t="n">
        <x:f>-Assumptions!$B$8*E162</x:f>
        <x:v>1.3536726205076677</x:v>
      </x:c>
      <x:c r="H162" s="34" t="n">
        <x:f>-Assumptions!$B$9*E162</x:f>
        <x:v>0.9082388638772976</x:v>
      </x:c>
      <x:c r="I162" s="34" t="n">
        <x:f>-Assumptions!$B$10*E162</x:f>
        <x:v>1.5166684260951981</x:v>
      </x:c>
      <x:c r="J162" s="36" t="n">
        <x:f>IF(C162&lt;-F162,1,0)</x:f>
        <x:v>0</x:v>
      </x:c>
      <x:c r="K162" s="36" t="n">
        <x:f>IF(C162&lt;-G162,1,0)</x:f>
        <x:v>0</x:v>
      </x:c>
      <x:c r="L162" s="36" t="n">
        <x:f>IF(C162&lt;-H162,1,0)</x:f>
        <x:v>0</x:v>
      </x:c>
      <x:c r="M162" s="36" t="n">
        <x:f>IF(C162&lt;-I162,1,0)</x:f>
        <x:v>0</x:v>
      </x:c>
      <x:c r="N162" s="34" t="n">
        <x:f>-F162</x:f>
        <x:v>-0.9571196743156793</x:v>
      </x:c>
      <x:c r="O162" s="34" t="n">
        <x:f>-H162</x:f>
        <x:v>-0.9082388638772976</x:v>
      </x:c>
      <x:c r="P162" s="34" t="n">
        <x:f>-G162</x:f>
        <x:v>-1.3536726205076677</x:v>
      </x:c>
      <x:c r="Q162" s="34" t="n">
        <x:f>-I162</x:f>
        <x:v>-1.5166684260951981</x:v>
      </x:c>
      <x:c r="R162" s="36" t="n">
        <x:f>YEAR(A162)</x:f>
        <x:v>2021</x:v>
      </x:c>
    </x:row>
    <x:row r="163">
      <x:c r="A163" s="30" t="n">
        <x:v>44424</x:v>
      </x:c>
      <x:c r="B163" s="38" t="n">
        <x:v>4479.71</x:v>
      </x:c>
      <x:c r="C163" s="34" t="n">
        <x:f>(B163/B162-1)*100</x:f>
        <x:v>0.26208594449417255</x:v>
      </x:c>
      <x:c r="D163" s="34" t="n">
        <x:f>Assumptions!$B$4*D162+(1-Assumptions!$B$4)*C162^2</x:f>
        <x:v>0.31982751332864096</x:v>
      </x:c>
      <x:c r="E163" s="34" t="n">
        <x:f>SQRT(D163)</x:f>
        <x:v>0.5655329462804453</x:v>
      </x:c>
      <x:c r="F163" s="34" t="n">
        <x:f>-Assumptions!$B$7*E163</x:f>
        <x:v>0.9302189178499428</x:v>
      </x:c>
      <x:c r="G163" s="34" t="n">
        <x:f>-Assumptions!$B$8*E163</x:f>
        <x:v>1.3156263672795665</x:v>
      </x:c>
      <x:c r="H163" s="34" t="n">
        <x:f>-Assumptions!$B$9*E163</x:f>
        <x:v>0.8827119489621393</x:v>
      </x:c>
      <x:c r="I163" s="34" t="n">
        <x:f>-Assumptions!$B$10*E163</x:f>
        <x:v>1.4740410211169968</x:v>
      </x:c>
      <x:c r="J163" s="36" t="n">
        <x:f>IF(C163&lt;-F163,1,0)</x:f>
        <x:v>0</x:v>
      </x:c>
      <x:c r="K163" s="36" t="n">
        <x:f>IF(C163&lt;-G163,1,0)</x:f>
        <x:v>0</x:v>
      </x:c>
      <x:c r="L163" s="36" t="n">
        <x:f>IF(C163&lt;-H163,1,0)</x:f>
        <x:v>0</x:v>
      </x:c>
      <x:c r="M163" s="36" t="n">
        <x:f>IF(C163&lt;-I163,1,0)</x:f>
        <x:v>0</x:v>
      </x:c>
      <x:c r="N163" s="34" t="n">
        <x:f>-F163</x:f>
        <x:v>-0.9302189178499428</x:v>
      </x:c>
      <x:c r="O163" s="34" t="n">
        <x:f>-H163</x:f>
        <x:v>-0.8827119489621393</x:v>
      </x:c>
      <x:c r="P163" s="34" t="n">
        <x:f>-G163</x:f>
        <x:v>-1.3156263672795665</x:v>
      </x:c>
      <x:c r="Q163" s="34" t="n">
        <x:f>-I163</x:f>
        <x:v>-1.4740410211169968</x:v>
      </x:c>
      <x:c r="R163" s="36" t="n">
        <x:f>YEAR(A163)</x:f>
        <x:v>2021</x:v>
      </x:c>
    </x:row>
    <x:row r="164">
      <x:c r="A164" s="30" t="n">
        <x:v>44425</x:v>
      </x:c>
      <x:c r="B164" s="38" t="n">
        <x:v>4448.08</x:v>
      </x:c>
      <x:c r="C164" s="34" t="n">
        <x:f>(B164/B163-1)*100</x:f>
        <x:v>-0.7060724912996585</x:v>
      </x:c>
      <x:c r="D164" s="34" t="n">
        <x:f>Assumptions!$B$4*D163+(1-Assumptions!$B$4)*C163^2</x:f>
        <x:v>0.30475920506700666</x:v>
      </x:c>
      <x:c r="E164" s="34" t="n">
        <x:f>SQRT(D164)</x:f>
        <x:v>0.5520500023249766</x:v>
      </x:c>
      <x:c r="F164" s="34" t="n">
        <x:f>-Assumptions!$B$7*E164</x:f>
        <x:v>0.9080414485828068</x:v>
      </x:c>
      <x:c r="G164" s="34" t="n">
        <x:f>-Assumptions!$B$8*E164</x:f>
        <x:v>1.2842603492729503</x:v>
      </x:c>
      <x:c r="H164" s="34" t="n">
        <x:f>-Assumptions!$B$9*E164</x:f>
        <x:v>0.86166709947113</x:v>
      </x:c>
      <x:c r="I164" s="34" t="n">
        <x:f>-Assumptions!$B$10*E164</x:f>
        <x:v>1.4388982189045034</x:v>
      </x:c>
      <x:c r="J164" s="36" t="n">
        <x:f>IF(C164&lt;-F164,1,0)</x:f>
        <x:v>0</x:v>
      </x:c>
      <x:c r="K164" s="36" t="n">
        <x:f>IF(C164&lt;-G164,1,0)</x:f>
        <x:v>0</x:v>
      </x:c>
      <x:c r="L164" s="36" t="n">
        <x:f>IF(C164&lt;-H164,1,0)</x:f>
        <x:v>0</x:v>
      </x:c>
      <x:c r="M164" s="36" t="n">
        <x:f>IF(C164&lt;-I164,1,0)</x:f>
        <x:v>0</x:v>
      </x:c>
      <x:c r="N164" s="34" t="n">
        <x:f>-F164</x:f>
        <x:v>-0.9080414485828068</x:v>
      </x:c>
      <x:c r="O164" s="34" t="n">
        <x:f>-H164</x:f>
        <x:v>-0.86166709947113</x:v>
      </x:c>
      <x:c r="P164" s="34" t="n">
        <x:f>-G164</x:f>
        <x:v>-1.2842603492729503</x:v>
      </x:c>
      <x:c r="Q164" s="34" t="n">
        <x:f>-I164</x:f>
        <x:v>-1.4388982189045034</x:v>
      </x:c>
      <x:c r="R164" s="36" t="n">
        <x:f>YEAR(A164)</x:f>
        <x:v>2021</x:v>
      </x:c>
    </x:row>
    <x:row r="165">
      <x:c r="A165" s="30" t="n">
        <x:v>44426</x:v>
      </x:c>
      <x:c r="B165" s="38" t="n">
        <x:v>4400.27</x:v>
      </x:c>
      <x:c r="C165" s="34" t="n">
        <x:f>(B165/B164-1)*100</x:f>
        <x:v>-1.0748457761550978</x:v>
      </x:c>
      <x:c r="D165" s="34" t="n">
        <x:f>Assumptions!$B$4*D164+(1-Assumptions!$B$4)*C164^2</x:f>
        <x:v>0.31638595454119267</x:v>
      </x:c>
      <x:c r="E165" s="34" t="n">
        <x:f>SQRT(D165)</x:f>
        <x:v>0.5624819593028675</x:v>
      </x:c>
      <x:c r="F165" s="34" t="n">
        <x:f>-Assumptions!$B$7*E165</x:f>
        <x:v>0.9252004908540923</x:v>
      </x:c>
      <x:c r="G165" s="34" t="n">
        <x:f>-Assumptions!$B$8*E165</x:f>
        <x:v>1.3085287102105523</x:v>
      </x:c>
      <x:c r="H165" s="34" t="n">
        <x:f>-Assumptions!$B$9*E165</x:f>
        <x:v>0.8779498167487134</x:v>
      </x:c>
      <x:c r="I165" s="34" t="n">
        <x:f>-Assumptions!$B$10*E165</x:f>
        <x:v>1.4660887347127785</x:v>
      </x:c>
      <x:c r="J165" s="36" t="n">
        <x:f>IF(C165&lt;-F165,1,0)</x:f>
        <x:v>1</x:v>
      </x:c>
      <x:c r="K165" s="36" t="n">
        <x:f>IF(C165&lt;-G165,1,0)</x:f>
        <x:v>0</x:v>
      </x:c>
      <x:c r="L165" s="36" t="n">
        <x:f>IF(C165&lt;-H165,1,0)</x:f>
        <x:v>1</x:v>
      </x:c>
      <x:c r="M165" s="36" t="n">
        <x:f>IF(C165&lt;-I165,1,0)</x:f>
        <x:v>0</x:v>
      </x:c>
      <x:c r="N165" s="34" t="n">
        <x:f>-F165</x:f>
        <x:v>-0.9252004908540923</x:v>
      </x:c>
      <x:c r="O165" s="34" t="n">
        <x:f>-H165</x:f>
        <x:v>-0.8779498167487134</x:v>
      </x:c>
      <x:c r="P165" s="34" t="n">
        <x:f>-G165</x:f>
        <x:v>-1.3085287102105523</x:v>
      </x:c>
      <x:c r="Q165" s="34" t="n">
        <x:f>-I165</x:f>
        <x:v>-1.4660887347127785</x:v>
      </x:c>
      <x:c r="R165" s="36" t="n">
        <x:f>YEAR(A165)</x:f>
        <x:v>2021</x:v>
      </x:c>
    </x:row>
    <x:row r="166">
      <x:c r="A166" s="30" t="n">
        <x:v>44427</x:v>
      </x:c>
      <x:c r="B166" s="38" t="n">
        <x:v>4405.8</x:v>
      </x:c>
      <x:c r="C166" s="34" t="n">
        <x:f>(B166/B165-1)*100</x:f>
        <x:v>0.12567410636163956</x:v>
      </x:c>
      <x:c r="D166" s="34" t="n">
        <x:f>Assumptions!$B$4*D165+(1-Assumptions!$B$4)*C165^2</x:f>
        <x:v>0.36672040381982846</x:v>
      </x:c>
      <x:c r="E166" s="34" t="n">
        <x:f>SQRT(D166)</x:f>
        <x:v>0.6055744411877275</x:v>
      </x:c>
      <x:c r="F166" s="34" t="n">
        <x:f>-Assumptions!$B$7*E166</x:f>
        <x:v>0.996081315976745</x:v>
      </x:c>
      <x:c r="G166" s="34" t="n">
        <x:f>-Assumptions!$B$8*E166</x:f>
        <x:v>1.4087768138305399</x:v>
      </x:c>
      <x:c r="H166" s="34" t="n">
        <x:f>-Assumptions!$B$9*E166</x:f>
        <x:v>0.9452107056507323</x:v>
      </x:c>
      <x:c r="I166" s="34" t="n">
        <x:f>-Assumptions!$B$10*E166</x:f>
        <x:v>1.5784077188105246</x:v>
      </x:c>
      <x:c r="J166" s="36" t="n">
        <x:f>IF(C166&lt;-F166,1,0)</x:f>
        <x:v>0</x:v>
      </x:c>
      <x:c r="K166" s="36" t="n">
        <x:f>IF(C166&lt;-G166,1,0)</x:f>
        <x:v>0</x:v>
      </x:c>
      <x:c r="L166" s="36" t="n">
        <x:f>IF(C166&lt;-H166,1,0)</x:f>
        <x:v>0</x:v>
      </x:c>
      <x:c r="M166" s="36" t="n">
        <x:f>IF(C166&lt;-I166,1,0)</x:f>
        <x:v>0</x:v>
      </x:c>
      <x:c r="N166" s="34" t="n">
        <x:f>-F166</x:f>
        <x:v>-0.996081315976745</x:v>
      </x:c>
      <x:c r="O166" s="34" t="n">
        <x:f>-H166</x:f>
        <x:v>-0.9452107056507323</x:v>
      </x:c>
      <x:c r="P166" s="34" t="n">
        <x:f>-G166</x:f>
        <x:v>-1.4087768138305399</x:v>
      </x:c>
      <x:c r="Q166" s="34" t="n">
        <x:f>-I166</x:f>
        <x:v>-1.5784077188105246</x:v>
      </x:c>
      <x:c r="R166" s="36" t="n">
        <x:f>YEAR(A166)</x:f>
        <x:v>2021</x:v>
      </x:c>
    </x:row>
    <x:row r="167">
      <x:c r="A167" s="30" t="n">
        <x:v>44428</x:v>
      </x:c>
      <x:c r="B167" s="38" t="n">
        <x:v>4441.67</x:v>
      </x:c>
      <x:c r="C167" s="34" t="n">
        <x:f>(B167/B166-1)*100</x:f>
        <x:v>0.8141540696354754</x:v>
      </x:c>
      <x:c r="D167" s="34" t="n">
        <x:f>Assumptions!$B$4*D166+(1-Assumptions!$B$4)*C166^2</x:f>
        <x:v>0.34566481845122654</x:v>
      </x:c>
      <x:c r="E167" s="34" t="n">
        <x:f>SQRT(D167)</x:f>
        <x:v>0.5879326648955869</x:v>
      </x:c>
      <x:c r="F167" s="34" t="n">
        <x:f>-Assumptions!$B$7*E167</x:f>
        <x:v>0.9670631762567511</x:v>
      </x:c>
      <x:c r="G167" s="34" t="n">
        <x:f>-Assumptions!$B$8*E167</x:f>
        <x:v>1.3677359050590145</x:v>
      </x:c>
      <x:c r="H167" s="34" t="n">
        <x:f>-Assumptions!$B$9*E167</x:f>
        <x:v>0.9176745438118655</x:v>
      </x:c>
      <x:c r="I167" s="34" t="n">
        <x:f>-Assumptions!$B$10*E167</x:f>
        <x:v>1.5324250716260952</x:v>
      </x:c>
      <x:c r="J167" s="36" t="n">
        <x:f>IF(C167&lt;-F167,1,0)</x:f>
        <x:v>0</x:v>
      </x:c>
      <x:c r="K167" s="36" t="n">
        <x:f>IF(C167&lt;-G167,1,0)</x:f>
        <x:v>0</x:v>
      </x:c>
      <x:c r="L167" s="36" t="n">
        <x:f>IF(C167&lt;-H167,1,0)</x:f>
        <x:v>0</x:v>
      </x:c>
      <x:c r="M167" s="36" t="n">
        <x:f>IF(C167&lt;-I167,1,0)</x:f>
        <x:v>0</x:v>
      </x:c>
      <x:c r="N167" s="34" t="n">
        <x:f>-F167</x:f>
        <x:v>-0.9670631762567511</x:v>
      </x:c>
      <x:c r="O167" s="34" t="n">
        <x:f>-H167</x:f>
        <x:v>-0.9176745438118655</x:v>
      </x:c>
      <x:c r="P167" s="34" t="n">
        <x:f>-G167</x:f>
        <x:v>-1.3677359050590145</x:v>
      </x:c>
      <x:c r="Q167" s="34" t="n">
        <x:f>-I167</x:f>
        <x:v>-1.5324250716260952</x:v>
      </x:c>
      <x:c r="R167" s="36" t="n">
        <x:f>YEAR(A167)</x:f>
        <x:v>2021</x:v>
      </x:c>
    </x:row>
    <x:row r="168">
      <x:c r="A168" s="30" t="n">
        <x:v>44431</x:v>
      </x:c>
      <x:c r="B168" s="38" t="n">
        <x:v>4479.53</x:v>
      </x:c>
      <x:c r="C168" s="34" t="n">
        <x:f>(B168/B167-1)*100</x:f>
        <x:v>0.8523820995256282</x:v>
      </x:c>
      <x:c r="D168" s="34" t="n">
        <x:f>Assumptions!$B$4*D167+(1-Assumptions!$B$4)*C167^2</x:f>
        <x:v>0.36469574029039337</x:v>
      </x:c>
      <x:c r="E168" s="34" t="n">
        <x:f>SQRT(D168)</x:f>
        <x:v>0.6039004390546453</x:v>
      </x:c>
      <x:c r="F168" s="34" t="n">
        <x:f>-Assumptions!$B$7*E168</x:f>
        <x:v>0.9933278274966202</x:v>
      </x:c>
      <x:c r="G168" s="34" t="n">
        <x:f>-Assumptions!$B$8*E168</x:f>
        <x:v>1.4048825025271041</x:v>
      </x:c>
      <x:c r="H168" s="34" t="n">
        <x:f>-Assumptions!$B$9*E168</x:f>
        <x:v>0.942597839866027</x:v>
      </x:c>
      <x:c r="I168" s="34" t="n">
        <x:f>-Assumptions!$B$10*E168</x:f>
        <x:v>1.5740444932374968</x:v>
      </x:c>
      <x:c r="J168" s="36" t="n">
        <x:f>IF(C168&lt;-F168,1,0)</x:f>
        <x:v>0</x:v>
      </x:c>
      <x:c r="K168" s="36" t="n">
        <x:f>IF(C168&lt;-G168,1,0)</x:f>
        <x:v>0</x:v>
      </x:c>
      <x:c r="L168" s="36" t="n">
        <x:f>IF(C168&lt;-H168,1,0)</x:f>
        <x:v>0</x:v>
      </x:c>
      <x:c r="M168" s="36" t="n">
        <x:f>IF(C168&lt;-I168,1,0)</x:f>
        <x:v>0</x:v>
      </x:c>
      <x:c r="N168" s="34" t="n">
        <x:f>-F168</x:f>
        <x:v>-0.9933278274966202</x:v>
      </x:c>
      <x:c r="O168" s="34" t="n">
        <x:f>-H168</x:f>
        <x:v>-0.942597839866027</x:v>
      </x:c>
      <x:c r="P168" s="34" t="n">
        <x:f>-G168</x:f>
        <x:v>-1.4048825025271041</x:v>
      </x:c>
      <x:c r="Q168" s="34" t="n">
        <x:f>-I168</x:f>
        <x:v>-1.5740444932374968</x:v>
      </x:c>
      <x:c r="R168" s="36" t="n">
        <x:f>YEAR(A168)</x:f>
        <x:v>2021</x:v>
      </x:c>
    </x:row>
    <x:row r="169">
      <x:c r="A169" s="30" t="n">
        <x:v>44432</x:v>
      </x:c>
      <x:c r="B169" s="38" t="n">
        <x:v>4486.23</x:v>
      </x:c>
      <x:c r="C169" s="34" t="n">
        <x:f>(B169/B168-1)*100</x:f>
        <x:v>0.14956926284677152</x:v>
      </x:c>
      <x:c r="D169" s="34" t="n">
        <x:f>Assumptions!$B$4*D168+(1-Assumptions!$B$4)*C168^2</x:f>
        <x:v>0.3864073104884728</x:v>
      </x:c>
      <x:c r="E169" s="34" t="n">
        <x:f>SQRT(D169)</x:f>
        <x:v>0.6216166909667667</x:v>
      </x:c>
      <x:c r="F169" s="34" t="n">
        <x:f>-Assumptions!$B$7*E169</x:f>
        <x:v>1.0224684687102592</x:v>
      </x:c>
      <x:c r="G169" s="34" t="n">
        <x:f>-Assumptions!$B$8*E169</x:f>
        <x:v>1.4460966674988398</x:v>
      </x:c>
      <x:c r="H169" s="34" t="n">
        <x:f>-Assumptions!$B$9*E169</x:f>
        <x:v>0.9702502469565556</x:v>
      </x:c>
      <x:c r="I169" s="34" t="n">
        <x:f>-Assumptions!$B$10*E169</x:f>
        <x:v>1.620221258412128</x:v>
      </x:c>
      <x:c r="J169" s="36" t="n">
        <x:f>IF(C169&lt;-F169,1,0)</x:f>
        <x:v>0</x:v>
      </x:c>
      <x:c r="K169" s="36" t="n">
        <x:f>IF(C169&lt;-G169,1,0)</x:f>
        <x:v>0</x:v>
      </x:c>
      <x:c r="L169" s="36" t="n">
        <x:f>IF(C169&lt;-H169,1,0)</x:f>
        <x:v>0</x:v>
      </x:c>
      <x:c r="M169" s="36" t="n">
        <x:f>IF(C169&lt;-I169,1,0)</x:f>
        <x:v>0</x:v>
      </x:c>
      <x:c r="N169" s="34" t="n">
        <x:f>-F169</x:f>
        <x:v>-1.0224684687102592</x:v>
      </x:c>
      <x:c r="O169" s="34" t="n">
        <x:f>-H169</x:f>
        <x:v>-0.9702502469565556</x:v>
      </x:c>
      <x:c r="P169" s="34" t="n">
        <x:f>-G169</x:f>
        <x:v>-1.4460966674988398</x:v>
      </x:c>
      <x:c r="Q169" s="34" t="n">
        <x:f>-I169</x:f>
        <x:v>-1.620221258412128</x:v>
      </x:c>
      <x:c r="R169" s="36" t="n">
        <x:f>YEAR(A169)</x:f>
        <x:v>2021</x:v>
      </x:c>
    </x:row>
    <x:row r="170">
      <x:c r="A170" s="30" t="n">
        <x:v>44433</x:v>
      </x:c>
      <x:c r="B170" s="38" t="n">
        <x:v>4496.19</x:v>
      </x:c>
      <x:c r="C170" s="34" t="n">
        <x:f>(B170/B169-1)*100</x:f>
        <x:v>0.22201269217136943</x:v>
      </x:c>
      <x:c r="D170" s="34" t="n">
        <x:f>Assumptions!$B$4*D169+(1-Assumptions!$B$4)*C169^2</x:f>
        <x:v>0.364565129722476</x:v>
      </x:c>
      <x:c r="E170" s="34" t="n">
        <x:f>SQRT(D170)</x:f>
        <x:v>0.6037922902145042</x:v>
      </x:c>
      <x:c r="F170" s="34" t="n">
        <x:f>-Assumptions!$B$7*E170</x:f>
        <x:v>0.9931499384846635</x:v>
      </x:c>
      <x:c r="G170" s="34" t="n">
        <x:f>-Assumptions!$B$8*E170</x:f>
        <x:v>1.404630910702762</x:v>
      </x:c>
      <x:c r="H170" s="34" t="n">
        <x:f>-Assumptions!$B$9*E170</x:f>
        <x:v>0.9424290357776236</x:v>
      </x:c>
      <x:c r="I170" s="34" t="n">
        <x:f>-Assumptions!$B$10*E170</x:f>
        <x:v>1.573762607225722</x:v>
      </x:c>
      <x:c r="J170" s="36" t="n">
        <x:f>IF(C170&lt;-F170,1,0)</x:f>
        <x:v>0</x:v>
      </x:c>
      <x:c r="K170" s="36" t="n">
        <x:f>IF(C170&lt;-G170,1,0)</x:f>
        <x:v>0</x:v>
      </x:c>
      <x:c r="L170" s="36" t="n">
        <x:f>IF(C170&lt;-H170,1,0)</x:f>
        <x:v>0</x:v>
      </x:c>
      <x:c r="M170" s="36" t="n">
        <x:f>IF(C170&lt;-I170,1,0)</x:f>
        <x:v>0</x:v>
      </x:c>
      <x:c r="N170" s="34" t="n">
        <x:f>-F170</x:f>
        <x:v>-0.9931499384846635</x:v>
      </x:c>
      <x:c r="O170" s="34" t="n">
        <x:f>-H170</x:f>
        <x:v>-0.9424290357776236</x:v>
      </x:c>
      <x:c r="P170" s="34" t="n">
        <x:f>-G170</x:f>
        <x:v>-1.404630910702762</x:v>
      </x:c>
      <x:c r="Q170" s="34" t="n">
        <x:f>-I170</x:f>
        <x:v>-1.573762607225722</x:v>
      </x:c>
      <x:c r="R170" s="36" t="n">
        <x:f>YEAR(A170)</x:f>
        <x:v>2021</x:v>
      </x:c>
    </x:row>
    <x:row r="171">
      <x:c r="A171" s="30" t="n">
        <x:v>44434</x:v>
      </x:c>
      <x:c r="B171" s="38" t="n">
        <x:v>4470</x:v>
      </x:c>
      <x:c r="C171" s="34" t="n">
        <x:f>(B171/B170-1)*100</x:f>
        <x:v>-0.5824931775569864</x:v>
      </x:c>
      <x:c r="D171" s="34" t="n">
        <x:f>Assumptions!$B$4*D170+(1-Assumptions!$B$4)*C170^2</x:f>
        <x:v>0.34564860006823817</x:v>
      </x:c>
      <x:c r="E171" s="34" t="n">
        <x:f>SQRT(D171)</x:f>
        <x:v>0.5879188720123195</x:v>
      </x:c>
      <x:c r="F171" s="34" t="n">
        <x:f>-Assumptions!$B$7*E171</x:f>
        <x:v>0.9670404889826825</x:v>
      </x:c>
      <x:c r="G171" s="34" t="n">
        <x:f>-Assumptions!$B$8*E171</x:f>
        <x:v>1.3677038180143484</x:v>
      </x:c>
      <x:c r="H171" s="34" t="n">
        <x:f>-Assumptions!$B$9*E171</x:f>
        <x:v>0.9176530151936818</x:v>
      </x:c>
      <x:c r="I171" s="34" t="n">
        <x:f>-Assumptions!$B$10*E171</x:f>
        <x:v>1.5323891209783578</x:v>
      </x:c>
      <x:c r="J171" s="36" t="n">
        <x:f>IF(C171&lt;-F171,1,0)</x:f>
        <x:v>0</x:v>
      </x:c>
      <x:c r="K171" s="36" t="n">
        <x:f>IF(C171&lt;-G171,1,0)</x:f>
        <x:v>0</x:v>
      </x:c>
      <x:c r="L171" s="36" t="n">
        <x:f>IF(C171&lt;-H171,1,0)</x:f>
        <x:v>0</x:v>
      </x:c>
      <x:c r="M171" s="36" t="n">
        <x:f>IF(C171&lt;-I171,1,0)</x:f>
        <x:v>0</x:v>
      </x:c>
      <x:c r="N171" s="34" t="n">
        <x:f>-F171</x:f>
        <x:v>-0.9670404889826825</x:v>
      </x:c>
      <x:c r="O171" s="34" t="n">
        <x:f>-H171</x:f>
        <x:v>-0.9176530151936818</x:v>
      </x:c>
      <x:c r="P171" s="34" t="n">
        <x:f>-G171</x:f>
        <x:v>-1.3677038180143484</x:v>
      </x:c>
      <x:c r="Q171" s="34" t="n">
        <x:f>-I171</x:f>
        <x:v>-1.5323891209783578</x:v>
      </x:c>
      <x:c r="R171" s="36" t="n">
        <x:f>YEAR(A171)</x:f>
        <x:v>2021</x:v>
      </x:c>
    </x:row>
    <x:row r="172">
      <x:c r="A172" s="30" t="n">
        <x:v>44435</x:v>
      </x:c>
      <x:c r="B172" s="38" t="n">
        <x:v>4509.37</x:v>
      </x:c>
      <x:c r="C172" s="34" t="n">
        <x:f>(B172/B171-1)*100</x:f>
        <x:v>0.8807606263982137</x:v>
      </x:c>
      <x:c r="D172" s="34" t="n">
        <x:f>Assumptions!$B$4*D171+(1-Assumptions!$B$4)*C171^2</x:f>
        <x:v>0.34526758217816994</x:v>
      </x:c>
      <x:c r="E172" s="34" t="n">
        <x:f>SQRT(D172)</x:f>
        <x:v>0.5875947431505577</x:v>
      </x:c>
      <x:c r="F172" s="34" t="n">
        <x:f>-Assumptions!$B$7*E172</x:f>
        <x:v>0.9665073444488139</x:v>
      </x:c>
      <x:c r="G172" s="34" t="n">
        <x:f>-Assumptions!$B$8*E172</x:f>
        <x:v>1.3669497815258735</x:v>
      </x:c>
      <x:c r="H172" s="34" t="n">
        <x:f>-Assumptions!$B$9*E172</x:f>
        <x:v>0.9171470987459092</x:v>
      </x:c>
      <x:c r="I172" s="34" t="n">
        <x:f>-Assumptions!$B$10*E172</x:f>
        <x:v>1.5315442909087618</x:v>
      </x:c>
      <x:c r="J172" s="36" t="n">
        <x:f>IF(C172&lt;-F172,1,0)</x:f>
        <x:v>0</x:v>
      </x:c>
      <x:c r="K172" s="36" t="n">
        <x:f>IF(C172&lt;-G172,1,0)</x:f>
        <x:v>0</x:v>
      </x:c>
      <x:c r="L172" s="36" t="n">
        <x:f>IF(C172&lt;-H172,1,0)</x:f>
        <x:v>0</x:v>
      </x:c>
      <x:c r="M172" s="36" t="n">
        <x:f>IF(C172&lt;-I172,1,0)</x:f>
        <x:v>0</x:v>
      </x:c>
      <x:c r="N172" s="34" t="n">
        <x:f>-F172</x:f>
        <x:v>-0.9665073444488139</x:v>
      </x:c>
      <x:c r="O172" s="34" t="n">
        <x:f>-H172</x:f>
        <x:v>-0.9171470987459092</x:v>
      </x:c>
      <x:c r="P172" s="34" t="n">
        <x:f>-G172</x:f>
        <x:v>-1.3669497815258735</x:v>
      </x:c>
      <x:c r="Q172" s="34" t="n">
        <x:f>-I172</x:f>
        <x:v>-1.5315442909087618</x:v>
      </x:c>
      <x:c r="R172" s="36" t="n">
        <x:f>YEAR(A172)</x:f>
        <x:v>2021</x:v>
      </x:c>
    </x:row>
    <x:row r="173">
      <x:c r="A173" s="30" t="n">
        <x:v>44438</x:v>
      </x:c>
      <x:c r="B173" s="38" t="n">
        <x:v>4528.79</x:v>
      </x:c>
      <x:c r="C173" s="34" t="n">
        <x:f>(B173/B172-1)*100</x:f>
        <x:v>0.430658828173347</x:v>
      </x:c>
      <x:c r="D173" s="34" t="n">
        <x:f>Assumptions!$B$4*D172+(1-Assumptions!$B$4)*C172^2</x:f>
        <x:v>0.3710958841082822</x:v>
      </x:c>
      <x:c r="E173" s="34" t="n">
        <x:f>SQRT(D173)</x:f>
        <x:v>0.6091763981871607</x:v>
      </x:c>
      <x:c r="F173" s="34" t="n">
        <x:f>-Assumptions!$B$7*E173</x:f>
        <x:v>1.002006008011386</x:v>
      </x:c>
      <x:c r="G173" s="34" t="n">
        <x:f>-Assumptions!$B$8*E173</x:f>
        <x:v>1.4171562188385578</x:v>
      </x:c>
      <x:c r="H173" s="34" t="n">
        <x:f>-Assumptions!$B$9*E173</x:f>
        <x:v>0.9508328192764004</x:v>
      </x:c>
      <x:c r="I173" s="34" t="n">
        <x:f>-Assumptions!$B$10*E173</x:f>
        <x:v>1.5877960885038989</x:v>
      </x:c>
      <x:c r="J173" s="36" t="n">
        <x:f>IF(C173&lt;-F173,1,0)</x:f>
        <x:v>0</x:v>
      </x:c>
      <x:c r="K173" s="36" t="n">
        <x:f>IF(C173&lt;-G173,1,0)</x:f>
        <x:v>0</x:v>
      </x:c>
      <x:c r="L173" s="36" t="n">
        <x:f>IF(C173&lt;-H173,1,0)</x:f>
        <x:v>0</x:v>
      </x:c>
      <x:c r="M173" s="36" t="n">
        <x:f>IF(C173&lt;-I173,1,0)</x:f>
        <x:v>0</x:v>
      </x:c>
      <x:c r="N173" s="34" t="n">
        <x:f>-F173</x:f>
        <x:v>-1.002006008011386</x:v>
      </x:c>
      <x:c r="O173" s="34" t="n">
        <x:f>-H173</x:f>
        <x:v>-0.9508328192764004</x:v>
      </x:c>
      <x:c r="P173" s="34" t="n">
        <x:f>-G173</x:f>
        <x:v>-1.4171562188385578</x:v>
      </x:c>
      <x:c r="Q173" s="34" t="n">
        <x:f>-I173</x:f>
        <x:v>-1.5877960885038989</x:v>
      </x:c>
      <x:c r="R173" s="36" t="n">
        <x:f>YEAR(A173)</x:f>
        <x:v>2021</x:v>
      </x:c>
    </x:row>
    <x:row r="174">
      <x:c r="A174" s="30" t="n">
        <x:v>44439</x:v>
      </x:c>
      <x:c r="B174" s="38" t="n">
        <x:v>4522.68</x:v>
      </x:c>
      <x:c r="C174" s="34" t="n">
        <x:f>(B174/B173-1)*100</x:f>
        <x:v>-0.1349146239944865</x:v>
      </x:c>
      <x:c r="D174" s="34" t="n">
        <x:f>Assumptions!$B$4*D173+(1-Assumptions!$B$4)*C173^2</x:f>
        <x:v>0.35995815263880365</x:v>
      </x:c>
      <x:c r="E174" s="34" t="n">
        <x:f>SQRT(D174)</x:f>
        <x:v>0.5999651261855172</x:v>
      </x:c>
      <x:c r="F174" s="34" t="n">
        <x:f>-Assumptions!$B$7*E174</x:f>
        <x:v>0.9868548138506461</x:v>
      </x:c>
      <x:c r="G174" s="34" t="n">
        <x:f>-Assumptions!$B$8*E174</x:f>
        <x:v>1.3957275958003226</x:v>
      </x:c>
      <x:c r="H174" s="34" t="n">
        <x:f>-Assumptions!$B$9*E174</x:f>
        <x:v>0.9364554078197052</x:v>
      </x:c>
      <x:c r="I174" s="34" t="n">
        <x:f>-Assumptions!$B$10*E174</x:f>
        <x:v>1.5637872436145053</x:v>
      </x:c>
      <x:c r="J174" s="36" t="n">
        <x:f>IF(C174&lt;-F174,1,0)</x:f>
        <x:v>0</x:v>
      </x:c>
      <x:c r="K174" s="36" t="n">
        <x:f>IF(C174&lt;-G174,1,0)</x:f>
        <x:v>0</x:v>
      </x:c>
      <x:c r="L174" s="36" t="n">
        <x:f>IF(C174&lt;-H174,1,0)</x:f>
        <x:v>0</x:v>
      </x:c>
      <x:c r="M174" s="36" t="n">
        <x:f>IF(C174&lt;-I174,1,0)</x:f>
        <x:v>0</x:v>
      </x:c>
      <x:c r="N174" s="34" t="n">
        <x:f>-F174</x:f>
        <x:v>-0.9868548138506461</x:v>
      </x:c>
      <x:c r="O174" s="34" t="n">
        <x:f>-H174</x:f>
        <x:v>-0.9364554078197052</x:v>
      </x:c>
      <x:c r="P174" s="34" t="n">
        <x:f>-G174</x:f>
        <x:v>-1.3957275958003226</x:v>
      </x:c>
      <x:c r="Q174" s="34" t="n">
        <x:f>-I174</x:f>
        <x:v>-1.5637872436145053</x:v>
      </x:c>
      <x:c r="R174" s="36" t="n">
        <x:f>YEAR(A174)</x:f>
        <x:v>2021</x:v>
      </x:c>
    </x:row>
    <x:row r="175">
      <x:c r="A175" s="30" t="n">
        <x:v>44440</x:v>
      </x:c>
      <x:c r="B175" s="38" t="n">
        <x:v>4524.09</x:v>
      </x:c>
      <x:c r="C175" s="34" t="n">
        <x:f>(B175/B174-1)*100</x:f>
        <x:v>0.03117620525883158</x:v>
      </x:c>
      <x:c r="D175" s="34" t="n">
        <x:f>Assumptions!$B$4*D174+(1-Assumptions!$B$4)*C174^2</x:f>
        <x:v>0.3394527808265298</x:v>
      </x:c>
      <x:c r="E175" s="34" t="n">
        <x:f>SQRT(D175)</x:f>
        <x:v>0.5826257639570446</x:v>
      </x:c>
      <x:c r="F175" s="34" t="n">
        <x:f>-Assumptions!$B$7*E175</x:f>
        <x:v>0.9583341010001175</x:v>
      </x:c>
      <x:c r="G175" s="34" t="n">
        <x:f>-Assumptions!$B$8*E175</x:f>
        <x:v>1.3553902073428912</x:v>
      </x:c>
      <x:c r="H175" s="34" t="n">
        <x:f>-Assumptions!$B$9*E175</x:f>
        <x:v>0.909391268891775</x:v>
      </x:c>
      <x:c r="I175" s="34" t="n">
        <x:f>-Assumptions!$B$10*E175</x:f>
        <x:v>1.5185928276695486</x:v>
      </x:c>
      <x:c r="J175" s="36" t="n">
        <x:f>IF(C175&lt;-F175,1,0)</x:f>
        <x:v>0</x:v>
      </x:c>
      <x:c r="K175" s="36" t="n">
        <x:f>IF(C175&lt;-G175,1,0)</x:f>
        <x:v>0</x:v>
      </x:c>
      <x:c r="L175" s="36" t="n">
        <x:f>IF(C175&lt;-H175,1,0)</x:f>
        <x:v>0</x:v>
      </x:c>
      <x:c r="M175" s="36" t="n">
        <x:f>IF(C175&lt;-I175,1,0)</x:f>
        <x:v>0</x:v>
      </x:c>
      <x:c r="N175" s="34" t="n">
        <x:f>-F175</x:f>
        <x:v>-0.9583341010001175</x:v>
      </x:c>
      <x:c r="O175" s="34" t="n">
        <x:f>-H175</x:f>
        <x:v>-0.909391268891775</x:v>
      </x:c>
      <x:c r="P175" s="34" t="n">
        <x:f>-G175</x:f>
        <x:v>-1.3553902073428912</x:v>
      </x:c>
      <x:c r="Q175" s="34" t="n">
        <x:f>-I175</x:f>
        <x:v>-1.5185928276695486</x:v>
      </x:c>
      <x:c r="R175" s="36" t="n">
        <x:f>YEAR(A175)</x:f>
        <x:v>2021</x:v>
      </x:c>
    </x:row>
    <x:row r="176">
      <x:c r="A176" s="30" t="n">
        <x:v>44441</x:v>
      </x:c>
      <x:c r="B176" s="38" t="n">
        <x:v>4536.95</x:v>
      </x:c>
      <x:c r="C176" s="34" t="n">
        <x:f>(B176/B175-1)*100</x:f>
        <x:v>0.28425606033477546</x:v>
      </x:c>
      <x:c r="D176" s="34" t="n">
        <x:f>Assumptions!$B$4*D175+(1-Assumptions!$B$4)*C175^2</x:f>
        <x:v>0.3191439313233984</x:v>
      </x:c>
      <x:c r="E176" s="34" t="n">
        <x:f>SQRT(D176)</x:f>
        <x:v>0.5649282532529227</x:v>
      </x:c>
      <x:c r="F176" s="34" t="n">
        <x:f>-Assumptions!$B$7*E176</x:f>
        <x:v>0.9292242863304302</x:v>
      </x:c>
      <x:c r="G176" s="34" t="n">
        <x:f>-Assumptions!$B$8*E176</x:f>
        <x:v>1.3142196409405422</x:v>
      </x:c>
      <x:c r="H176" s="34" t="n">
        <x:f>-Assumptions!$B$9*E176</x:f>
        <x:v>0.8817681140107737</x:v>
      </x:c>
      <x:c r="I176" s="34" t="n">
        <x:f>-Assumptions!$B$10*E176</x:f>
        <x:v>1.472464910770793</x:v>
      </x:c>
      <x:c r="J176" s="36" t="n">
        <x:f>IF(C176&lt;-F176,1,0)</x:f>
        <x:v>0</x:v>
      </x:c>
      <x:c r="K176" s="36" t="n">
        <x:f>IF(C176&lt;-G176,1,0)</x:f>
        <x:v>0</x:v>
      </x:c>
      <x:c r="L176" s="36" t="n">
        <x:f>IF(C176&lt;-H176,1,0)</x:f>
        <x:v>0</x:v>
      </x:c>
      <x:c r="M176" s="36" t="n">
        <x:f>IF(C176&lt;-I176,1,0)</x:f>
        <x:v>0</x:v>
      </x:c>
      <x:c r="N176" s="34" t="n">
        <x:f>-F176</x:f>
        <x:v>-0.9292242863304302</x:v>
      </x:c>
      <x:c r="O176" s="34" t="n">
        <x:f>-H176</x:f>
        <x:v>-0.8817681140107737</x:v>
      </x:c>
      <x:c r="P176" s="34" t="n">
        <x:f>-G176</x:f>
        <x:v>-1.3142196409405422</x:v>
      </x:c>
      <x:c r="Q176" s="34" t="n">
        <x:f>-I176</x:f>
        <x:v>-1.472464910770793</x:v>
      </x:c>
      <x:c r="R176" s="36" t="n">
        <x:f>YEAR(A176)</x:f>
        <x:v>2021</x:v>
      </x:c>
    </x:row>
    <x:row r="177">
      <x:c r="A177" s="30" t="n">
        <x:v>44442</x:v>
      </x:c>
      <x:c r="B177" s="38" t="n">
        <x:v>4535.43</x:v>
      </x:c>
      <x:c r="C177" s="34" t="n">
        <x:f>(B177/B176-1)*100</x:f>
        <x:v>-0.0335026835208585</x:v>
      </x:c>
      <x:c r="D177" s="34" t="n">
        <x:f>Assumptions!$B$4*D176+(1-Assumptions!$B$4)*C176^2</x:f>
        <x:v>0.30484338591421734</x:v>
      </x:c>
      <x:c r="E177" s="34" t="n">
        <x:f>SQRT(D177)</x:f>
        <x:v>0.5521262409216006</x:v>
      </x:c>
      <x:c r="F177" s="34" t="n">
        <x:f>-Assumptions!$B$7*E177</x:f>
        <x:v>0.9081668499149774</x:v>
      </x:c>
      <x:c r="G177" s="34" t="n">
        <x:f>-Assumptions!$B$8*E177</x:f>
        <x:v>1.2844377067701263</x:v>
      </x:c>
      <x:c r="H177" s="34" t="n">
        <x:f>-Assumptions!$B$9*E177</x:f>
        <x:v>0.861786096464417</x:v>
      </x:c>
      <x:c r="I177" s="34" t="n">
        <x:f>-Assumptions!$B$10*E177</x:f>
        <x:v>1.4390969320290972</x:v>
      </x:c>
      <x:c r="J177" s="36" t="n">
        <x:f>IF(C177&lt;-F177,1,0)</x:f>
        <x:v>0</x:v>
      </x:c>
      <x:c r="K177" s="36" t="n">
        <x:f>IF(C177&lt;-G177,1,0)</x:f>
        <x:v>0</x:v>
      </x:c>
      <x:c r="L177" s="36" t="n">
        <x:f>IF(C177&lt;-H177,1,0)</x:f>
        <x:v>0</x:v>
      </x:c>
      <x:c r="M177" s="36" t="n">
        <x:f>IF(C177&lt;-I177,1,0)</x:f>
        <x:v>0</x:v>
      </x:c>
      <x:c r="N177" s="34" t="n">
        <x:f>-F177</x:f>
        <x:v>-0.9081668499149774</x:v>
      </x:c>
      <x:c r="O177" s="34" t="n">
        <x:f>-H177</x:f>
        <x:v>-0.861786096464417</x:v>
      </x:c>
      <x:c r="P177" s="34" t="n">
        <x:f>-G177</x:f>
        <x:v>-1.2844377067701263</x:v>
      </x:c>
      <x:c r="Q177" s="34" t="n">
        <x:f>-I177</x:f>
        <x:v>-1.4390969320290972</x:v>
      </x:c>
      <x:c r="R177" s="36" t="n">
        <x:f>YEAR(A177)</x:f>
        <x:v>2021</x:v>
      </x:c>
    </x:row>
    <x:row r="178">
      <x:c r="A178" s="30" t="n">
        <x:v>44446</x:v>
      </x:c>
      <x:c r="B178" s="38" t="n">
        <x:v>4520.03</x:v>
      </x:c>
      <x:c r="C178" s="34" t="n">
        <x:f>(B178/B177-1)*100</x:f>
        <x:v>-0.3395488410139813</x:v>
      </x:c>
      <x:c r="D178" s="34" t="n">
        <x:f>Assumptions!$B$4*D177+(1-Assumptions!$B$4)*C177^2</x:f>
        <x:v>0.2866201285475502</x:v>
      </x:c>
      <x:c r="E178" s="34" t="n">
        <x:f>SQRT(D178)</x:f>
        <x:v>0.5353691516585077</x:v>
      </x:c>
      <x:c r="F178" s="34" t="n">
        <x:f>-Assumptions!$B$7*E178</x:f>
        <x:v>0.8806038908634296</x:v>
      </x:c>
      <x:c r="G178" s="34" t="n">
        <x:f>-Assumptions!$B$8*E178</x:f>
        <x:v>1.2454548877878178</x:v>
      </x:c>
      <x:c r="H178" s="34" t="n">
        <x:f>-Assumptions!$B$9*E178</x:f>
        <x:v>0.8356307981398131</x:v>
      </x:c>
      <x:c r="I178" s="34" t="n">
        <x:f>-Assumptions!$B$10*E178</x:f>
        <x:v>1.3954201893551716</x:v>
      </x:c>
      <x:c r="J178" s="36" t="n">
        <x:f>IF(C178&lt;-F178,1,0)</x:f>
        <x:v>0</x:v>
      </x:c>
      <x:c r="K178" s="36" t="n">
        <x:f>IF(C178&lt;-G178,1,0)</x:f>
        <x:v>0</x:v>
      </x:c>
      <x:c r="L178" s="36" t="n">
        <x:f>IF(C178&lt;-H178,1,0)</x:f>
        <x:v>0</x:v>
      </x:c>
      <x:c r="M178" s="36" t="n">
        <x:f>IF(C178&lt;-I178,1,0)</x:f>
        <x:v>0</x:v>
      </x:c>
      <x:c r="N178" s="34" t="n">
        <x:f>-F178</x:f>
        <x:v>-0.8806038908634296</x:v>
      </x:c>
      <x:c r="O178" s="34" t="n">
        <x:f>-H178</x:f>
        <x:v>-0.8356307981398131</x:v>
      </x:c>
      <x:c r="P178" s="34" t="n">
        <x:f>-G178</x:f>
        <x:v>-1.2454548877878178</x:v>
      </x:c>
      <x:c r="Q178" s="34" t="n">
        <x:f>-I178</x:f>
        <x:v>-1.3954201893551716</x:v>
      </x:c>
      <x:c r="R178" s="36" t="n">
        <x:f>YEAR(A178)</x:f>
        <x:v>2021</x:v>
      </x:c>
    </x:row>
    <x:row r="179">
      <x:c r="A179" s="30" t="n">
        <x:v>44447</x:v>
      </x:c>
      <x:c r="B179" s="38" t="n">
        <x:v>4514.07</x:v>
      </x:c>
      <x:c r="C179" s="34" t="n">
        <x:f>(B179/B178-1)*100</x:f>
        <x:v>-0.13185753191903293</x:v>
      </x:c>
      <x:c r="D179" s="34" t="n">
        <x:f>Assumptions!$B$4*D178+(1-Assumptions!$B$4)*C178^2</x:f>
        <x:v>0.2763405257607334</x:v>
      </x:c>
      <x:c r="E179" s="34" t="n">
        <x:f>SQRT(D179)</x:f>
        <x:v>0.5256810114135124</x:v>
      </x:c>
      <x:c r="F179" s="34" t="n">
        <x:f>-Assumptions!$B$7*E179</x:f>
        <x:v>0.8646683182430345</x:v>
      </x:c>
      <x:c r="G179" s="34" t="n">
        <x:f>-Assumptions!$B$8*E179</x:f>
        <x:v>1.2229169033254634</x:v>
      </x:c>
      <x:c r="H179" s="34" t="n">
        <x:f>-Assumptions!$B$9*E179</x:f>
        <x:v>0.8205090670121671</x:v>
      </x:c>
      <x:c r="I179" s="34" t="n">
        <x:f>-Assumptions!$B$10*E179</x:f>
        <x:v>1.3701684047626328</x:v>
      </x:c>
      <x:c r="J179" s="36" t="n">
        <x:f>IF(C179&lt;-F179,1,0)</x:f>
        <x:v>0</x:v>
      </x:c>
      <x:c r="K179" s="36" t="n">
        <x:f>IF(C179&lt;-G179,1,0)</x:f>
        <x:v>0</x:v>
      </x:c>
      <x:c r="L179" s="36" t="n">
        <x:f>IF(C179&lt;-H179,1,0)</x:f>
        <x:v>0</x:v>
      </x:c>
      <x:c r="M179" s="36" t="n">
        <x:f>IF(C179&lt;-I179,1,0)</x:f>
        <x:v>0</x:v>
      </x:c>
      <x:c r="N179" s="34" t="n">
        <x:f>-F179</x:f>
        <x:v>-0.8646683182430345</x:v>
      </x:c>
      <x:c r="O179" s="34" t="n">
        <x:f>-H179</x:f>
        <x:v>-0.8205090670121671</x:v>
      </x:c>
      <x:c r="P179" s="34" t="n">
        <x:f>-G179</x:f>
        <x:v>-1.2229169033254634</x:v>
      </x:c>
      <x:c r="Q179" s="34" t="n">
        <x:f>-I179</x:f>
        <x:v>-1.3701684047626328</x:v>
      </x:c>
      <x:c r="R179" s="36" t="n">
        <x:f>YEAR(A179)</x:f>
        <x:v>2021</x:v>
      </x:c>
    </x:row>
    <x:row r="180">
      <x:c r="A180" s="30" t="n">
        <x:v>44448</x:v>
      </x:c>
      <x:c r="B180" s="38" t="n">
        <x:v>4493.28</x:v>
      </x:c>
      <x:c r="C180" s="34" t="n">
        <x:f>(B180/B179-1)*100</x:f>
        <x:v>-0.46055998245485563</x:v>
      </x:c>
      <x:c r="D180" s="34" t="n">
        <x:f>Assumptions!$B$4*D179+(1-Assumptions!$B$4)*C179^2</x:f>
        <x:v>0.2608032787385161</x:v>
      </x:c>
      <x:c r="E180" s="34" t="n">
        <x:f>SQRT(D180)</x:f>
        <x:v>0.5106890235148158</x:v>
      </x:c>
      <x:c r="F180" s="34" t="n">
        <x:f>-Assumptions!$B$7*E180</x:f>
        <x:v>0.8400086925726508</x:v>
      </x:c>
      <x:c r="G180" s="34" t="n">
        <x:f>-Assumptions!$B$8*E180</x:f>
        <x:v>1.1880403241496844</x:v>
      </x:c>
      <x:c r="H180" s="34" t="n">
        <x:f>-Assumptions!$B$9*E180</x:f>
        <x:v>0.7971088266832635</x:v>
      </x:c>
      <x:c r="I180" s="34" t="n">
        <x:f>-Assumptions!$B$10*E180</x:f>
        <x:v>1.3310923344892491</x:v>
      </x:c>
      <x:c r="J180" s="36" t="n">
        <x:f>IF(C180&lt;-F180,1,0)</x:f>
        <x:v>0</x:v>
      </x:c>
      <x:c r="K180" s="36" t="n">
        <x:f>IF(C180&lt;-G180,1,0)</x:f>
        <x:v>0</x:v>
      </x:c>
      <x:c r="L180" s="36" t="n">
        <x:f>IF(C180&lt;-H180,1,0)</x:f>
        <x:v>0</x:v>
      </x:c>
      <x:c r="M180" s="36" t="n">
        <x:f>IF(C180&lt;-I180,1,0)</x:f>
        <x:v>0</x:v>
      </x:c>
      <x:c r="N180" s="34" t="n">
        <x:f>-F180</x:f>
        <x:v>-0.8400086925726508</x:v>
      </x:c>
      <x:c r="O180" s="34" t="n">
        <x:f>-H180</x:f>
        <x:v>-0.7971088266832635</x:v>
      </x:c>
      <x:c r="P180" s="34" t="n">
        <x:f>-G180</x:f>
        <x:v>-1.1880403241496844</x:v>
      </x:c>
      <x:c r="Q180" s="34" t="n">
        <x:f>-I180</x:f>
        <x:v>-1.3310923344892491</x:v>
      </x:c>
      <x:c r="R180" s="36" t="n">
        <x:f>YEAR(A180)</x:f>
        <x:v>2021</x:v>
      </x:c>
    </x:row>
    <x:row r="181">
      <x:c r="A181" s="30" t="n">
        <x:v>44449</x:v>
      </x:c>
      <x:c r="B181" s="38" t="n">
        <x:v>4458.58</x:v>
      </x:c>
      <x:c r="C181" s="34" t="n">
        <x:f>(B181/B180-1)*100</x:f>
        <x:v>-0.7722643592208756</x:v>
      </x:c>
      <x:c r="D181" s="34" t="n">
        <x:f>Assumptions!$B$4*D180+(1-Assumptions!$B$4)*C180^2</x:f>
        <x:v>0.25788201186053417</x:v>
      </x:c>
      <x:c r="E181" s="34" t="n">
        <x:f>SQRT(D181)</x:f>
        <x:v>0.5078208462248612</x:v>
      </x:c>
      <x:c r="F181" s="34" t="n">
        <x:f>-Assumptions!$B$7*E181</x:f>
        <x:v>0.8352909607545291</x:v>
      </x:c>
      <x:c r="G181" s="34" t="n">
        <x:f>-Assumptions!$B$8*E181</x:f>
        <x:v>1.1813679460088264</x:v>
      </x:c>
      <x:c r="H181" s="34" t="n">
        <x:f>-Assumptions!$B$9*E181</x:f>
        <x:v>0.792632032922199</x:v>
      </x:c>
      <x:c r="I181" s="34" t="n">
        <x:f>-Assumptions!$B$10*E181</x:f>
        <x:v>1.3236165348757414</x:v>
      </x:c>
      <x:c r="J181" s="36" t="n">
        <x:f>IF(C181&lt;-F181,1,0)</x:f>
        <x:v>0</x:v>
      </x:c>
      <x:c r="K181" s="36" t="n">
        <x:f>IF(C181&lt;-G181,1,0)</x:f>
        <x:v>0</x:v>
      </x:c>
      <x:c r="L181" s="36" t="n">
        <x:f>IF(C181&lt;-H181,1,0)</x:f>
        <x:v>0</x:v>
      </x:c>
      <x:c r="M181" s="36" t="n">
        <x:f>IF(C181&lt;-I181,1,0)</x:f>
        <x:v>0</x:v>
      </x:c>
      <x:c r="N181" s="34" t="n">
        <x:f>-F181</x:f>
        <x:v>-0.8352909607545291</x:v>
      </x:c>
      <x:c r="O181" s="34" t="n">
        <x:f>-H181</x:f>
        <x:v>-0.792632032922199</x:v>
      </x:c>
      <x:c r="P181" s="34" t="n">
        <x:f>-G181</x:f>
        <x:v>-1.1813679460088264</x:v>
      </x:c>
      <x:c r="Q181" s="34" t="n">
        <x:f>-I181</x:f>
        <x:v>-1.3236165348757414</x:v>
      </x:c>
      <x:c r="R181" s="36" t="n">
        <x:f>YEAR(A181)</x:f>
        <x:v>2021</x:v>
      </x:c>
    </x:row>
    <x:row r="182">
      <x:c r="A182" s="30" t="n">
        <x:v>44452</x:v>
      </x:c>
      <x:c r="B182" s="38" t="n">
        <x:v>4468.73</x:v>
      </x:c>
      <x:c r="C182" s="34" t="n">
        <x:f>(B182/B181-1)*100</x:f>
        <x:v>0.22765095613401787</x:v>
      </x:c>
      <x:c r="D182" s="34" t="n">
        <x:f>Assumptions!$B$4*D181+(1-Assumptions!$B$4)*C181^2</x:f>
        <x:v>0.2781926255802719</x:v>
      </x:c>
      <x:c r="E182" s="34" t="n">
        <x:f>SQRT(D182)</x:f>
        <x:v>0.5274396890453655</x:v>
      </x:c>
      <x:c r="F182" s="34" t="n">
        <x:f>-Assumptions!$B$7*E182</x:f>
        <x:v>0.8675610855244266</x:v>
      </x:c>
      <x:c r="G182" s="34" t="n">
        <x:f>-Assumptions!$B$8*E182</x:f>
        <x:v>1.227008199295448</x:v>
      </x:c>
      <x:c r="H182" s="34" t="n">
        <x:f>-Assumptions!$B$9*E182</x:f>
        <x:v>0.823254098526634</x:v>
      </x:c>
      <x:c r="I182" s="34" t="n">
        <x:f>-Assumptions!$B$10*E182</x:f>
        <x:v>1.3747523339383292</x:v>
      </x:c>
      <x:c r="J182" s="36" t="n">
        <x:f>IF(C182&lt;-F182,1,0)</x:f>
        <x:v>0</x:v>
      </x:c>
      <x:c r="K182" s="36" t="n">
        <x:f>IF(C182&lt;-G182,1,0)</x:f>
        <x:v>0</x:v>
      </x:c>
      <x:c r="L182" s="36" t="n">
        <x:f>IF(C182&lt;-H182,1,0)</x:f>
        <x:v>0</x:v>
      </x:c>
      <x:c r="M182" s="36" t="n">
        <x:f>IF(C182&lt;-I182,1,0)</x:f>
        <x:v>0</x:v>
      </x:c>
      <x:c r="N182" s="34" t="n">
        <x:f>-F182</x:f>
        <x:v>-0.8675610855244266</x:v>
      </x:c>
      <x:c r="O182" s="34" t="n">
        <x:f>-H182</x:f>
        <x:v>-0.823254098526634</x:v>
      </x:c>
      <x:c r="P182" s="34" t="n">
        <x:f>-G182</x:f>
        <x:v>-1.227008199295448</x:v>
      </x:c>
      <x:c r="Q182" s="34" t="n">
        <x:f>-I182</x:f>
        <x:v>-1.3747523339383292</x:v>
      </x:c>
      <x:c r="R182" s="36" t="n">
        <x:f>YEAR(A182)</x:f>
        <x:v>2021</x:v>
      </x:c>
    </x:row>
    <x:row r="183">
      <x:c r="A183" s="30" t="n">
        <x:v>44453</x:v>
      </x:c>
      <x:c r="B183" s="38" t="n">
        <x:v>4443.05</x:v>
      </x:c>
      <x:c r="C183" s="34" t="n">
        <x:f>(B183/B182-1)*100</x:f>
        <x:v>-0.574659914561837</x:v>
      </x:c>
      <x:c r="D183" s="34" t="n">
        <x:f>Assumptions!$B$4*D182+(1-Assumptions!$B$4)*C182^2</x:f>
        <x:v>0.26461056551517953</x:v>
      </x:c>
      <x:c r="E183" s="34" t="n">
        <x:f>SQRT(D183)</x:f>
        <x:v>0.5144031157712592</x:v>
      </x:c>
      <x:c r="F183" s="34" t="n">
        <x:f>-Assumptions!$B$7*E183</x:f>
        <x:v>0.846117830691494</x:v>
      </x:c>
      <x:c r="G183" s="34" t="n">
        <x:f>-Assumptions!$B$8*E183</x:f>
        <x:v>1.196680594774453</x:v>
      </x:c>
      <x:c r="H183" s="34" t="n">
        <x:f>-Assumptions!$B$9*E183</x:f>
        <x:v>0.8029059665950461</x:v>
      </x:c>
      <x:c r="I183" s="34" t="n">
        <x:f>-Assumptions!$B$10*E183</x:f>
        <x:v>1.3407729806447353</x:v>
      </x:c>
      <x:c r="J183" s="36" t="n">
        <x:f>IF(C183&lt;-F183,1,0)</x:f>
        <x:v>0</x:v>
      </x:c>
      <x:c r="K183" s="36" t="n">
        <x:f>IF(C183&lt;-G183,1,0)</x:f>
        <x:v>0</x:v>
      </x:c>
      <x:c r="L183" s="36" t="n">
        <x:f>IF(C183&lt;-H183,1,0)</x:f>
        <x:v>0</x:v>
      </x:c>
      <x:c r="M183" s="36" t="n">
        <x:f>IF(C183&lt;-I183,1,0)</x:f>
        <x:v>0</x:v>
      </x:c>
      <x:c r="N183" s="34" t="n">
        <x:f>-F183</x:f>
        <x:v>-0.846117830691494</x:v>
      </x:c>
      <x:c r="O183" s="34" t="n">
        <x:f>-H183</x:f>
        <x:v>-0.8029059665950461</x:v>
      </x:c>
      <x:c r="P183" s="34" t="n">
        <x:f>-G183</x:f>
        <x:v>-1.196680594774453</x:v>
      </x:c>
      <x:c r="Q183" s="34" t="n">
        <x:f>-I183</x:f>
        <x:v>-1.3407729806447353</x:v>
      </x:c>
      <x:c r="R183" s="36" t="n">
        <x:f>YEAR(A183)</x:f>
        <x:v>2021</x:v>
      </x:c>
    </x:row>
    <x:row r="184">
      <x:c r="A184" s="30" t="n">
        <x:v>44454</x:v>
      </x:c>
      <x:c r="B184" s="38" t="n">
        <x:v>4480.7</x:v>
      </x:c>
      <x:c r="C184" s="34" t="n">
        <x:f>(B184/B183-1)*100</x:f>
        <x:v>0.8473908688851006</x:v>
      </x:c>
      <x:c r="D184" s="34" t="n">
        <x:f>Assumptions!$B$4*D183+(1-Assumptions!$B$4)*C183^2</x:f>
        <x:v>0.2685479726285218</x:v>
      </x:c>
      <x:c r="E184" s="34" t="n">
        <x:f>SQRT(D184)</x:f>
        <x:v>0.5182161447007627</x:v>
      </x:c>
      <x:c r="F184" s="34" t="n">
        <x:f>-Assumptions!$B$7*E184</x:f>
        <x:v>0.8523897051558589</x:v>
      </x:c>
      <x:c r="G184" s="34" t="n">
        <x:f>-Assumptions!$B$8*E184</x:f>
        <x:v>1.2055510265182598</x:v>
      </x:c>
      <x:c r="H184" s="34" t="n">
        <x:f>-Assumptions!$B$9*E184</x:f>
        <x:v>0.808857531786691</x:v>
      </x:c>
      <x:c r="I184" s="34" t="n">
        <x:f>-Assumptions!$B$10*E184</x:f>
        <x:v>1.3507115016341151</x:v>
      </x:c>
      <x:c r="J184" s="36" t="n">
        <x:f>IF(C184&lt;-F184,1,0)</x:f>
        <x:v>0</x:v>
      </x:c>
      <x:c r="K184" s="36" t="n">
        <x:f>IF(C184&lt;-G184,1,0)</x:f>
        <x:v>0</x:v>
      </x:c>
      <x:c r="L184" s="36" t="n">
        <x:f>IF(C184&lt;-H184,1,0)</x:f>
        <x:v>0</x:v>
      </x:c>
      <x:c r="M184" s="36" t="n">
        <x:f>IF(C184&lt;-I184,1,0)</x:f>
        <x:v>0</x:v>
      </x:c>
      <x:c r="N184" s="34" t="n">
        <x:f>-F184</x:f>
        <x:v>-0.8523897051558589</x:v>
      </x:c>
      <x:c r="O184" s="34" t="n">
        <x:f>-H184</x:f>
        <x:v>-0.808857531786691</x:v>
      </x:c>
      <x:c r="P184" s="34" t="n">
        <x:f>-G184</x:f>
        <x:v>-1.2055510265182598</x:v>
      </x:c>
      <x:c r="Q184" s="34" t="n">
        <x:f>-I184</x:f>
        <x:v>-1.3507115016341151</x:v>
      </x:c>
      <x:c r="R184" s="36" t="n">
        <x:f>YEAR(A184)</x:f>
        <x:v>2021</x:v>
      </x:c>
    </x:row>
    <x:row r="185">
      <x:c r="A185" s="30" t="n">
        <x:v>44455</x:v>
      </x:c>
      <x:c r="B185" s="38" t="n">
        <x:v>4473.75</x:v>
      </x:c>
      <x:c r="C185" s="34" t="n">
        <x:f>(B185/B184-1)*100</x:f>
        <x:v>-0.15510969268194286</x:v>
      </x:c>
      <x:c r="D185" s="34" t="n">
        <x:f>Assumptions!$B$4*D184+(1-Assumptions!$B$4)*C184^2</x:f>
        <x:v>0.2955193713510013</x:v>
      </x:c>
      <x:c r="E185" s="34" t="n">
        <x:f>SQRT(D185)</x:f>
        <x:v>0.5436169343857873</x:v>
      </x:c>
      <x:c r="F185" s="34" t="n">
        <x:f>-Assumptions!$B$7*E185</x:f>
        <x:v>0.894170286196703</x:v>
      </x:c>
      <x:c r="G185" s="34" t="n">
        <x:f>-Assumptions!$B$8*E185</x:f>
        <x:v>1.2646420996009753</x:v>
      </x:c>
      <x:c r="H185" s="34" t="n">
        <x:f>-Assumptions!$B$9*E185</x:f>
        <x:v>0.8485043476185783</x:v>
      </x:c>
      <x:c r="I185" s="34" t="n">
        <x:f>-Assumptions!$B$10*E185</x:f>
        <x:v>1.4169177345525497</x:v>
      </x:c>
      <x:c r="J185" s="36" t="n">
        <x:f>IF(C185&lt;-F185,1,0)</x:f>
        <x:v>0</x:v>
      </x:c>
      <x:c r="K185" s="36" t="n">
        <x:f>IF(C185&lt;-G185,1,0)</x:f>
        <x:v>0</x:v>
      </x:c>
      <x:c r="L185" s="36" t="n">
        <x:f>IF(C185&lt;-H185,1,0)</x:f>
        <x:v>0</x:v>
      </x:c>
      <x:c r="M185" s="36" t="n">
        <x:f>IF(C185&lt;-I185,1,0)</x:f>
        <x:v>0</x:v>
      </x:c>
      <x:c r="N185" s="34" t="n">
        <x:f>-F185</x:f>
        <x:v>-0.894170286196703</x:v>
      </x:c>
      <x:c r="O185" s="34" t="n">
        <x:f>-H185</x:f>
        <x:v>-0.8485043476185783</x:v>
      </x:c>
      <x:c r="P185" s="34" t="n">
        <x:f>-G185</x:f>
        <x:v>-1.2646420996009753</x:v>
      </x:c>
      <x:c r="Q185" s="34" t="n">
        <x:f>-I185</x:f>
        <x:v>-1.4169177345525497</x:v>
      </x:c>
      <x:c r="R185" s="36" t="n">
        <x:f>YEAR(A185)</x:f>
        <x:v>2021</x:v>
      </x:c>
    </x:row>
    <x:row r="186">
      <x:c r="A186" s="30" t="n">
        <x:v>44456</x:v>
      </x:c>
      <x:c r="B186" s="38" t="n">
        <x:v>4432.99</x:v>
      </x:c>
      <x:c r="C186" s="34" t="n">
        <x:f>(B186/B185-1)*100</x:f>
        <x:v>-0.9110924839340617</x:v>
      </x:c>
      <x:c r="D186" s="34" t="n">
        <x:f>Assumptions!$B$4*D185+(1-Assumptions!$B$4)*C185^2</x:f>
        <x:v>0.27923175007577444</x:v>
      </x:c>
      <x:c r="E186" s="34" t="n">
        <x:f>SQRT(D186)</x:f>
        <x:v>0.528423835643108</x:v>
      </x:c>
      <x:c r="F186" s="34" t="n">
        <x:f>-Assumptions!$B$7*E186</x:f>
        <x:v>0.8691798626251752</x:v>
      </x:c>
      <x:c r="G186" s="34" t="n">
        <x:f>-Assumptions!$B$8*E186</x:f>
        <x:v>1.2292976666408508</x:v>
      </x:c>
      <x:c r="H186" s="34" t="n">
        <x:f>-Assumptions!$B$9*E186</x:f>
        <x:v>0.8247902034822716</x:v>
      </x:c>
      <x:c r="I186" s="34" t="n">
        <x:f>-Assumptions!$B$10*E186</x:f>
        <x:v>1.377317476191148</x:v>
      </x:c>
      <x:c r="J186" s="36" t="n">
        <x:f>IF(C186&lt;-F186,1,0)</x:f>
        <x:v>1</x:v>
      </x:c>
      <x:c r="K186" s="36" t="n">
        <x:f>IF(C186&lt;-G186,1,0)</x:f>
        <x:v>0</x:v>
      </x:c>
      <x:c r="L186" s="36" t="n">
        <x:f>IF(C186&lt;-H186,1,0)</x:f>
        <x:v>1</x:v>
      </x:c>
      <x:c r="M186" s="36" t="n">
        <x:f>IF(C186&lt;-I186,1,0)</x:f>
        <x:v>0</x:v>
      </x:c>
      <x:c r="N186" s="34" t="n">
        <x:f>-F186</x:f>
        <x:v>-0.8691798626251752</x:v>
      </x:c>
      <x:c r="O186" s="34" t="n">
        <x:f>-H186</x:f>
        <x:v>-0.8247902034822716</x:v>
      </x:c>
      <x:c r="P186" s="34" t="n">
        <x:f>-G186</x:f>
        <x:v>-1.2292976666408508</x:v>
      </x:c>
      <x:c r="Q186" s="34" t="n">
        <x:f>-I186</x:f>
        <x:v>-1.377317476191148</x:v>
      </x:c>
      <x:c r="R186" s="36" t="n">
        <x:f>YEAR(A186)</x:f>
        <x:v>2021</x:v>
      </x:c>
    </x:row>
    <x:row r="187">
      <x:c r="A187" s="30" t="n">
        <x:v>44459</x:v>
      </x:c>
      <x:c r="B187" s="38" t="n">
        <x:v>4357.73</x:v>
      </x:c>
      <x:c r="C187" s="34" t="n">
        <x:f>(B187/B186-1)*100</x:f>
        <x:v>-1.6977254629493954</x:v>
      </x:c>
      <x:c r="D187" s="34" t="n">
        <x:f>Assumptions!$B$4*D186+(1-Assumptions!$B$4)*C186^2</x:f>
        <x:v>0.3122832159280963</x:v>
      </x:c>
      <x:c r="E187" s="34" t="n">
        <x:f>SQRT(D187)</x:f>
        <x:v>0.5588230631676687</x:v>
      </x:c>
      <x:c r="F187" s="34" t="n">
        <x:f>-Assumptions!$B$7*E187</x:f>
        <x:v>0.9191821422754719</x:v>
      </x:c>
      <x:c r="G187" s="34" t="n">
        <x:f>-Assumptions!$B$8*E187</x:f>
        <x:v>1.3000168449650964</x:v>
      </x:c>
      <x:c r="H187" s="34" t="n">
        <x:f>-Assumptions!$B$9*E187</x:f>
        <x:v>0.8722388296881121</x:v>
      </x:c>
      <x:c r="I187" s="34" t="n">
        <x:f>-Assumptions!$B$10*E187</x:f>
        <x:v>1.4565519552364243</x:v>
      </x:c>
      <x:c r="J187" s="36" t="n">
        <x:f>IF(C187&lt;-F187,1,0)</x:f>
        <x:v>1</x:v>
      </x:c>
      <x:c r="K187" s="36" t="n">
        <x:f>IF(C187&lt;-G187,1,0)</x:f>
        <x:v>1</x:v>
      </x:c>
      <x:c r="L187" s="36" t="n">
        <x:f>IF(C187&lt;-H187,1,0)</x:f>
        <x:v>1</x:v>
      </x:c>
      <x:c r="M187" s="36" t="n">
        <x:f>IF(C187&lt;-I187,1,0)</x:f>
        <x:v>1</x:v>
      </x:c>
      <x:c r="N187" s="34" t="n">
        <x:f>-F187</x:f>
        <x:v>-0.9191821422754719</x:v>
      </x:c>
      <x:c r="O187" s="34" t="n">
        <x:f>-H187</x:f>
        <x:v>-0.8722388296881121</x:v>
      </x:c>
      <x:c r="P187" s="34" t="n">
        <x:f>-G187</x:f>
        <x:v>-1.3000168449650964</x:v>
      </x:c>
      <x:c r="Q187" s="34" t="n">
        <x:f>-I187</x:f>
        <x:v>-1.4565519552364243</x:v>
      </x:c>
      <x:c r="R187" s="36" t="n">
        <x:f>YEAR(A187)</x:f>
        <x:v>2021</x:v>
      </x:c>
    </x:row>
    <x:row r="188">
      <x:c r="A188" s="30" t="n">
        <x:v>44460</x:v>
      </x:c>
      <x:c r="B188" s="38" t="n">
        <x:v>4354.19</x:v>
      </x:c>
      <x:c r="C188" s="34" t="n">
        <x:f>(B188/B187-1)*100</x:f>
        <x:v>-0.08123495489623656</x:v>
      </x:c>
      <x:c r="D188" s="34" t="n">
        <x:f>Assumptions!$B$4*D187+(1-Assumptions!$B$4)*C187^2</x:f>
        <x:v>0.466482527825215</x:v>
      </x:c>
      <x:c r="E188" s="34" t="n">
        <x:f>SQRT(D188)</x:f>
        <x:v>0.6829952619346747</x:v>
      </x:c>
      <x:c r="F188" s="34" t="n">
        <x:f>-Assumptions!$B$7*E188</x:f>
        <x:v>1.123427233783921</x:v>
      </x:c>
      <x:c r="G188" s="34" t="n">
        <x:f>-Assumptions!$B$8*E188</x:f>
        <x:v>1.5888845755816974</x:v>
      </x:c>
      <x:c r="H188" s="34" t="n">
        <x:f>-Assumptions!$B$9*E188</x:f>
        <x:v>1.0660529731459607</x:v>
      </x:c>
      <x:c r="I188" s="34" t="n">
        <x:f>-Assumptions!$B$10*E188</x:f>
        <x:v>1.7802022675103517</x:v>
      </x:c>
      <x:c r="J188" s="36" t="n">
        <x:f>IF(C188&lt;-F188,1,0)</x:f>
        <x:v>0</x:v>
      </x:c>
      <x:c r="K188" s="36" t="n">
        <x:f>IF(C188&lt;-G188,1,0)</x:f>
        <x:v>0</x:v>
      </x:c>
      <x:c r="L188" s="36" t="n">
        <x:f>IF(C188&lt;-H188,1,0)</x:f>
        <x:v>0</x:v>
      </x:c>
      <x:c r="M188" s="36" t="n">
        <x:f>IF(C188&lt;-I188,1,0)</x:f>
        <x:v>0</x:v>
      </x:c>
      <x:c r="N188" s="34" t="n">
        <x:f>-F188</x:f>
        <x:v>-1.123427233783921</x:v>
      </x:c>
      <x:c r="O188" s="34" t="n">
        <x:f>-H188</x:f>
        <x:v>-1.0660529731459607</x:v>
      </x:c>
      <x:c r="P188" s="34" t="n">
        <x:f>-G188</x:f>
        <x:v>-1.5888845755816974</x:v>
      </x:c>
      <x:c r="Q188" s="34" t="n">
        <x:f>-I188</x:f>
        <x:v>-1.7802022675103517</x:v>
      </x:c>
      <x:c r="R188" s="36" t="n">
        <x:f>YEAR(A188)</x:f>
        <x:v>2021</x:v>
      </x:c>
    </x:row>
    <x:row r="189">
      <x:c r="A189" s="30" t="n">
        <x:v>44461</x:v>
      </x:c>
      <x:c r="B189" s="38" t="n">
        <x:v>4395.64</x:v>
      </x:c>
      <x:c r="C189" s="34" t="n">
        <x:f>(B189/B188-1)*100</x:f>
        <x:v>0.9519566210937302</x:v>
      </x:c>
      <x:c r="D189" s="34" t="n">
        <x:f>Assumptions!$B$4*D188+(1-Assumptions!$B$4)*C188^2</x:f>
        <x:v>0.4388895232295217</x:v>
      </x:c>
      <x:c r="E189" s="34" t="n">
        <x:f>SQRT(D189)</x:f>
        <x:v>0.6624873759020029</x:v>
      </x:c>
      <x:c r="F189" s="34" t="n">
        <x:f>-Assumptions!$B$7*E189</x:f>
        <x:v>1.0896947630619733</x:v>
      </x:c>
      <x:c r="G189" s="34" t="n">
        <x:f>-Assumptions!$B$8*E189</x:f>
        <x:v>1.5411760985085194</x:v>
      </x:c>
      <x:c r="H189" s="34" t="n">
        <x:f>-Assumptions!$B$9*E189</x:f>
        <x:v>1.0340432446799976</x:v>
      </x:c>
      <x:c r="I189" s="34" t="n">
        <x:f>-Assumptions!$B$10*E189</x:f>
        <x:v>1.7267492097046622</x:v>
      </x:c>
      <x:c r="J189" s="36" t="n">
        <x:f>IF(C189&lt;-F189,1,0)</x:f>
        <x:v>0</x:v>
      </x:c>
      <x:c r="K189" s="36" t="n">
        <x:f>IF(C189&lt;-G189,1,0)</x:f>
        <x:v>0</x:v>
      </x:c>
      <x:c r="L189" s="36" t="n">
        <x:f>IF(C189&lt;-H189,1,0)</x:f>
        <x:v>0</x:v>
      </x:c>
      <x:c r="M189" s="36" t="n">
        <x:f>IF(C189&lt;-I189,1,0)</x:f>
        <x:v>0</x:v>
      </x:c>
      <x:c r="N189" s="34" t="n">
        <x:f>-F189</x:f>
        <x:v>-1.0896947630619733</x:v>
      </x:c>
      <x:c r="O189" s="34" t="n">
        <x:f>-H189</x:f>
        <x:v>-1.0340432446799976</x:v>
      </x:c>
      <x:c r="P189" s="34" t="n">
        <x:f>-G189</x:f>
        <x:v>-1.5411760985085194</x:v>
      </x:c>
      <x:c r="Q189" s="34" t="n">
        <x:f>-I189</x:f>
        <x:v>-1.7267492097046622</x:v>
      </x:c>
      <x:c r="R189" s="36" t="n">
        <x:f>YEAR(A189)</x:f>
        <x:v>2021</x:v>
      </x:c>
    </x:row>
    <x:row r="190">
      <x:c r="A190" s="30" t="n">
        <x:v>44462</x:v>
      </x:c>
      <x:c r="B190" s="38" t="n">
        <x:v>4448.98</x:v>
      </x:c>
      <x:c r="C190" s="34" t="n">
        <x:f>(B190/B189-1)*100</x:f>
        <x:v>1.2134751708511082</x:v>
      </x:c>
      <x:c r="D190" s="34" t="n">
        <x:f>Assumptions!$B$4*D189+(1-Assumptions!$B$4)*C189^2</x:f>
        <x:v>0.4669294363424019</x:v>
      </x:c>
      <x:c r="E190" s="34" t="n">
        <x:f>SQRT(D190)</x:f>
        <x:v>0.6833223517070124</x:v>
      </x:c>
      <x:c r="F190" s="34" t="n">
        <x:f>-Assumptions!$B$7*E190</x:f>
        <x:v>1.1239652485822893</x:v>
      </x:c>
      <x:c r="G190" s="34" t="n">
        <x:f>-Assumptions!$B$8*E190</x:f>
        <x:v>1.5896455001781957</x:v>
      </x:c>
      <x:c r="H190" s="34" t="n">
        <x:f>-Assumptions!$B$9*E190</x:f>
        <x:v>1.0665635111302192</x:v>
      </x:c>
      <x:c r="I190" s="34" t="n">
        <x:f>-Assumptions!$B$10*E190</x:f>
        <x:v>1.7810548150854923</x:v>
      </x:c>
      <x:c r="J190" s="36" t="n">
        <x:f>IF(C190&lt;-F190,1,0)</x:f>
        <x:v>0</x:v>
      </x:c>
      <x:c r="K190" s="36" t="n">
        <x:f>IF(C190&lt;-G190,1,0)</x:f>
        <x:v>0</x:v>
      </x:c>
      <x:c r="L190" s="36" t="n">
        <x:f>IF(C190&lt;-H190,1,0)</x:f>
        <x:v>0</x:v>
      </x:c>
      <x:c r="M190" s="36" t="n">
        <x:f>IF(C190&lt;-I190,1,0)</x:f>
        <x:v>0</x:v>
      </x:c>
      <x:c r="N190" s="34" t="n">
        <x:f>-F190</x:f>
        <x:v>-1.1239652485822893</x:v>
      </x:c>
      <x:c r="O190" s="34" t="n">
        <x:f>-H190</x:f>
        <x:v>-1.0665635111302192</x:v>
      </x:c>
      <x:c r="P190" s="34" t="n">
        <x:f>-G190</x:f>
        <x:v>-1.5896455001781957</x:v>
      </x:c>
      <x:c r="Q190" s="34" t="n">
        <x:f>-I190</x:f>
        <x:v>-1.7810548150854923</x:v>
      </x:c>
      <x:c r="R190" s="36" t="n">
        <x:f>YEAR(A190)</x:f>
        <x:v>2021</x:v>
      </x:c>
    </x:row>
    <x:row r="191">
      <x:c r="A191" s="30" t="n">
        <x:v>44463</x:v>
      </x:c>
      <x:c r="B191" s="38" t="n">
        <x:v>4455.48</x:v>
      </x:c>
      <x:c r="C191" s="34" t="n">
        <x:f>(B191/B190-1)*100</x:f>
        <x:v>0.14610090402744635</x:v>
      </x:c>
      <x:c r="D191" s="34" t="n">
        <x:f>Assumptions!$B$4*D190+(1-Assumptions!$B$4)*C190^2</x:f>
        <x:v>0.5272649895781855</x:v>
      </x:c>
      <x:c r="E191" s="34" t="n">
        <x:f>SQRT(D191)</x:f>
        <x:v>0.7261301464463416</x:v>
      </x:c>
      <x:c r="F191" s="34" t="n">
        <x:f>-Assumptions!$B$7*E191</x:f>
        <x:v>1.194377805021069</x:v>
      </x:c>
      <x:c r="G191" s="34" t="n">
        <x:f>-Assumptions!$B$8*E191</x:f>
        <x:v>1.6892313224624107</x:v>
      </x:c>
      <x:c r="H191" s="34" t="n">
        <x:f>-Assumptions!$B$9*E191</x:f>
        <x:v>1.1333800461767665</x:v>
      </x:c>
      <x:c r="I191" s="34" t="n">
        <x:f>-Assumptions!$B$10*E191</x:f>
        <x:v>1.892631772510067</x:v>
      </x:c>
      <x:c r="J191" s="36" t="n">
        <x:f>IF(C191&lt;-F191,1,0)</x:f>
        <x:v>0</x:v>
      </x:c>
      <x:c r="K191" s="36" t="n">
        <x:f>IF(C191&lt;-G191,1,0)</x:f>
        <x:v>0</x:v>
      </x:c>
      <x:c r="L191" s="36" t="n">
        <x:f>IF(C191&lt;-H191,1,0)</x:f>
        <x:v>0</x:v>
      </x:c>
      <x:c r="M191" s="36" t="n">
        <x:f>IF(C191&lt;-I191,1,0)</x:f>
        <x:v>0</x:v>
      </x:c>
      <x:c r="N191" s="34" t="n">
        <x:f>-F191</x:f>
        <x:v>-1.194377805021069</x:v>
      </x:c>
      <x:c r="O191" s="34" t="n">
        <x:f>-H191</x:f>
        <x:v>-1.1333800461767665</x:v>
      </x:c>
      <x:c r="P191" s="34" t="n">
        <x:f>-G191</x:f>
        <x:v>-1.6892313224624107</x:v>
      </x:c>
      <x:c r="Q191" s="34" t="n">
        <x:f>-I191</x:f>
        <x:v>-1.892631772510067</x:v>
      </x:c>
      <x:c r="R191" s="36" t="n">
        <x:f>YEAR(A191)</x:f>
        <x:v>2021</x:v>
      </x:c>
    </x:row>
    <x:row r="192">
      <x:c r="A192" s="30" t="n">
        <x:v>44466</x:v>
      </x:c>
      <x:c r="B192" s="38" t="n">
        <x:v>4443.11</x:v>
      </x:c>
      <x:c r="C192" s="34" t="n">
        <x:f>(B192/B191-1)*100</x:f>
        <x:v>-0.27763563072890074</x:v>
      </x:c>
      <x:c r="D192" s="34" t="n">
        <x:f>Assumptions!$B$4*D191+(1-Assumptions!$B$4)*C191^2</x:f>
        <x:v>0.49690981865295253</x:v>
      </x:c>
      <x:c r="E192" s="34" t="n">
        <x:f>SQRT(D192)</x:f>
        <x:v>0.7049183063681582</x:v>
      </x:c>
      <x:c r="F192" s="34" t="n">
        <x:f>-Assumptions!$B$7*E192</x:f>
        <x:v>1.1594874329341547</x:v>
      </x:c>
      <x:c r="G192" s="34" t="n">
        <x:f>-Assumptions!$B$8*E192</x:f>
        <x:v>1.6398852033920346</x:v>
      </x:c>
      <x:c r="H192" s="34" t="n">
        <x:f>-Assumptions!$B$9*E192</x:f>
        <x:v>1.1002715512258792</x:v>
      </x:c>
      <x:c r="I192" s="34" t="n">
        <x:f>-Assumptions!$B$10*E192</x:f>
        <x:v>1.8373438841310394</x:v>
      </x:c>
      <x:c r="J192" s="36" t="n">
        <x:f>IF(C192&lt;-F192,1,0)</x:f>
        <x:v>0</x:v>
      </x:c>
      <x:c r="K192" s="36" t="n">
        <x:f>IF(C192&lt;-G192,1,0)</x:f>
        <x:v>0</x:v>
      </x:c>
      <x:c r="L192" s="36" t="n">
        <x:f>IF(C192&lt;-H192,1,0)</x:f>
        <x:v>0</x:v>
      </x:c>
      <x:c r="M192" s="36" t="n">
        <x:f>IF(C192&lt;-I192,1,0)</x:f>
        <x:v>0</x:v>
      </x:c>
      <x:c r="N192" s="34" t="n">
        <x:f>-F192</x:f>
        <x:v>-1.1594874329341547</x:v>
      </x:c>
      <x:c r="O192" s="34" t="n">
        <x:f>-H192</x:f>
        <x:v>-1.1002715512258792</x:v>
      </x:c>
      <x:c r="P192" s="34" t="n">
        <x:f>-G192</x:f>
        <x:v>-1.6398852033920346</x:v>
      </x:c>
      <x:c r="Q192" s="34" t="n">
        <x:f>-I192</x:f>
        <x:v>-1.8373438841310394</x:v>
      </x:c>
      <x:c r="R192" s="36" t="n">
        <x:f>YEAR(A192)</x:f>
        <x:v>2021</x:v>
      </x:c>
    </x:row>
    <x:row r="193">
      <x:c r="A193" s="30" t="n">
        <x:v>44467</x:v>
      </x:c>
      <x:c r="B193" s="38" t="n">
        <x:v>4352.63</x:v>
      </x:c>
      <x:c r="C193" s="34" t="n">
        <x:f>(B193/B192-1)*100</x:f>
        <x:v>-2.0364114325326033</x:v>
      </x:c>
      <x:c r="D193" s="34" t="n">
        <x:f>Assumptions!$B$4*D192+(1-Assumptions!$B$4)*C192^2</x:f>
        <x:v>0.47172012214078946</x:v>
      </x:c>
      <x:c r="E193" s="34" t="n">
        <x:f>SQRT(D193)</x:f>
        <x:v>0.6868188423018033</x:v>
      </x:c>
      <x:c r="F193" s="34" t="n">
        <x:f>-Assumptions!$B$7*E193</x:f>
        <x:v>1.129716463818733</x:v>
      </x:c>
      <x:c r="G193" s="34" t="n">
        <x:f>-Assumptions!$B$8*E193</x:f>
        <x:v>1.5977795536399915</x:v>
      </x:c>
      <x:c r="H193" s="34" t="n">
        <x:f>-Assumptions!$B$9*E193</x:f>
        <x:v>1.0720210075462195</x:v>
      </x:c>
      <x:c r="I193" s="34" t="n">
        <x:f>-Assumptions!$B$10*E193</x:f>
        <x:v>1.7901682904374938</x:v>
      </x:c>
      <x:c r="J193" s="36" t="n">
        <x:f>IF(C193&lt;-F193,1,0)</x:f>
        <x:v>1</x:v>
      </x:c>
      <x:c r="K193" s="36" t="n">
        <x:f>IF(C193&lt;-G193,1,0)</x:f>
        <x:v>1</x:v>
      </x:c>
      <x:c r="L193" s="36" t="n">
        <x:f>IF(C193&lt;-H193,1,0)</x:f>
        <x:v>1</x:v>
      </x:c>
      <x:c r="M193" s="36" t="n">
        <x:f>IF(C193&lt;-I193,1,0)</x:f>
        <x:v>1</x:v>
      </x:c>
      <x:c r="N193" s="34" t="n">
        <x:f>-F193</x:f>
        <x:v>-1.129716463818733</x:v>
      </x:c>
      <x:c r="O193" s="34" t="n">
        <x:f>-H193</x:f>
        <x:v>-1.0720210075462195</x:v>
      </x:c>
      <x:c r="P193" s="34" t="n">
        <x:f>-G193</x:f>
        <x:v>-1.5977795536399915</x:v>
      </x:c>
      <x:c r="Q193" s="34" t="n">
        <x:f>-I193</x:f>
        <x:v>-1.7901682904374938</x:v>
      </x:c>
      <x:c r="R193" s="36" t="n">
        <x:f>YEAR(A193)</x:f>
        <x:v>2021</x:v>
      </x:c>
    </x:row>
    <x:row r="194">
      <x:c r="A194" s="30" t="n">
        <x:v>44468</x:v>
      </x:c>
      <x:c r="B194" s="38" t="n">
        <x:v>4359.46</x:v>
      </x:c>
      <x:c r="C194" s="34" t="n">
        <x:f>(B194/B193-1)*100</x:f>
        <x:v>0.1569166228234442</x:v>
      </x:c>
      <x:c r="D194" s="34" t="n">
        <x:f>Assumptions!$B$4*D193+(1-Assumptions!$B$4)*C193^2</x:f>
        <x:v>0.6922352061653116</x:v>
      </x:c>
      <x:c r="E194" s="34" t="n">
        <x:f>SQRT(D194)</x:f>
        <x:v>0.8320067344470906</x:v>
      </x:c>
      <x:c r="F194" s="34" t="n">
        <x:f>-Assumptions!$B$7*E194</x:f>
        <x:v>1.3685292948033478</x:v>
      </x:c>
      <x:c r="G194" s="34" t="n">
        <x:f>-Assumptions!$B$8*E194</x:f>
        <x:v>1.9355370978686512</x:v>
      </x:c>
      <x:c r="H194" s="34" t="n">
        <x:f>-Assumptions!$B$9*E194</x:f>
        <x:v>1.2986374904305216</x:v>
      </x:c>
      <x:c r="I194" s="34" t="n">
        <x:f>-Assumptions!$B$10*E194</x:f>
        <x:v>2.168595241863124</x:v>
      </x:c>
      <x:c r="J194" s="36" t="n">
        <x:f>IF(C194&lt;-F194,1,0)</x:f>
        <x:v>0</x:v>
      </x:c>
      <x:c r="K194" s="36" t="n">
        <x:f>IF(C194&lt;-G194,1,0)</x:f>
        <x:v>0</x:v>
      </x:c>
      <x:c r="L194" s="36" t="n">
        <x:f>IF(C194&lt;-H194,1,0)</x:f>
        <x:v>0</x:v>
      </x:c>
      <x:c r="M194" s="36" t="n">
        <x:f>IF(C194&lt;-I194,1,0)</x:f>
        <x:v>0</x:v>
      </x:c>
      <x:c r="N194" s="34" t="n">
        <x:f>-F194</x:f>
        <x:v>-1.3685292948033478</x:v>
      </x:c>
      <x:c r="O194" s="34" t="n">
        <x:f>-H194</x:f>
        <x:v>-1.2986374904305216</x:v>
      </x:c>
      <x:c r="P194" s="34" t="n">
        <x:f>-G194</x:f>
        <x:v>-1.9355370978686512</x:v>
      </x:c>
      <x:c r="Q194" s="34" t="n">
        <x:f>-I194</x:f>
        <x:v>-2.168595241863124</x:v>
      </x:c>
      <x:c r="R194" s="36" t="n">
        <x:f>YEAR(A194)</x:f>
        <x:v>2021</x:v>
      </x:c>
    </x:row>
    <x:row r="195">
      <x:c r="A195" s="30" t="n">
        <x:v>44469</x:v>
      </x:c>
      <x:c r="B195" s="38" t="n">
        <x:v>4307.54</x:v>
      </x:c>
      <x:c r="C195" s="34" t="n">
        <x:f>(B195/B194-1)*100</x:f>
        <x:v>-1.1909731939276913</x:v>
      </x:c>
      <x:c r="D195" s="34" t="n">
        <x:f>Assumptions!$B$4*D194+(1-Assumptions!$B$4)*C194^2</x:f>
        <x:v>0.6521784633864918</x:v>
      </x:c>
      <x:c r="E195" s="34" t="n">
        <x:f>SQRT(D195)</x:f>
        <x:v>0.8075756703780097</x:v>
      </x:c>
      <x:c r="F195" s="34" t="n">
        <x:f>-Assumptions!$B$7*E195</x:f>
        <x:v>1.3283437704590364</x:v>
      </x:c>
      <x:c r="G195" s="34" t="n">
        <x:f>-Assumptions!$B$8*E195</x:f>
        <x:v>1.8787019439109893</x:v>
      </x:c>
      <x:c r="H195" s="34" t="n">
        <x:f>-Assumptions!$B$9*E195</x:f>
        <x:v>1.2605042705686622</x:v>
      </x:c>
      <x:c r="I195" s="34" t="n">
        <x:f>-Assumptions!$B$10*E195</x:f>
        <x:v>2.1049165634338314</x:v>
      </x:c>
      <x:c r="J195" s="36" t="n">
        <x:f>IF(C195&lt;-F195,1,0)</x:f>
        <x:v>0</x:v>
      </x:c>
      <x:c r="K195" s="36" t="n">
        <x:f>IF(C195&lt;-G195,1,0)</x:f>
        <x:v>0</x:v>
      </x:c>
      <x:c r="L195" s="36" t="n">
        <x:f>IF(C195&lt;-H195,1,0)</x:f>
        <x:v>0</x:v>
      </x:c>
      <x:c r="M195" s="36" t="n">
        <x:f>IF(C195&lt;-I195,1,0)</x:f>
        <x:v>0</x:v>
      </x:c>
      <x:c r="N195" s="34" t="n">
        <x:f>-F195</x:f>
        <x:v>-1.3283437704590364</x:v>
      </x:c>
      <x:c r="O195" s="34" t="n">
        <x:f>-H195</x:f>
        <x:v>-1.2605042705686622</x:v>
      </x:c>
      <x:c r="P195" s="34" t="n">
        <x:f>-G195</x:f>
        <x:v>-1.8787019439109893</x:v>
      </x:c>
      <x:c r="Q195" s="34" t="n">
        <x:f>-I195</x:f>
        <x:v>-2.1049165634338314</x:v>
      </x:c>
      <x:c r="R195" s="36" t="n">
        <x:f>YEAR(A195)</x:f>
        <x:v>2021</x:v>
      </x:c>
    </x:row>
    <x:row r="196">
      <x:c r="A196" s="30" t="n">
        <x:v>44470</x:v>
      </x:c>
      <x:c r="B196" s="38" t="n">
        <x:v>4357.04</x:v>
      </x:c>
      <x:c r="C196" s="34" t="n">
        <x:f>(B196/B195-1)*100</x:f>
        <x:v>1.1491477734391298</x:v>
      </x:c>
      <x:c r="D196" s="34" t="n">
        <x:f>Assumptions!$B$4*D195+(1-Assumptions!$B$4)*C195^2</x:f>
        <x:v>0.6981527845025619</x:v>
      </x:c>
      <x:c r="E196" s="34" t="n">
        <x:f>SQRT(D196)</x:f>
        <x:v>0.835555374887004</x:v>
      </x:c>
      <x:c r="F196" s="34" t="n">
        <x:f>-Assumptions!$B$7*E196</x:f>
        <x:v>1.374366288901686</x:v>
      </x:c>
      <x:c r="G196" s="34" t="n">
        <x:f>-Assumptions!$B$8*E196</x:f>
        <x:v>1.9437924700117792</x:v>
      </x:c>
      <x:c r="H196" s="34" t="n">
        <x:f>-Assumptions!$B$9*E196</x:f>
        <x:v>1.3041763849184274</x:v>
      </x:c>
      <x:c r="I196" s="34" t="n">
        <x:f>-Assumptions!$B$10*E196</x:f>
        <x:v>2.177844643886526</x:v>
      </x:c>
      <x:c r="J196" s="36" t="n">
        <x:f>IF(C196&lt;-F196,1,0)</x:f>
        <x:v>0</x:v>
      </x:c>
      <x:c r="K196" s="36" t="n">
        <x:f>IF(C196&lt;-G196,1,0)</x:f>
        <x:v>0</x:v>
      </x:c>
      <x:c r="L196" s="36" t="n">
        <x:f>IF(C196&lt;-H196,1,0)</x:f>
        <x:v>0</x:v>
      </x:c>
      <x:c r="M196" s="36" t="n">
        <x:f>IF(C196&lt;-I196,1,0)</x:f>
        <x:v>0</x:v>
      </x:c>
      <x:c r="N196" s="34" t="n">
        <x:f>-F196</x:f>
        <x:v>-1.374366288901686</x:v>
      </x:c>
      <x:c r="O196" s="34" t="n">
        <x:f>-H196</x:f>
        <x:v>-1.3041763849184274</x:v>
      </x:c>
      <x:c r="P196" s="34" t="n">
        <x:f>-G196</x:f>
        <x:v>-1.9437924700117792</x:v>
      </x:c>
      <x:c r="Q196" s="34" t="n">
        <x:f>-I196</x:f>
        <x:v>-2.177844643886526</x:v>
      </x:c>
      <x:c r="R196" s="36" t="n">
        <x:f>YEAR(A196)</x:f>
        <x:v>2021</x:v>
      </x:c>
    </x:row>
    <x:row r="197">
      <x:c r="A197" s="30" t="n">
        <x:v>44473</x:v>
      </x:c>
      <x:c r="B197" s="38" t="n">
        <x:v>4300.46</x:v>
      </x:c>
      <x:c r="C197" s="34" t="n">
        <x:f>(B197/B196-1)*100</x:f>
        <x:v>-1.2985880322420762</x:v>
      </x:c>
      <x:c r="D197" s="34" t="n">
        <x:f>Assumptions!$B$4*D196+(1-Assumptions!$B$4)*C196^2</x:f>
        <x:v>0.7354960537444147</x:v>
      </x:c>
      <x:c r="E197" s="34" t="n">
        <x:f>SQRT(D197)</x:f>
        <x:v>0.8576106655962336</x:v>
      </x:c>
      <x:c r="F197" s="34" t="n">
        <x:f>-Assumptions!$B$7*E197</x:f>
        <x:v>1.4106440138182315</x:v>
      </x:c>
      <x:c r="G197" s="34" t="n">
        <x:f>-Assumptions!$B$8*E197</x:f>
        <x:v>1.995100748664548</x:v>
      </x:c>
      <x:c r="H197" s="34" t="n">
        <x:f>-Assumptions!$B$9*E197</x:f>
        <x:v>1.3386013795627114</x:v>
      </x:c>
      <x:c r="I197" s="34" t="n">
        <x:f>-Assumptions!$B$10*E197</x:f>
        <x:v>2.2353309556069814</x:v>
      </x:c>
      <x:c r="J197" s="36" t="n">
        <x:f>IF(C197&lt;-F197,1,0)</x:f>
        <x:v>0</x:v>
      </x:c>
      <x:c r="K197" s="36" t="n">
        <x:f>IF(C197&lt;-G197,1,0)</x:f>
        <x:v>0</x:v>
      </x:c>
      <x:c r="L197" s="36" t="n">
        <x:f>IF(C197&lt;-H197,1,0)</x:f>
        <x:v>0</x:v>
      </x:c>
      <x:c r="M197" s="36" t="n">
        <x:f>IF(C197&lt;-I197,1,0)</x:f>
        <x:v>0</x:v>
      </x:c>
      <x:c r="N197" s="34" t="n">
        <x:f>-F197</x:f>
        <x:v>-1.4106440138182315</x:v>
      </x:c>
      <x:c r="O197" s="34" t="n">
        <x:f>-H197</x:f>
        <x:v>-1.3386013795627114</x:v>
      </x:c>
      <x:c r="P197" s="34" t="n">
        <x:f>-G197</x:f>
        <x:v>-1.995100748664548</x:v>
      </x:c>
      <x:c r="Q197" s="34" t="n">
        <x:f>-I197</x:f>
        <x:v>-2.2353309556069814</x:v>
      </x:c>
      <x:c r="R197" s="36" t="n">
        <x:f>YEAR(A197)</x:f>
        <x:v>2021</x:v>
      </x:c>
    </x:row>
    <x:row r="198">
      <x:c r="A198" s="30" t="n">
        <x:v>44474</x:v>
      </x:c>
      <x:c r="B198" s="38" t="n">
        <x:v>4345.72</x:v>
      </x:c>
      <x:c r="C198" s="34" t="n">
        <x:f>(B198/B197-1)*100</x:f>
        <x:v>1.0524455523362564</x:v>
      </x:c>
      <x:c r="D198" s="34" t="n">
        <x:f>Assumptions!$B$4*D197+(1-Assumptions!$B$4)*C197^2</x:f>
        <x:v>0.7925461431686908</x:v>
      </x:c>
      <x:c r="E198" s="34" t="n">
        <x:f>SQRT(D198)</x:f>
        <x:v>0.8902506069465445</x:v>
      </x:c>
      <x:c r="F198" s="34" t="n">
        <x:f>-Assumptions!$B$7*E198</x:f>
        <x:v>1.4643319397317738</x:v>
      </x:c>
      <x:c r="G198" s="34" t="n">
        <x:f>-Assumptions!$B$8*E198</x:f>
        <x:v>2.0710326068336613</x:v>
      </x:c>
      <x:c r="H198" s="34" t="n">
        <x:f>-Assumptions!$B$9*E198</x:f>
        <x:v>1.3895474233482052</x:v>
      </x:c>
      <x:c r="I198" s="34" t="n">
        <x:f>-Assumptions!$B$10*E198</x:f>
        <x:v>2.3204057736059176</x:v>
      </x:c>
      <x:c r="J198" s="36" t="n">
        <x:f>IF(C198&lt;-F198,1,0)</x:f>
        <x:v>0</x:v>
      </x:c>
      <x:c r="K198" s="36" t="n">
        <x:f>IF(C198&lt;-G198,1,0)</x:f>
        <x:v>0</x:v>
      </x:c>
      <x:c r="L198" s="36" t="n">
        <x:f>IF(C198&lt;-H198,1,0)</x:f>
        <x:v>0</x:v>
      </x:c>
      <x:c r="M198" s="36" t="n">
        <x:f>IF(C198&lt;-I198,1,0)</x:f>
        <x:v>0</x:v>
      </x:c>
      <x:c r="N198" s="34" t="n">
        <x:f>-F198</x:f>
        <x:v>-1.4643319397317738</x:v>
      </x:c>
      <x:c r="O198" s="34" t="n">
        <x:f>-H198</x:f>
        <x:v>-1.3895474233482052</x:v>
      </x:c>
      <x:c r="P198" s="34" t="n">
        <x:f>-G198</x:f>
        <x:v>-2.0710326068336613</x:v>
      </x:c>
      <x:c r="Q198" s="34" t="n">
        <x:f>-I198</x:f>
        <x:v>-2.3204057736059176</x:v>
      </x:c>
      <x:c r="R198" s="36" t="n">
        <x:f>YEAR(A198)</x:f>
        <x:v>2021</x:v>
      </x:c>
    </x:row>
    <x:row r="199">
      <x:c r="A199" s="30" t="n">
        <x:v>44475</x:v>
      </x:c>
      <x:c r="B199" s="38" t="n">
        <x:v>4363.55</x:v>
      </x:c>
      <x:c r="C199" s="34" t="n">
        <x:f>(B199/B198-1)*100</x:f>
        <x:v>0.41028874386752623</x:v>
      </x:c>
      <x:c r="D199" s="34" t="n">
        <x:f>Assumptions!$B$4*D198+(1-Assumptions!$B$4)*C198^2</x:f>
        <x:v>0.8114518730165114</x:v>
      </x:c>
      <x:c r="E199" s="34" t="n">
        <x:f>SQRT(D199)</x:f>
        <x:v>0.9008062350009082</x:v>
      </x:c>
      <x:c r="F199" s="34" t="n">
        <x:f>-Assumptions!$B$7*E199</x:f>
        <x:v>1.4816944028217447</x:v>
      </x:c>
      <x:c r="G199" s="34" t="n">
        <x:f>-Assumptions!$B$8*E199</x:f>
        <x:v>2.0955886697170962</x:v>
      </x:c>
      <x:c r="H199" s="34" t="n">
        <x:f>-Assumptions!$B$9*E199</x:f>
        <x:v>1.4060231725926469</x:v>
      </x:c>
      <x:c r="I199" s="34" t="n">
        <x:f>-Assumptions!$B$10*E199</x:f>
        <x:v>2.3479186335694635</x:v>
      </x:c>
      <x:c r="J199" s="36" t="n">
        <x:f>IF(C199&lt;-F199,1,0)</x:f>
        <x:v>0</x:v>
      </x:c>
      <x:c r="K199" s="36" t="n">
        <x:f>IF(C199&lt;-G199,1,0)</x:f>
        <x:v>0</x:v>
      </x:c>
      <x:c r="L199" s="36" t="n">
        <x:f>IF(C199&lt;-H199,1,0)</x:f>
        <x:v>0</x:v>
      </x:c>
      <x:c r="M199" s="36" t="n">
        <x:f>IF(C199&lt;-I199,1,0)</x:f>
        <x:v>0</x:v>
      </x:c>
      <x:c r="N199" s="34" t="n">
        <x:f>-F199</x:f>
        <x:v>-1.4816944028217447</x:v>
      </x:c>
      <x:c r="O199" s="34" t="n">
        <x:f>-H199</x:f>
        <x:v>-1.4060231725926469</x:v>
      </x:c>
      <x:c r="P199" s="34" t="n">
        <x:f>-G199</x:f>
        <x:v>-2.0955886697170962</x:v>
      </x:c>
      <x:c r="Q199" s="34" t="n">
        <x:f>-I199</x:f>
        <x:v>-2.3479186335694635</x:v>
      </x:c>
      <x:c r="R199" s="36" t="n">
        <x:f>YEAR(A199)</x:f>
        <x:v>2021</x:v>
      </x:c>
    </x:row>
    <x:row r="200">
      <x:c r="A200" s="30" t="n">
        <x:v>44476</x:v>
      </x:c>
      <x:c r="B200" s="38" t="n">
        <x:v>4399.76</x:v>
      </x:c>
      <x:c r="C200" s="34" t="n">
        <x:f>(B200/B199-1)*100</x:f>
        <x:v>0.829828923697451</x:v>
      </x:c>
      <x:c r="D200" s="34" t="n">
        <x:f>Assumptions!$B$4*D199+(1-Assumptions!$B$4)*C199^2</x:f>
        <x:v>0.7728649718361842</x:v>
      </x:c>
      <x:c r="E200" s="34" t="n">
        <x:f>SQRT(D200)</x:f>
        <x:v>0.8791273922681423</x:v>
      </x:c>
      <x:c r="F200" s="34" t="n">
        <x:f>-Assumptions!$B$7*E200</x:f>
        <x:v>1.446035879724644</x:v>
      </x:c>
      <x:c r="G200" s="34" t="n">
        <x:f>-Assumptions!$B$8*E200</x:f>
        <x:v>2.0451561400140608</x:v>
      </x:c>
      <x:c r="H200" s="34" t="n">
        <x:f>-Assumptions!$B$9*E200</x:f>
        <x:v>1.3721857566724185</x:v>
      </x:c>
      <x:c r="I200" s="34" t="n">
        <x:f>-Assumptions!$B$10*E200</x:f>
        <x:v>2.291413519784997</x:v>
      </x:c>
      <x:c r="J200" s="36" t="n">
        <x:f>IF(C200&lt;-F200,1,0)</x:f>
        <x:v>0</x:v>
      </x:c>
      <x:c r="K200" s="36" t="n">
        <x:f>IF(C200&lt;-G200,1,0)</x:f>
        <x:v>0</x:v>
      </x:c>
      <x:c r="L200" s="36" t="n">
        <x:f>IF(C200&lt;-H200,1,0)</x:f>
        <x:v>0</x:v>
      </x:c>
      <x:c r="M200" s="36" t="n">
        <x:f>IF(C200&lt;-I200,1,0)</x:f>
        <x:v>0</x:v>
      </x:c>
      <x:c r="N200" s="34" t="n">
        <x:f>-F200</x:f>
        <x:v>-1.446035879724644</x:v>
      </x:c>
      <x:c r="O200" s="34" t="n">
        <x:f>-H200</x:f>
        <x:v>-1.3721857566724185</x:v>
      </x:c>
      <x:c r="P200" s="34" t="n">
        <x:f>-G200</x:f>
        <x:v>-2.0451561400140608</x:v>
      </x:c>
      <x:c r="Q200" s="34" t="n">
        <x:f>-I200</x:f>
        <x:v>-2.291413519784997</x:v>
      </x:c>
      <x:c r="R200" s="36" t="n">
        <x:f>YEAR(A200)</x:f>
        <x:v>2021</x:v>
      </x:c>
    </x:row>
    <x:row r="201">
      <x:c r="A201" s="30" t="n">
        <x:v>44477</x:v>
      </x:c>
      <x:c r="B201" s="38" t="n">
        <x:v>4391.34</x:v>
      </x:c>
      <x:c r="C201" s="34" t="n">
        <x:f>(B201/B200-1)*100</x:f>
        <x:v>-0.19137407494954628</x:v>
      </x:c>
      <x:c r="D201" s="34" t="n">
        <x:f>Assumptions!$B$4*D200+(1-Assumptions!$B$4)*C200^2</x:f>
        <x:v>0.7678100360823054</x:v>
      </x:c>
      <x:c r="E201" s="34" t="n">
        <x:f>SQRT(D201)</x:f>
        <x:v>0.8762477024690595</x:v>
      </x:c>
      <x:c r="F201" s="34" t="n">
        <x:f>-Assumptions!$B$7*E201</x:f>
        <x:v>1.4412992115141274</x:v>
      </x:c>
      <x:c r="G201" s="34" t="n">
        <x:f>-Assumptions!$B$8*E201</x:f>
        <x:v>2.038456979772067</x:v>
      </x:c>
      <x:c r="H201" s="34" t="n">
        <x:f>-Assumptions!$B$9*E201</x:f>
        <x:v>1.3676909936145396</x:v>
      </x:c>
      <x:c r="I201" s="34" t="n">
        <x:f>-Assumptions!$B$10*E201</x:f>
        <x:v>2.283907713235868</x:v>
      </x:c>
      <x:c r="J201" s="36" t="n">
        <x:f>IF(C201&lt;-F201,1,0)</x:f>
        <x:v>0</x:v>
      </x:c>
      <x:c r="K201" s="36" t="n">
        <x:f>IF(C201&lt;-G201,1,0)</x:f>
        <x:v>0</x:v>
      </x:c>
      <x:c r="L201" s="36" t="n">
        <x:f>IF(C201&lt;-H201,1,0)</x:f>
        <x:v>0</x:v>
      </x:c>
      <x:c r="M201" s="36" t="n">
        <x:f>IF(C201&lt;-I201,1,0)</x:f>
        <x:v>0</x:v>
      </x:c>
      <x:c r="N201" s="34" t="n">
        <x:f>-F201</x:f>
        <x:v>-1.4412992115141274</x:v>
      </x:c>
      <x:c r="O201" s="34" t="n">
        <x:f>-H201</x:f>
        <x:v>-1.3676909936145396</x:v>
      </x:c>
      <x:c r="P201" s="34" t="n">
        <x:f>-G201</x:f>
        <x:v>-2.038456979772067</x:v>
      </x:c>
      <x:c r="Q201" s="34" t="n">
        <x:f>-I201</x:f>
        <x:v>-2.283907713235868</x:v>
      </x:c>
      <x:c r="R201" s="36" t="n">
        <x:f>YEAR(A201)</x:f>
        <x:v>2021</x:v>
      </x:c>
    </x:row>
    <x:row r="202">
      <x:c r="A202" s="30" t="n">
        <x:v>44480</x:v>
      </x:c>
      <x:c r="B202" s="38" t="n">
        <x:v>4361.19</x:v>
      </x:c>
      <x:c r="C202" s="34" t="n">
        <x:f>(B202/B201-1)*100</x:f>
        <x:v>-0.686578584213482</x:v>
      </x:c>
      <x:c r="D202" s="34" t="n">
        <x:f>Assumptions!$B$4*D201+(1-Assumptions!$B$4)*C201^2</x:f>
        <x:v>0.7239388761111347</x:v>
      </x:c>
      <x:c r="E202" s="34" t="n">
        <x:f>SQRT(D202)</x:f>
        <x:v>0.8508459767261844</x:v>
      </x:c>
      <x:c r="F202" s="34" t="n">
        <x:f>-Assumptions!$B$7*E202</x:f>
        <x:v>1.3995170907951329</x:v>
      </x:c>
      <x:c r="G202" s="34" t="n">
        <x:f>-Assumptions!$B$8*E202</x:f>
        <x:v>1.9793637290931614</x:v>
      </x:c>
      <x:c r="H202" s="34" t="n">
        <x:f>-Assumptions!$B$9*E202</x:f>
        <x:v>1.328042716737005</x:v>
      </x:c>
      <x:c r="I202" s="34" t="n">
        <x:f>-Assumptions!$B$10*E202</x:f>
        <x:v>2.2176990405167483</x:v>
      </x:c>
      <x:c r="J202" s="36" t="n">
        <x:f>IF(C202&lt;-F202,1,0)</x:f>
        <x:v>0</x:v>
      </x:c>
      <x:c r="K202" s="36" t="n">
        <x:f>IF(C202&lt;-G202,1,0)</x:f>
        <x:v>0</x:v>
      </x:c>
      <x:c r="L202" s="36" t="n">
        <x:f>IF(C202&lt;-H202,1,0)</x:f>
        <x:v>0</x:v>
      </x:c>
      <x:c r="M202" s="36" t="n">
        <x:f>IF(C202&lt;-I202,1,0)</x:f>
        <x:v>0</x:v>
      </x:c>
      <x:c r="N202" s="34" t="n">
        <x:f>-F202</x:f>
        <x:v>-1.3995170907951329</x:v>
      </x:c>
      <x:c r="O202" s="34" t="n">
        <x:f>-H202</x:f>
        <x:v>-1.328042716737005</x:v>
      </x:c>
      <x:c r="P202" s="34" t="n">
        <x:f>-G202</x:f>
        <x:v>-1.9793637290931614</x:v>
      </x:c>
      <x:c r="Q202" s="34" t="n">
        <x:f>-I202</x:f>
        <x:v>-2.2176990405167483</x:v>
      </x:c>
      <x:c r="R202" s="36" t="n">
        <x:f>YEAR(A202)</x:f>
        <x:v>2021</x:v>
      </x:c>
    </x:row>
    <x:row r="203">
      <x:c r="A203" s="30" t="n">
        <x:v>44481</x:v>
      </x:c>
      <x:c r="B203" s="38" t="n">
        <x:v>4350.65</x:v>
      </x:c>
      <x:c r="C203" s="34" t="n">
        <x:f>(B203/B202-1)*100</x:f>
        <x:v>-0.24167715692277048</x:v>
      </x:c>
      <x:c r="D203" s="34" t="n">
        <x:f>Assumptions!$B$4*D202+(1-Assumptions!$B$4)*C202^2</x:f>
        <x:v>0.708785952682502</x:v>
      </x:c>
      <x:c r="E203" s="34" t="n">
        <x:f>SQRT(D203)</x:f>
        <x:v>0.841894264550188</x:v>
      </x:c>
      <x:c r="F203" s="34" t="n">
        <x:f>-Assumptions!$B$7*E203</x:f>
        <x:v>1.3847928345550196</x:v>
      </x:c>
      <x:c r="G203" s="34" t="n">
        <x:f>-Assumptions!$B$8*E203</x:f>
        <x:v>1.9585389325035067</x:v>
      </x:c>
      <x:c r="H203" s="34" t="n">
        <x:f>-Assumptions!$B$9*E203</x:f>
        <x:v>1.3140704391652163</x:v>
      </x:c>
      <x:c r="I203" s="34" t="n">
        <x:f>-Assumptions!$B$10*E203</x:f>
        <x:v>2.1943667288566817</x:v>
      </x:c>
      <x:c r="J203" s="36" t="n">
        <x:f>IF(C203&lt;-F203,1,0)</x:f>
        <x:v>0</x:v>
      </x:c>
      <x:c r="K203" s="36" t="n">
        <x:f>IF(C203&lt;-G203,1,0)</x:f>
        <x:v>0</x:v>
      </x:c>
      <x:c r="L203" s="36" t="n">
        <x:f>IF(C203&lt;-H203,1,0)</x:f>
        <x:v>0</x:v>
      </x:c>
      <x:c r="M203" s="36" t="n">
        <x:f>IF(C203&lt;-I203,1,0)</x:f>
        <x:v>0</x:v>
      </x:c>
      <x:c r="N203" s="34" t="n">
        <x:f>-F203</x:f>
        <x:v>-1.3847928345550196</x:v>
      </x:c>
      <x:c r="O203" s="34" t="n">
        <x:f>-H203</x:f>
        <x:v>-1.3140704391652163</x:v>
      </x:c>
      <x:c r="P203" s="34" t="n">
        <x:f>-G203</x:f>
        <x:v>-1.9585389325035067</x:v>
      </x:c>
      <x:c r="Q203" s="34" t="n">
        <x:f>-I203</x:f>
        <x:v>-2.1943667288566817</x:v>
      </x:c>
      <x:c r="R203" s="36" t="n">
        <x:f>YEAR(A203)</x:f>
        <x:v>2021</x:v>
      </x:c>
    </x:row>
    <x:row r="204">
      <x:c r="A204" s="30" t="n">
        <x:v>44482</x:v>
      </x:c>
      <x:c r="B204" s="38" t="n">
        <x:v>4363.8</x:v>
      </x:c>
      <x:c r="C204" s="34" t="n">
        <x:f>(B204/B203-1)*100</x:f>
        <x:v>0.3022536862308023</x:v>
      </x:c>
      <x:c r="D204" s="34" t="n">
        <x:f>Assumptions!$B$4*D203+(1-Assumptions!$B$4)*C203^2</x:f>
        <x:v>0.6697632664122483</x:v>
      </x:c>
      <x:c r="E204" s="34" t="n">
        <x:f>SQRT(D204)</x:f>
        <x:v>0.8183906563568821</x:v>
      </x:c>
      <x:c r="F204" s="34" t="n">
        <x:f>-Assumptions!$B$7*E204</x:f>
        <x:v>1.346132839371814</x:v>
      </x:c>
      <x:c r="G204" s="34" t="n">
        <x:f>-Assumptions!$B$8*E204</x:f>
        <x:v>1.9038613635507207</x:v>
      </x:c>
      <x:c r="H204" s="34" t="n">
        <x:f>-Assumptions!$B$9*E204</x:f>
        <x:v>1.277384838560672</x:v>
      </x:c>
      <x:c r="I204" s="34" t="n">
        <x:f>-Assumptions!$B$10*E204</x:f>
        <x:v>2.133105430378743</x:v>
      </x:c>
      <x:c r="J204" s="36" t="n">
        <x:f>IF(C204&lt;-F204,1,0)</x:f>
        <x:v>0</x:v>
      </x:c>
      <x:c r="K204" s="36" t="n">
        <x:f>IF(C204&lt;-G204,1,0)</x:f>
        <x:v>0</x:v>
      </x:c>
      <x:c r="L204" s="36" t="n">
        <x:f>IF(C204&lt;-H204,1,0)</x:f>
        <x:v>0</x:v>
      </x:c>
      <x:c r="M204" s="36" t="n">
        <x:f>IF(C204&lt;-I204,1,0)</x:f>
        <x:v>0</x:v>
      </x:c>
      <x:c r="N204" s="34" t="n">
        <x:f>-F204</x:f>
        <x:v>-1.346132839371814</x:v>
      </x:c>
      <x:c r="O204" s="34" t="n">
        <x:f>-H204</x:f>
        <x:v>-1.277384838560672</x:v>
      </x:c>
      <x:c r="P204" s="34" t="n">
        <x:f>-G204</x:f>
        <x:v>-1.9038613635507207</x:v>
      </x:c>
      <x:c r="Q204" s="34" t="n">
        <x:f>-I204</x:f>
        <x:v>-2.133105430378743</x:v>
      </x:c>
      <x:c r="R204" s="36" t="n">
        <x:f>YEAR(A204)</x:f>
        <x:v>2021</x:v>
      </x:c>
    </x:row>
    <x:row r="205">
      <x:c r="A205" s="30" t="n">
        <x:v>44483</x:v>
      </x:c>
      <x:c r="B205" s="38" t="n">
        <x:v>4438.26</x:v>
      </x:c>
      <x:c r="C205" s="34" t="n">
        <x:f>(B205/B204-1)*100</x:f>
        <x:v>1.706311013337003</x:v>
      </x:c>
      <x:c r="D205" s="34" t="n">
        <x:f>Assumptions!$B$4*D204+(1-Assumptions!$B$4)*C204^2</x:f>
        <x:v>0.6350589078779199</x:v>
      </x:c>
      <x:c r="E205" s="34" t="n">
        <x:f>SQRT(D205)</x:f>
        <x:v>0.7969058337582426</x:v>
      </x:c>
      <x:c r="F205" s="34" t="n">
        <x:f>-Assumptions!$B$7*E205</x:f>
        <x:v>1.3107934509960328</x:v>
      </x:c>
      <x:c r="G205" s="34" t="n">
        <x:f>-Assumptions!$B$8*E205</x:f>
        <x:v>1.8538801921742312</x:v>
      </x:c>
      <x:c r="H205" s="34" t="n">
        <x:f>-Assumptions!$B$9*E205</x:f>
        <x:v>1.2438502589152516</x:v>
      </x:c>
      <x:c r="I205" s="34" t="n">
        <x:f>-Assumptions!$B$10*E205</x:f>
        <x:v>2.0771060230053813</x:v>
      </x:c>
      <x:c r="J205" s="36" t="n">
        <x:f>IF(C205&lt;-F205,1,0)</x:f>
        <x:v>0</x:v>
      </x:c>
      <x:c r="K205" s="36" t="n">
        <x:f>IF(C205&lt;-G205,1,0)</x:f>
        <x:v>0</x:v>
      </x:c>
      <x:c r="L205" s="36" t="n">
        <x:f>IF(C205&lt;-H205,1,0)</x:f>
        <x:v>0</x:v>
      </x:c>
      <x:c r="M205" s="36" t="n">
        <x:f>IF(C205&lt;-I205,1,0)</x:f>
        <x:v>0</x:v>
      </x:c>
      <x:c r="N205" s="34" t="n">
        <x:f>-F205</x:f>
        <x:v>-1.3107934509960328</x:v>
      </x:c>
      <x:c r="O205" s="34" t="n">
        <x:f>-H205</x:f>
        <x:v>-1.2438502589152516</x:v>
      </x:c>
      <x:c r="P205" s="34" t="n">
        <x:f>-G205</x:f>
        <x:v>-1.8538801921742312</x:v>
      </x:c>
      <x:c r="Q205" s="34" t="n">
        <x:f>-I205</x:f>
        <x:v>-2.0771060230053813</x:v>
      </x:c>
      <x:c r="R205" s="36" t="n">
        <x:f>YEAR(A205)</x:f>
        <x:v>2021</x:v>
      </x:c>
    </x:row>
    <x:row r="206">
      <x:c r="A206" s="30" t="n">
        <x:v>44484</x:v>
      </x:c>
      <x:c r="B206" s="38" t="n">
        <x:v>4471.37</x:v>
      </x:c>
      <x:c r="C206" s="34" t="n">
        <x:f>(B206/B205-1)*100</x:f>
        <x:v>0.7460130771969053</x:v>
      </x:c>
      <x:c r="D206" s="34" t="n">
        <x:f>Assumptions!$B$4*D205+(1-Assumptions!$B$4)*C205^2</x:f>
        <x:v>0.7716452098593538</x:v>
      </x:c>
      <x:c r="E206" s="34" t="n">
        <x:f>SQRT(D206)</x:f>
        <x:v>0.8784333838484019</x:v>
      </x:c>
      <x:c r="F206" s="34" t="n">
        <x:f>-Assumptions!$B$7*E206</x:f>
        <x:v>1.4448943374582992</x:v>
      </x:c>
      <x:c r="G206" s="34" t="n">
        <x:f>-Assumptions!$B$8*E206</x:f>
        <x:v>2.043541635002231</x:v>
      </x:c>
      <x:c r="H206" s="34" t="n">
        <x:f>-Assumptions!$B$9*E206</x:f>
        <x:v>1.3711025138148374</x:v>
      </x:c>
      <x:c r="I206" s="34" t="n">
        <x:f>-Assumptions!$B$10*E206</x:f>
        <x:v>2.2896046121228952</x:v>
      </x:c>
      <x:c r="J206" s="36" t="n">
        <x:f>IF(C206&lt;-F206,1,0)</x:f>
        <x:v>0</x:v>
      </x:c>
      <x:c r="K206" s="36" t="n">
        <x:f>IF(C206&lt;-G206,1,0)</x:f>
        <x:v>0</x:v>
      </x:c>
      <x:c r="L206" s="36" t="n">
        <x:f>IF(C206&lt;-H206,1,0)</x:f>
        <x:v>0</x:v>
      </x:c>
      <x:c r="M206" s="36" t="n">
        <x:f>IF(C206&lt;-I206,1,0)</x:f>
        <x:v>0</x:v>
      </x:c>
      <x:c r="N206" s="34" t="n">
        <x:f>-F206</x:f>
        <x:v>-1.4448943374582992</x:v>
      </x:c>
      <x:c r="O206" s="34" t="n">
        <x:f>-H206</x:f>
        <x:v>-1.3711025138148374</x:v>
      </x:c>
      <x:c r="P206" s="34" t="n">
        <x:f>-G206</x:f>
        <x:v>-2.043541635002231</x:v>
      </x:c>
      <x:c r="Q206" s="34" t="n">
        <x:f>-I206</x:f>
        <x:v>-2.2896046121228952</x:v>
      </x:c>
      <x:c r="R206" s="36" t="n">
        <x:f>YEAR(A206)</x:f>
        <x:v>2021</x:v>
      </x:c>
    </x:row>
    <x:row r="207">
      <x:c r="A207" s="30" t="n">
        <x:v>44487</x:v>
      </x:c>
      <x:c r="B207" s="38" t="n">
        <x:v>4486.46</x:v>
      </x:c>
      <x:c r="C207" s="34" t="n">
        <x:f>(B207/B206-1)*100</x:f>
        <x:v>0.33748045900920953</x:v>
      </x:c>
      <x:c r="D207" s="34" t="n">
        <x:f>Assumptions!$B$4*D206+(1-Assumptions!$B$4)*C206^2</x:f>
        <x:v>0.7587386279487203</x:v>
      </x:c>
      <x:c r="E207" s="34" t="n">
        <x:f>SQRT(D207)</x:f>
        <x:v>0.8710560417956587</x:v>
      </x:c>
      <x:c r="F207" s="34" t="n">
        <x:f>-Assumptions!$B$7*E207</x:f>
        <x:v>1.432759689625583</x:v>
      </x:c>
      <x:c r="G207" s="34" t="n">
        <x:f>-Assumptions!$B$8*E207</x:f>
        <x:v>2.02637937100176</x:v>
      </x:c>
      <x:c r="H207" s="34" t="n">
        <x:f>-Assumptions!$B$9*E207</x:f>
        <x:v>1.3595875914316804</x:v>
      </x:c>
      <x:c r="I207" s="34" t="n">
        <x:f>-Assumptions!$B$10*E207</x:f>
        <x:v>2.2703758388320066</x:v>
      </x:c>
      <x:c r="J207" s="36" t="n">
        <x:f>IF(C207&lt;-F207,1,0)</x:f>
        <x:v>0</x:v>
      </x:c>
      <x:c r="K207" s="36" t="n">
        <x:f>IF(C207&lt;-G207,1,0)</x:f>
        <x:v>0</x:v>
      </x:c>
      <x:c r="L207" s="36" t="n">
        <x:f>IF(C207&lt;-H207,1,0)</x:f>
        <x:v>0</x:v>
      </x:c>
      <x:c r="M207" s="36" t="n">
        <x:f>IF(C207&lt;-I207,1,0)</x:f>
        <x:v>0</x:v>
      </x:c>
      <x:c r="N207" s="34" t="n">
        <x:f>-F207</x:f>
        <x:v>-1.432759689625583</x:v>
      </x:c>
      <x:c r="O207" s="34" t="n">
        <x:f>-H207</x:f>
        <x:v>-1.3595875914316804</x:v>
      </x:c>
      <x:c r="P207" s="34" t="n">
        <x:f>-G207</x:f>
        <x:v>-2.02637937100176</x:v>
      </x:c>
      <x:c r="Q207" s="34" t="n">
        <x:f>-I207</x:f>
        <x:v>-2.2703758388320066</x:v>
      </x:c>
      <x:c r="R207" s="36" t="n">
        <x:f>YEAR(A207)</x:f>
        <x:v>2021</x:v>
      </x:c>
    </x:row>
    <x:row r="208">
      <x:c r="A208" s="30" t="n">
        <x:v>44488</x:v>
      </x:c>
      <x:c r="B208" s="38" t="n">
        <x:v>4519.63</x:v>
      </x:c>
      <x:c r="C208" s="34" t="n">
        <x:f>(B208/B207-1)*100</x:f>
        <x:v>0.739335690054066</x:v>
      </x:c>
      <x:c r="D208" s="34" t="n">
        <x:f>Assumptions!$B$4*D207+(1-Assumptions!$B$4)*C207^2</x:f>
        <x:v>0.720047893884581</x:v>
      </x:c>
      <x:c r="E208" s="34" t="n">
        <x:f>SQRT(D208)</x:f>
        <x:v>0.8485563586966873</x:v>
      </x:c>
      <x:c r="F208" s="34" t="n">
        <x:f>-Assumptions!$B$7*E208</x:f>
        <x:v>1.3957510042749812</x:v>
      </x:c>
      <x:c r="G208" s="34" t="n">
        <x:f>-Assumptions!$B$8*E208</x:f>
        <x:v>1.9740372810578752</x:v>
      </x:c>
      <x:c r="H208" s="34" t="n">
        <x:f>-Assumptions!$B$9*E208</x:f>
        <x:v>1.3244689670439254</x:v>
      </x:c>
      <x:c r="I208" s="34" t="n">
        <x:f>-Assumptions!$B$10*E208</x:f>
        <x:v>2.2117312345376887</x:v>
      </x:c>
      <x:c r="J208" s="36" t="n">
        <x:f>IF(C208&lt;-F208,1,0)</x:f>
        <x:v>0</x:v>
      </x:c>
      <x:c r="K208" s="36" t="n">
        <x:f>IF(C208&lt;-G208,1,0)</x:f>
        <x:v>0</x:v>
      </x:c>
      <x:c r="L208" s="36" t="n">
        <x:f>IF(C208&lt;-H208,1,0)</x:f>
        <x:v>0</x:v>
      </x:c>
      <x:c r="M208" s="36" t="n">
        <x:f>IF(C208&lt;-I208,1,0)</x:f>
        <x:v>0</x:v>
      </x:c>
      <x:c r="N208" s="34" t="n">
        <x:f>-F208</x:f>
        <x:v>-1.3957510042749812</x:v>
      </x:c>
      <x:c r="O208" s="34" t="n">
        <x:f>-H208</x:f>
        <x:v>-1.3244689670439254</x:v>
      </x:c>
      <x:c r="P208" s="34" t="n">
        <x:f>-G208</x:f>
        <x:v>-1.9740372810578752</x:v>
      </x:c>
      <x:c r="Q208" s="34" t="n">
        <x:f>-I208</x:f>
        <x:v>-2.2117312345376887</x:v>
      </x:c>
      <x:c r="R208" s="36" t="n">
        <x:f>YEAR(A208)</x:f>
        <x:v>2021</x:v>
      </x:c>
    </x:row>
    <x:row r="209">
      <x:c r="A209" s="30" t="n">
        <x:v>44489</x:v>
      </x:c>
      <x:c r="B209" s="38" t="n">
        <x:v>4536.19</x:v>
      </x:c>
      <x:c r="C209" s="34" t="n">
        <x:f>(B209/B208-1)*100</x:f>
        <x:v>0.3664016744733489</x:v>
      </x:c>
      <x:c r="D209" s="34" t="n">
        <x:f>Assumptions!$B$4*D208+(1-Assumptions!$B$4)*C208^2</x:f>
        <x:v>0.7096420560067696</x:v>
      </x:c>
      <x:c r="E209" s="34" t="n">
        <x:f>SQRT(D209)</x:f>
        <x:v>0.8424025498577088</x:v>
      </x:c>
      <x:c r="F209" s="34" t="n">
        <x:f>-Assumptions!$B$7*E209</x:f>
        <x:v>1.3856288894866213</x:v>
      </x:c>
      <x:c r="G209" s="34" t="n">
        <x:f>-Assumptions!$B$8*E209</x:f>
        <x:v>1.9597213809480638</x:v>
      </x:c>
      <x:c r="H209" s="34" t="n">
        <x:f>-Assumptions!$B$9*E209</x:f>
        <x:v>1.3148637961524288</x:v>
      </x:c>
      <x:c r="I209" s="34" t="n">
        <x:f>-Assumptions!$B$10*E209</x:f>
        <x:v>2.1956915559930037</x:v>
      </x:c>
      <x:c r="J209" s="36" t="n">
        <x:f>IF(C209&lt;-F209,1,0)</x:f>
        <x:v>0</x:v>
      </x:c>
      <x:c r="K209" s="36" t="n">
        <x:f>IF(C209&lt;-G209,1,0)</x:f>
        <x:v>0</x:v>
      </x:c>
      <x:c r="L209" s="36" t="n">
        <x:f>IF(C209&lt;-H209,1,0)</x:f>
        <x:v>0</x:v>
      </x:c>
      <x:c r="M209" s="36" t="n">
        <x:f>IF(C209&lt;-I209,1,0)</x:f>
        <x:v>0</x:v>
      </x:c>
      <x:c r="N209" s="34" t="n">
        <x:f>-F209</x:f>
        <x:v>-1.3856288894866213</x:v>
      </x:c>
      <x:c r="O209" s="34" t="n">
        <x:f>-H209</x:f>
        <x:v>-1.3148637961524288</x:v>
      </x:c>
      <x:c r="P209" s="34" t="n">
        <x:f>-G209</x:f>
        <x:v>-1.9597213809480638</x:v>
      </x:c>
      <x:c r="Q209" s="34" t="n">
        <x:f>-I209</x:f>
        <x:v>-2.1956915559930037</x:v>
      </x:c>
      <x:c r="R209" s="36" t="n">
        <x:f>YEAR(A209)</x:f>
        <x:v>2021</x:v>
      </x:c>
    </x:row>
    <x:row r="210">
      <x:c r="A210" s="30" t="n">
        <x:v>44490</x:v>
      </x:c>
      <x:c r="B210" s="38" t="n">
        <x:v>4549.78</x:v>
      </x:c>
      <x:c r="C210" s="34" t="n">
        <x:f>(B210/B209-1)*100</x:f>
        <x:v>0.2995906256131331</x:v>
      </x:c>
      <x:c r="D210" s="34" t="n">
        <x:f>Assumptions!$B$4*D209+(1-Assumptions!$B$4)*C209^2</x:f>
        <x:v>0.6751185438697758</x:v>
      </x:c>
      <x:c r="E210" s="34" t="n">
        <x:f>SQRT(D210)</x:f>
        <x:v>0.8216559765922571</x:v>
      </x:c>
      <x:c r="F210" s="34" t="n">
        <x:f>-Assumptions!$B$7*E210</x:f>
        <x:v>1.3515038132041286</x:v>
      </x:c>
      <x:c r="G210" s="34" t="n">
        <x:f>-Assumptions!$B$8*E210</x:f>
        <x:v>1.9114576343383478</x:v>
      </x:c>
      <x:c r="H210" s="34" t="n">
        <x:f>-Assumptions!$B$9*E210</x:f>
        <x:v>1.2824815127825908</x:v>
      </x:c>
      <x:c r="I210" s="34" t="n">
        <x:f>-Assumptions!$B$10*E210</x:f>
        <x:v>2.1416163686108707</x:v>
      </x:c>
      <x:c r="J210" s="36" t="n">
        <x:f>IF(C210&lt;-F210,1,0)</x:f>
        <x:v>0</x:v>
      </x:c>
      <x:c r="K210" s="36" t="n">
        <x:f>IF(C210&lt;-G210,1,0)</x:f>
        <x:v>0</x:v>
      </x:c>
      <x:c r="L210" s="36" t="n">
        <x:f>IF(C210&lt;-H210,1,0)</x:f>
        <x:v>0</x:v>
      </x:c>
      <x:c r="M210" s="36" t="n">
        <x:f>IF(C210&lt;-I210,1,0)</x:f>
        <x:v>0</x:v>
      </x:c>
      <x:c r="N210" s="34" t="n">
        <x:f>-F210</x:f>
        <x:v>-1.3515038132041286</x:v>
      </x:c>
      <x:c r="O210" s="34" t="n">
        <x:f>-H210</x:f>
        <x:v>-1.2824815127825908</x:v>
      </x:c>
      <x:c r="P210" s="34" t="n">
        <x:f>-G210</x:f>
        <x:v>-1.9114576343383478</x:v>
      </x:c>
      <x:c r="Q210" s="34" t="n">
        <x:f>-I210</x:f>
        <x:v>-2.1416163686108707</x:v>
      </x:c>
      <x:c r="R210" s="36" t="n">
        <x:f>YEAR(A210)</x:f>
        <x:v>2021</x:v>
      </x:c>
    </x:row>
    <x:row r="211">
      <x:c r="A211" s="30" t="n">
        <x:v>44491</x:v>
      </x:c>
      <x:c r="B211" s="38" t="n">
        <x:v>4544.9</x:v>
      </x:c>
      <x:c r="C211" s="34" t="n">
        <x:f>(B211/B210-1)*100</x:f>
        <x:v>-0.10725793335062406</x:v>
      </x:c>
      <x:c r="D211" s="34" t="n">
        <x:f>Assumptions!$B$4*D210+(1-Assumptions!$B$4)*C210^2</x:f>
        <x:v>0.6399967038149054</x:v>
      </x:c>
      <x:c r="E211" s="34" t="n">
        <x:f>SQRT(D211)</x:f>
        <x:v>0.7999979398816633</x:v>
      </x:c>
      <x:c r="F211" s="34" t="n">
        <x:f>-Assumptions!$B$7*E211</x:f>
        <x:v>1.3158795129680603</x:v>
      </x:c>
      <x:c r="G211" s="34" t="n">
        <x:f>-Assumptions!$B$8*E211</x:f>
        <x:v>1.8610735066807595</x:v>
      </x:c>
      <x:c r="H211" s="34" t="n">
        <x:f>-Assumptions!$B$9*E211</x:f>
        <x:v>1.2486765719365427</x:v>
      </x:c>
      <x:c r="I211" s="34" t="n">
        <x:f>-Assumptions!$B$10*E211</x:f>
        <x:v>2.085165484965196</x:v>
      </x:c>
      <x:c r="J211" s="36" t="n">
        <x:f>IF(C211&lt;-F211,1,0)</x:f>
        <x:v>0</x:v>
      </x:c>
      <x:c r="K211" s="36" t="n">
        <x:f>IF(C211&lt;-G211,1,0)</x:f>
        <x:v>0</x:v>
      </x:c>
      <x:c r="L211" s="36" t="n">
        <x:f>IF(C211&lt;-H211,1,0)</x:f>
        <x:v>0</x:v>
      </x:c>
      <x:c r="M211" s="36" t="n">
        <x:f>IF(C211&lt;-I211,1,0)</x:f>
        <x:v>0</x:v>
      </x:c>
      <x:c r="N211" s="34" t="n">
        <x:f>-F211</x:f>
        <x:v>-1.3158795129680603</x:v>
      </x:c>
      <x:c r="O211" s="34" t="n">
        <x:f>-H211</x:f>
        <x:v>-1.2486765719365427</x:v>
      </x:c>
      <x:c r="P211" s="34" t="n">
        <x:f>-G211</x:f>
        <x:v>-1.8610735066807595</x:v>
      </x:c>
      <x:c r="Q211" s="34" t="n">
        <x:f>-I211</x:f>
        <x:v>-2.085165484965196</x:v>
      </x:c>
      <x:c r="R211" s="36" t="n">
        <x:f>YEAR(A211)</x:f>
        <x:v>2021</x:v>
      </x:c>
    </x:row>
    <x:row r="212">
      <x:c r="A212" s="30" t="n">
        <x:v>44494</x:v>
      </x:c>
      <x:c r="B212" s="38" t="n">
        <x:v>4566.48</x:v>
      </x:c>
      <x:c r="C212" s="34" t="n">
        <x:f>(B212/B211-1)*100</x:f>
        <x:v>0.47481792778718557</x:v>
      </x:c>
      <x:c r="D212" s="34" t="n">
        <x:f>Assumptions!$B$4*D211+(1-Assumptions!$B$4)*C211^2</x:f>
        <x:v>0.6022871574420098</x:v>
      </x:c>
      <x:c r="E212" s="34" t="n">
        <x:f>SQRT(D212)</x:f>
        <x:v>0.7760716187582237</x:v>
      </x:c>
      <x:c r="F212" s="34" t="n">
        <x:f>-Assumptions!$B$7*E212</x:f>
        <x:v>1.276524216888565</x:v>
      </x:c>
      <x:c r="G212" s="34" t="n">
        <x:f>-Assumptions!$B$8*E212</x:f>
        <x:v>1.8054125604016273</x:v>
      </x:c>
      <x:c r="H212" s="34" t="n">
        <x:f>-Assumptions!$B$9*E212</x:f>
        <x:v>1.2113311799672974</x:v>
      </x:c>
      <x:c r="I212" s="34" t="n">
        <x:f>-Assumptions!$B$10*E212</x:f>
        <x:v>2.0228024006350416</x:v>
      </x:c>
      <x:c r="J212" s="36" t="n">
        <x:f>IF(C212&lt;-F212,1,0)</x:f>
        <x:v>0</x:v>
      </x:c>
      <x:c r="K212" s="36" t="n">
        <x:f>IF(C212&lt;-G212,1,0)</x:f>
        <x:v>0</x:v>
      </x:c>
      <x:c r="L212" s="36" t="n">
        <x:f>IF(C212&lt;-H212,1,0)</x:f>
        <x:v>0</x:v>
      </x:c>
      <x:c r="M212" s="36" t="n">
        <x:f>IF(C212&lt;-I212,1,0)</x:f>
        <x:v>0</x:v>
      </x:c>
      <x:c r="N212" s="34" t="n">
        <x:f>-F212</x:f>
        <x:v>-1.276524216888565</x:v>
      </x:c>
      <x:c r="O212" s="34" t="n">
        <x:f>-H212</x:f>
        <x:v>-1.2113311799672974</x:v>
      </x:c>
      <x:c r="P212" s="34" t="n">
        <x:f>-G212</x:f>
        <x:v>-1.8054125604016273</x:v>
      </x:c>
      <x:c r="Q212" s="34" t="n">
        <x:f>-I212</x:f>
        <x:v>-2.0228024006350416</x:v>
      </x:c>
      <x:c r="R212" s="36" t="n">
        <x:f>YEAR(A212)</x:f>
        <x:v>2021</x:v>
      </x:c>
    </x:row>
    <x:row r="213">
      <x:c r="A213" s="30" t="n">
        <x:v>44495</x:v>
      </x:c>
      <x:c r="B213" s="38" t="n">
        <x:v>4574.79</x:v>
      </x:c>
      <x:c r="C213" s="34" t="n">
        <x:f>(B213/B212-1)*100</x:f>
        <x:v>0.18197824144636776</x:v>
      </x:c>
      <x:c r="D213" s="34" t="n">
        <x:f>Assumptions!$B$4*D212+(1-Assumptions!$B$4)*C212^2</x:f>
        <x:v>0.5796770518683761</x:v>
      </x:c>
      <x:c r="E213" s="34" t="n">
        <x:f>SQRT(D213)</x:f>
        <x:v>0.7613652552279859</x:v>
      </x:c>
      <x:c r="F213" s="34" t="n">
        <x:f>-Assumptions!$B$7*E213</x:f>
        <x:v>1.2523344014965865</x:v>
      </x:c>
      <x:c r="G213" s="34" t="n">
        <x:f>-Assumptions!$B$8*E213</x:f>
        <x:v>1.771200442868187</x:v>
      </x:c>
      <x:c r="H213" s="34" t="n">
        <x:f>-Assumptions!$B$9*E213</x:f>
        <x:v>1.1883767563580239</x:v>
      </x:c>
      <x:c r="I213" s="34" t="n">
        <x:f>-Assumptions!$B$10*E213</x:f>
        <x:v>1.984470799872246</x:v>
      </x:c>
      <x:c r="J213" s="36" t="n">
        <x:f>IF(C213&lt;-F213,1,0)</x:f>
        <x:v>0</x:v>
      </x:c>
      <x:c r="K213" s="36" t="n">
        <x:f>IF(C213&lt;-G213,1,0)</x:f>
        <x:v>0</x:v>
      </x:c>
      <x:c r="L213" s="36" t="n">
        <x:f>IF(C213&lt;-H213,1,0)</x:f>
        <x:v>0</x:v>
      </x:c>
      <x:c r="M213" s="36" t="n">
        <x:f>IF(C213&lt;-I213,1,0)</x:f>
        <x:v>0</x:v>
      </x:c>
      <x:c r="N213" s="34" t="n">
        <x:f>-F213</x:f>
        <x:v>-1.2523344014965865</x:v>
      </x:c>
      <x:c r="O213" s="34" t="n">
        <x:f>-H213</x:f>
        <x:v>-1.1883767563580239</x:v>
      </x:c>
      <x:c r="P213" s="34" t="n">
        <x:f>-G213</x:f>
        <x:v>-1.771200442868187</x:v>
      </x:c>
      <x:c r="Q213" s="34" t="n">
        <x:f>-I213</x:f>
        <x:v>-1.984470799872246</x:v>
      </x:c>
      <x:c r="R213" s="36" t="n">
        <x:f>YEAR(A213)</x:f>
        <x:v>2021</x:v>
      </x:c>
    </x:row>
    <x:row r="214">
      <x:c r="A214" s="30" t="n">
        <x:v>44496</x:v>
      </x:c>
      <x:c r="B214" s="38" t="n">
        <x:v>4551.68</x:v>
      </x:c>
      <x:c r="C214" s="34" t="n">
        <x:f>(B214/B213-1)*100</x:f>
        <x:v>-0.5051597996847845</x:v>
      </x:c>
      <x:c r="D214" s="34" t="n">
        <x:f>Assumptions!$B$4*D213+(1-Assumptions!$B$4)*C213^2</x:f>
        <x:v>0.5468833935778683</x:v>
      </x:c>
      <x:c r="E214" s="34" t="n">
        <x:f>SQRT(D214)</x:f>
        <x:v>0.7395156479601147</x:v>
      </x:c>
      <x:c r="F214" s="34" t="n">
        <x:f>-Assumptions!$B$7*E214</x:f>
        <x:v>1.2163949957345632</x:v>
      </x:c>
      <x:c r="G214" s="34" t="n">
        <x:f>-Assumptions!$B$8*E214</x:f>
        <x:v>1.7203706554519473</x:v>
      </x:c>
      <x:c r="H214" s="34" t="n">
        <x:f>-Assumptions!$B$9*E214</x:f>
        <x:v>1.1542728026585418</x:v>
      </x:c>
      <x:c r="I214" s="34" t="n">
        <x:f>-Assumptions!$B$10*E214</x:f>
        <x:v>1.927520594548281</x:v>
      </x:c>
      <x:c r="J214" s="36" t="n">
        <x:f>IF(C214&lt;-F214,1,0)</x:f>
        <x:v>0</x:v>
      </x:c>
      <x:c r="K214" s="36" t="n">
        <x:f>IF(C214&lt;-G214,1,0)</x:f>
        <x:v>0</x:v>
      </x:c>
      <x:c r="L214" s="36" t="n">
        <x:f>IF(C214&lt;-H214,1,0)</x:f>
        <x:v>0</x:v>
      </x:c>
      <x:c r="M214" s="36" t="n">
        <x:f>IF(C214&lt;-I214,1,0)</x:f>
        <x:v>0</x:v>
      </x:c>
      <x:c r="N214" s="34" t="n">
        <x:f>-F214</x:f>
        <x:v>-1.2163949957345632</x:v>
      </x:c>
      <x:c r="O214" s="34" t="n">
        <x:f>-H214</x:f>
        <x:v>-1.1542728026585418</x:v>
      </x:c>
      <x:c r="P214" s="34" t="n">
        <x:f>-G214</x:f>
        <x:v>-1.7203706554519473</x:v>
      </x:c>
      <x:c r="Q214" s="34" t="n">
        <x:f>-I214</x:f>
        <x:v>-1.927520594548281</x:v>
      </x:c>
      <x:c r="R214" s="36" t="n">
        <x:f>YEAR(A214)</x:f>
        <x:v>2021</x:v>
      </x:c>
    </x:row>
    <x:row r="215">
      <x:c r="A215" s="30" t="n">
        <x:v>44497</x:v>
      </x:c>
      <x:c r="B215" s="38" t="n">
        <x:v>4596.42</x:v>
      </x:c>
      <x:c r="C215" s="34" t="n">
        <x:f>(B215/B214-1)*100</x:f>
        <x:v>0.9829337739032606</x:v>
      </x:c>
      <x:c r="D215" s="34" t="n">
        <x:f>Assumptions!$B$4*D214+(1-Assumptions!$B$4)*C214^2</x:f>
        <x:v>0.5293815753562505</x:v>
      </x:c>
      <x:c r="E215" s="34" t="n">
        <x:f>SQRT(D215)</x:f>
        <x:v>0.727586129167022</x:v>
      </x:c>
      <x:c r="F215" s="34" t="n">
        <x:f>-Assumptions!$B$7*E215</x:f>
        <x:v>1.196772683479959</x:v>
      </x:c>
      <x:c r="G215" s="34" t="n">
        <x:f>-Assumptions!$B$8*E215</x:f>
        <x:v>1.692618444769306</x:v>
      </x:c>
      <x:c r="H215" s="34" t="n">
        <x:f>-Assumptions!$B$9*E215</x:f>
        <x:v>1.1356526164195435</x:v>
      </x:c>
      <x:c r="I215" s="34" t="n">
        <x:f>-Assumptions!$B$10*E215</x:f>
        <x:v>1.8964267384275013</x:v>
      </x:c>
      <x:c r="J215" s="36" t="n">
        <x:f>IF(C215&lt;-F215,1,0)</x:f>
        <x:v>0</x:v>
      </x:c>
      <x:c r="K215" s="36" t="n">
        <x:f>IF(C215&lt;-G215,1,0)</x:f>
        <x:v>0</x:v>
      </x:c>
      <x:c r="L215" s="36" t="n">
        <x:f>IF(C215&lt;-H215,1,0)</x:f>
        <x:v>0</x:v>
      </x:c>
      <x:c r="M215" s="36" t="n">
        <x:f>IF(C215&lt;-I215,1,0)</x:f>
        <x:v>0</x:v>
      </x:c>
      <x:c r="N215" s="34" t="n">
        <x:f>-F215</x:f>
        <x:v>-1.196772683479959</x:v>
      </x:c>
      <x:c r="O215" s="34" t="n">
        <x:f>-H215</x:f>
        <x:v>-1.1356526164195435</x:v>
      </x:c>
      <x:c r="P215" s="34" t="n">
        <x:f>-G215</x:f>
        <x:v>-1.692618444769306</x:v>
      </x:c>
      <x:c r="Q215" s="34" t="n">
        <x:f>-I215</x:f>
        <x:v>-1.8964267384275013</x:v>
      </x:c>
      <x:c r="R215" s="36" t="n">
        <x:f>YEAR(A215)</x:f>
        <x:v>2021</x:v>
      </x:c>
    </x:row>
    <x:row r="216">
      <x:c r="A216" s="30" t="n">
        <x:v>44498</x:v>
      </x:c>
      <x:c r="B216" s="38" t="n">
        <x:v>4605.38</x:v>
      </x:c>
      <x:c r="C216" s="34" t="n">
        <x:f>(B216/B215-1)*100</x:f>
        <x:v>0.19493431844783693</x:v>
      </x:c>
      <x:c r="D216" s="34" t="n">
        <x:f>Assumptions!$B$4*D215+(1-Assumptions!$B$4)*C215^2</x:f>
        <x:v>0.5555882090676579</x:v>
      </x:c>
      <x:c r="E216" s="34" t="n">
        <x:f>SQRT(D216)</x:f>
        <x:v>0.7453778968199003</x:v>
      </x:c>
      <x:c r="F216" s="34" t="n">
        <x:f>-Assumptions!$B$7*E216</x:f>
        <x:v>1.2260375370336738</x:v>
      </x:c>
      <x:c r="G216" s="34" t="n">
        <x:f>-Assumptions!$B$8*E216</x:f>
        <x:v>1.734008285624008</x:v>
      </x:c>
      <x:c r="H216" s="34" t="n">
        <x:f>-Assumptions!$B$9*E216</x:f>
        <x:v>1.1634228922339709</x:v>
      </x:c>
      <x:c r="I216" s="34" t="n">
        <x:f>-Assumptions!$B$10*E216</x:f>
        <x:v>1.9428003326292436</x:v>
      </x:c>
      <x:c r="J216" s="36" t="n">
        <x:f>IF(C216&lt;-F216,1,0)</x:f>
        <x:v>0</x:v>
      </x:c>
      <x:c r="K216" s="36" t="n">
        <x:f>IF(C216&lt;-G216,1,0)</x:f>
        <x:v>0</x:v>
      </x:c>
      <x:c r="L216" s="36" t="n">
        <x:f>IF(C216&lt;-H216,1,0)</x:f>
        <x:v>0</x:v>
      </x:c>
      <x:c r="M216" s="36" t="n">
        <x:f>IF(C216&lt;-I216,1,0)</x:f>
        <x:v>0</x:v>
      </x:c>
      <x:c r="N216" s="34" t="n">
        <x:f>-F216</x:f>
        <x:v>-1.2260375370336738</x:v>
      </x:c>
      <x:c r="O216" s="34" t="n">
        <x:f>-H216</x:f>
        <x:v>-1.1634228922339709</x:v>
      </x:c>
      <x:c r="P216" s="34" t="n">
        <x:f>-G216</x:f>
        <x:v>-1.734008285624008</x:v>
      </x:c>
      <x:c r="Q216" s="34" t="n">
        <x:f>-I216</x:f>
        <x:v>-1.9428003326292436</x:v>
      </x:c>
      <x:c r="R216" s="36" t="n">
        <x:f>YEAR(A216)</x:f>
        <x:v>2021</x:v>
      </x:c>
    </x:row>
    <x:row r="217">
      <x:c r="A217" s="30" t="n">
        <x:v>44501</x:v>
      </x:c>
      <x:c r="B217" s="38" t="n">
        <x:v>4613.67</x:v>
      </x:c>
      <x:c r="C217" s="34" t="n">
        <x:f>(B217/B216-1)*100</x:f>
        <x:v>0.18000686154020507</x:v>
      </x:c>
      <x:c r="D217" s="34" t="n">
        <x:f>Assumptions!$B$4*D216+(1-Assumptions!$B$4)*C216^2</x:f>
        <x:v>0.5245328798341218</x:v>
      </x:c>
      <x:c r="E217" s="34" t="n">
        <x:f>SQRT(D217)</x:f>
        <x:v>0.7242464220375009</x:v>
      </x:c>
      <x:c r="F217" s="34" t="n">
        <x:f>-Assumptions!$B$7*E217</x:f>
        <x:v>1.1912793540950104</x:v>
      </x:c>
      <x:c r="G217" s="34" t="n">
        <x:f>-Assumptions!$B$8*E217</x:f>
        <x:v>1.6848491241886254</x:v>
      </x:c>
      <x:c r="H217" s="34" t="n">
        <x:f>-Assumptions!$B$9*E217</x:f>
        <x:v>1.1304398354336584</x:v>
      </x:c>
      <x:c r="I217" s="34" t="n">
        <x:f>-Assumptions!$B$10*E217</x:f>
        <x:v>1.8877219134658274</x:v>
      </x:c>
      <x:c r="J217" s="36" t="n">
        <x:f>IF(C217&lt;-F217,1,0)</x:f>
        <x:v>0</x:v>
      </x:c>
      <x:c r="K217" s="36" t="n">
        <x:f>IF(C217&lt;-G217,1,0)</x:f>
        <x:v>0</x:v>
      </x:c>
      <x:c r="L217" s="36" t="n">
        <x:f>IF(C217&lt;-H217,1,0)</x:f>
        <x:v>0</x:v>
      </x:c>
      <x:c r="M217" s="36" t="n">
        <x:f>IF(C217&lt;-I217,1,0)</x:f>
        <x:v>0</x:v>
      </x:c>
      <x:c r="N217" s="34" t="n">
        <x:f>-F217</x:f>
        <x:v>-1.1912793540950104</x:v>
      </x:c>
      <x:c r="O217" s="34" t="n">
        <x:f>-H217</x:f>
        <x:v>-1.1304398354336584</x:v>
      </x:c>
      <x:c r="P217" s="34" t="n">
        <x:f>-G217</x:f>
        <x:v>-1.6848491241886254</x:v>
      </x:c>
      <x:c r="Q217" s="34" t="n">
        <x:f>-I217</x:f>
        <x:v>-1.8877219134658274</x:v>
      </x:c>
      <x:c r="R217" s="36" t="n">
        <x:f>YEAR(A217)</x:f>
        <x:v>2021</x:v>
      </x:c>
    </x:row>
    <x:row r="218">
      <x:c r="A218" s="30" t="n">
        <x:v>44502</x:v>
      </x:c>
      <x:c r="B218" s="38" t="n">
        <x:v>4630.65</x:v>
      </x:c>
      <x:c r="C218" s="34" t="n">
        <x:f>(B218/B217-1)*100</x:f>
        <x:v>0.36803672564356127</x:v>
      </x:c>
      <x:c r="D218" s="34" t="n">
        <x:f>Assumptions!$B$4*D217+(1-Assumptions!$B$4)*C217^2</x:f>
        <x:v>0.4950050552561677</x:v>
      </x:c>
      <x:c r="E218" s="34" t="n">
        <x:f>SQRT(D218)</x:f>
        <x:v>0.703565956578463</x:v>
      </x:c>
      <x:c r="F218" s="34" t="n">
        <x:f>-Assumptions!$B$7*E218</x:f>
        <x:v>1.1572630154776673</x:v>
      </x:c>
      <x:c r="G218" s="34" t="n">
        <x:f>-Assumptions!$B$8*E218</x:f>
        <x:v>1.6367391673338176</x:v>
      </x:c>
      <x:c r="H218" s="34" t="n">
        <x:f>-Assumptions!$B$9*E218</x:f>
        <x:v>1.0981607364158992</x:v>
      </x:c>
      <x:c r="I218" s="34" t="n">
        <x:f>-Assumptions!$B$10*E218</x:f>
        <x:v>1.8338190336726876</x:v>
      </x:c>
      <x:c r="J218" s="36" t="n">
        <x:f>IF(C218&lt;-F218,1,0)</x:f>
        <x:v>0</x:v>
      </x:c>
      <x:c r="K218" s="36" t="n">
        <x:f>IF(C218&lt;-G218,1,0)</x:f>
        <x:v>0</x:v>
      </x:c>
      <x:c r="L218" s="36" t="n">
        <x:f>IF(C218&lt;-H218,1,0)</x:f>
        <x:v>0</x:v>
      </x:c>
      <x:c r="M218" s="36" t="n">
        <x:f>IF(C218&lt;-I218,1,0)</x:f>
        <x:v>0</x:v>
      </x:c>
      <x:c r="N218" s="34" t="n">
        <x:f>-F218</x:f>
        <x:v>-1.1572630154776673</x:v>
      </x:c>
      <x:c r="O218" s="34" t="n">
        <x:f>-H218</x:f>
        <x:v>-1.0981607364158992</x:v>
      </x:c>
      <x:c r="P218" s="34" t="n">
        <x:f>-G218</x:f>
        <x:v>-1.6367391673338176</x:v>
      </x:c>
      <x:c r="Q218" s="34" t="n">
        <x:f>-I218</x:f>
        <x:v>-1.8338190336726876</x:v>
      </x:c>
      <x:c r="R218" s="36" t="n">
        <x:f>YEAR(A218)</x:f>
        <x:v>2021</x:v>
      </x:c>
    </x:row>
    <x:row r="219">
      <x:c r="A219" s="30" t="n">
        <x:v>44503</x:v>
      </x:c>
      <x:c r="B219" s="38" t="n">
        <x:v>4660.57</x:v>
      </x:c>
      <x:c r="C219" s="34" t="n">
        <x:f>(B219/B218-1)*100</x:f>
        <x:v>0.646129593037692</x:v>
      </x:c>
      <x:c r="D219" s="34" t="n">
        <x:f>Assumptions!$B$4*D218+(1-Assumptions!$B$4)*C218^2</x:f>
        <x:v>0.4734318138261437</x:v>
      </x:c>
      <x:c r="E219" s="34" t="n">
        <x:f>SQRT(D219)</x:f>
        <x:v>0.6880638152280235</x:v>
      </x:c>
      <x:c r="F219" s="34" t="n">
        <x:f>-Assumptions!$B$7*E219</x:f>
        <x:v>1.1317642620518826</x:v>
      </x:c>
      <x:c r="G219" s="34" t="n">
        <x:f>-Assumptions!$B$8*E219</x:f>
        <x:v>1.6006757937601421</x:v>
      </x:c>
      <x:c r="H219" s="34" t="n">
        <x:f>-Assumptions!$B$9*E219</x:f>
        <x:v>1.0739642232073705</x:v>
      </x:c>
      <x:c r="I219" s="34" t="n">
        <x:f>-Assumptions!$B$10*E219</x:f>
        <x:v>1.7934132670131264</x:v>
      </x:c>
      <x:c r="J219" s="36" t="n">
        <x:f>IF(C219&lt;-F219,1,0)</x:f>
        <x:v>0</x:v>
      </x:c>
      <x:c r="K219" s="36" t="n">
        <x:f>IF(C219&lt;-G219,1,0)</x:f>
        <x:v>0</x:v>
      </x:c>
      <x:c r="L219" s="36" t="n">
        <x:f>IF(C219&lt;-H219,1,0)</x:f>
        <x:v>0</x:v>
      </x:c>
      <x:c r="M219" s="36" t="n">
        <x:f>IF(C219&lt;-I219,1,0)</x:f>
        <x:v>0</x:v>
      </x:c>
      <x:c r="N219" s="34" t="n">
        <x:f>-F219</x:f>
        <x:v>-1.1317642620518826</x:v>
      </x:c>
      <x:c r="O219" s="34" t="n">
        <x:f>-H219</x:f>
        <x:v>-1.0739642232073705</x:v>
      </x:c>
      <x:c r="P219" s="34" t="n">
        <x:f>-G219</x:f>
        <x:v>-1.6006757937601421</x:v>
      </x:c>
      <x:c r="Q219" s="34" t="n">
        <x:f>-I219</x:f>
        <x:v>-1.7934132670131264</x:v>
      </x:c>
      <x:c r="R219" s="36" t="n">
        <x:f>YEAR(A219)</x:f>
        <x:v>2021</x:v>
      </x:c>
    </x:row>
    <x:row r="220">
      <x:c r="A220" s="30" t="n">
        <x:v>44504</x:v>
      </x:c>
      <x:c r="B220" s="38" t="n">
        <x:v>4680.06</x:v>
      </x:c>
      <x:c r="C220" s="34" t="n">
        <x:f>(B220/B219-1)*100</x:f>
        <x:v>0.4181891914508462</x:v>
      </x:c>
      <x:c r="D220" s="34" t="n">
        <x:f>Assumptions!$B$4*D219+(1-Assumptions!$B$4)*C219^2</x:f>
        <x:v>0.47007491205651825</x:v>
      </x:c>
      <x:c r="E220" s="34" t="n">
        <x:f>SQRT(D220)</x:f>
        <x:v>0.6856200930956722</x:v>
      </x:c>
      <x:c r="F220" s="34" t="n">
        <x:f>-Assumptions!$B$7*E220</x:f>
        <x:v>1.1277446968392228</x:v>
      </x:c>
      <x:c r="G220" s="34" t="n">
        <x:f>-Assumptions!$B$8*E220</x:f>
        <x:v>1.5949908459728</x:v>
      </x:c>
      <x:c r="H220" s="34" t="n">
        <x:f>-Assumptions!$B$9*E220</x:f>
        <x:v>1.07014994016629</x:v>
      </x:c>
      <x:c r="I220" s="34" t="n">
        <x:f>-Assumptions!$B$10*E220</x:f>
        <x:v>1.7870437943042614</x:v>
      </x:c>
      <x:c r="J220" s="36" t="n">
        <x:f>IF(C220&lt;-F220,1,0)</x:f>
        <x:v>0</x:v>
      </x:c>
      <x:c r="K220" s="36" t="n">
        <x:f>IF(C220&lt;-G220,1,0)</x:f>
        <x:v>0</x:v>
      </x:c>
      <x:c r="L220" s="36" t="n">
        <x:f>IF(C220&lt;-H220,1,0)</x:f>
        <x:v>0</x:v>
      </x:c>
      <x:c r="M220" s="36" t="n">
        <x:f>IF(C220&lt;-I220,1,0)</x:f>
        <x:v>0</x:v>
      </x:c>
      <x:c r="N220" s="34" t="n">
        <x:f>-F220</x:f>
        <x:v>-1.1277446968392228</x:v>
      </x:c>
      <x:c r="O220" s="34" t="n">
        <x:f>-H220</x:f>
        <x:v>-1.07014994016629</x:v>
      </x:c>
      <x:c r="P220" s="34" t="n">
        <x:f>-G220</x:f>
        <x:v>-1.5949908459728</x:v>
      </x:c>
      <x:c r="Q220" s="34" t="n">
        <x:f>-I220</x:f>
        <x:v>-1.7870437943042614</x:v>
      </x:c>
      <x:c r="R220" s="36" t="n">
        <x:f>YEAR(A220)</x:f>
        <x:v>2021</x:v>
      </x:c>
    </x:row>
    <x:row r="221">
      <x:c r="A221" s="30" t="n">
        <x:v>44505</x:v>
      </x:c>
      <x:c r="B221" s="38" t="n">
        <x:v>4697.53</x:v>
      </x:c>
      <x:c r="C221" s="34" t="n">
        <x:f>(B221/B220-1)*100</x:f>
        <x:v>0.37328581257503046</x:v>
      </x:c>
      <x:c r="D221" s="34" t="n">
        <x:f>Assumptions!$B$4*D220+(1-Assumptions!$B$4)*C220^2</x:f>
        <x:v>0.45236334932390593</x:v>
      </x:c>
      <x:c r="E221" s="34" t="n">
        <x:f>SQRT(D221)</x:f>
        <x:v>0.6725796230364892</x:v>
      </x:c>
      <x:c r="F221" s="34" t="n">
        <x:f>-Assumptions!$B$7*E221</x:f>
        <x:v>1.1062950323652236</x:v>
      </x:c>
      <x:c r="G221" s="34" t="n">
        <x:f>-Assumptions!$B$8*E221</x:f>
        <x:v>1.5646541761741264</x:v>
      </x:c>
      <x:c r="H221" s="34" t="n">
        <x:f>-Assumptions!$B$9*E221</x:f>
        <x:v>1.0497957259387505</x:v>
      </x:c>
      <x:c r="I221" s="34" t="n">
        <x:f>-Assumptions!$B$10*E221</x:f>
        <x:v>1.753054284182332</x:v>
      </x:c>
      <x:c r="J221" s="36" t="n">
        <x:f>IF(C221&lt;-F221,1,0)</x:f>
        <x:v>0</x:v>
      </x:c>
      <x:c r="K221" s="36" t="n">
        <x:f>IF(C221&lt;-G221,1,0)</x:f>
        <x:v>0</x:v>
      </x:c>
      <x:c r="L221" s="36" t="n">
        <x:f>IF(C221&lt;-H221,1,0)</x:f>
        <x:v>0</x:v>
      </x:c>
      <x:c r="M221" s="36" t="n">
        <x:f>IF(C221&lt;-I221,1,0)</x:f>
        <x:v>0</x:v>
      </x:c>
      <x:c r="N221" s="34" t="n">
        <x:f>-F221</x:f>
        <x:v>-1.1062950323652236</x:v>
      </x:c>
      <x:c r="O221" s="34" t="n">
        <x:f>-H221</x:f>
        <x:v>-1.0497957259387505</x:v>
      </x:c>
      <x:c r="P221" s="34" t="n">
        <x:f>-G221</x:f>
        <x:v>-1.5646541761741264</x:v>
      </x:c>
      <x:c r="Q221" s="34" t="n">
        <x:f>-I221</x:f>
        <x:v>-1.753054284182332</x:v>
      </x:c>
      <x:c r="R221" s="36" t="n">
        <x:f>YEAR(A221)</x:f>
        <x:v>2021</x:v>
      </x:c>
    </x:row>
    <x:row r="222">
      <x:c r="A222" s="30" t="n">
        <x:v>44508</x:v>
      </x:c>
      <x:c r="B222" s="38" t="n">
        <x:v>4701.7</x:v>
      </x:c>
      <x:c r="C222" s="34" t="n">
        <x:f>(B222/B221-1)*100</x:f>
        <x:v>0.08877005575269603</x:v>
      </x:c>
      <x:c r="D222" s="34" t="n">
        <x:f>Assumptions!$B$4*D221+(1-Assumptions!$B$4)*C221^2</x:f>
        <x:v>0.4335820862366596</x:v>
      </x:c>
      <x:c r="E222" s="34" t="n">
        <x:f>SQRT(D222)</x:f>
        <x:v>0.6584695028903462</x:v>
      </x:c>
      <x:c r="F222" s="34" t="n">
        <x:f>-Assumptions!$B$7*E222</x:f>
        <x:v>1.0830859500661194</x:v>
      </x:c>
      <x:c r="G222" s="34" t="n">
        <x:f>-Assumptions!$B$8*E222</x:f>
        <x:v>1.5318291281696859</x:v>
      </x:c>
      <x:c r="H222" s="34" t="n">
        <x:f>-Assumptions!$B$9*E222</x:f>
        <x:v>1.0277719486571428</x:v>
      </x:c>
      <x:c r="I222" s="34" t="n">
        <x:f>-Assumptions!$B$10*E222</x:f>
        <x:v>1.7162767700779813</x:v>
      </x:c>
      <x:c r="J222" s="36" t="n">
        <x:f>IF(C222&lt;-F222,1,0)</x:f>
        <x:v>0</x:v>
      </x:c>
      <x:c r="K222" s="36" t="n">
        <x:f>IF(C222&lt;-G222,1,0)</x:f>
        <x:v>0</x:v>
      </x:c>
      <x:c r="L222" s="36" t="n">
        <x:f>IF(C222&lt;-H222,1,0)</x:f>
        <x:v>0</x:v>
      </x:c>
      <x:c r="M222" s="36" t="n">
        <x:f>IF(C222&lt;-I222,1,0)</x:f>
        <x:v>0</x:v>
      </x:c>
      <x:c r="N222" s="34" t="n">
        <x:f>-F222</x:f>
        <x:v>-1.0830859500661194</x:v>
      </x:c>
      <x:c r="O222" s="34" t="n">
        <x:f>-H222</x:f>
        <x:v>-1.0277719486571428</x:v>
      </x:c>
      <x:c r="P222" s="34" t="n">
        <x:f>-G222</x:f>
        <x:v>-1.5318291281696859</x:v>
      </x:c>
      <x:c r="Q222" s="34" t="n">
        <x:f>-I222</x:f>
        <x:v>-1.7162767700779813</x:v>
      </x:c>
      <x:c r="R222" s="36" t="n">
        <x:f>YEAR(A222)</x:f>
        <x:v>2021</x:v>
      </x:c>
    </x:row>
    <x:row r="223">
      <x:c r="A223" s="30" t="n">
        <x:v>44509</x:v>
      </x:c>
      <x:c r="B223" s="38" t="n">
        <x:v>4685.25</x:v>
      </x:c>
      <x:c r="C223" s="34" t="n">
        <x:f>(B223/B222-1)*100</x:f>
        <x:v>-0.34987345002870374</x:v>
      </x:c>
      <x:c r="D223" s="34" t="n">
        <x:f>Assumptions!$B$4*D222+(1-Assumptions!$B$4)*C222^2</x:f>
        <x:v>0.4080399684303602</x:v>
      </x:c>
      <x:c r="E223" s="34" t="n">
        <x:f>SQRT(D223)</x:f>
        <x:v>0.6387800626431294</x:v>
      </x:c>
      <x:c r="F223" s="34" t="n">
        <x:f>-Assumptions!$B$7*E223</x:f>
        <x:v>1.0506997028628404</x:v>
      </x:c>
      <x:c r="G223" s="34" t="n">
        <x:f>-Assumptions!$B$8*E223</x:f>
        <x:v>1.4860246407095188</x:v>
      </x:c>
      <x:c r="H223" s="34" t="n">
        <x:f>-Assumptions!$B$9*E223</x:f>
        <x:v>0.9970396910779785</x:v>
      </x:c>
      <x:c r="I223" s="34" t="n">
        <x:f>-Assumptions!$B$10*E223</x:f>
        <x:v>1.6649569613946562</x:v>
      </x:c>
      <x:c r="J223" s="36" t="n">
        <x:f>IF(C223&lt;-F223,1,0)</x:f>
        <x:v>0</x:v>
      </x:c>
      <x:c r="K223" s="36" t="n">
        <x:f>IF(C223&lt;-G223,1,0)</x:f>
        <x:v>0</x:v>
      </x:c>
      <x:c r="L223" s="36" t="n">
        <x:f>IF(C223&lt;-H223,1,0)</x:f>
        <x:v>0</x:v>
      </x:c>
      <x:c r="M223" s="36" t="n">
        <x:f>IF(C223&lt;-I223,1,0)</x:f>
        <x:v>0</x:v>
      </x:c>
      <x:c r="N223" s="34" t="n">
        <x:f>-F223</x:f>
        <x:v>-1.0506997028628404</x:v>
      </x:c>
      <x:c r="O223" s="34" t="n">
        <x:f>-H223</x:f>
        <x:v>-0.9970396910779785</x:v>
      </x:c>
      <x:c r="P223" s="34" t="n">
        <x:f>-G223</x:f>
        <x:v>-1.4860246407095188</x:v>
      </x:c>
      <x:c r="Q223" s="34" t="n">
        <x:f>-I223</x:f>
        <x:v>-1.6649569613946562</x:v>
      </x:c>
      <x:c r="R223" s="36" t="n">
        <x:f>YEAR(A223)</x:f>
        <x:v>2021</x:v>
      </x:c>
    </x:row>
    <x:row r="224">
      <x:c r="A224" s="30" t="n">
        <x:v>44510</x:v>
      </x:c>
      <x:c r="B224" s="38" t="n">
        <x:v>4646.71</x:v>
      </x:c>
      <x:c r="C224" s="34" t="n">
        <x:f>(B224/B223-1)*100</x:f>
        <x:v>-0.8225815057894437</x:v>
      </x:c>
      <x:c r="D224" s="34" t="n">
        <x:f>Assumptions!$B$4*D223+(1-Assumptions!$B$4)*C223^2</x:f>
        <x:v>0.3909022561866379</x:v>
      </x:c>
      <x:c r="E224" s="34" t="n">
        <x:f>SQRT(D224)</x:f>
        <x:v>0.6252217656053234</x:v>
      </x:c>
      <x:c r="F224" s="34" t="n">
        <x:f>-Assumptions!$B$7*E224</x:f>
        <x:v>1.02839828880492</x:v>
      </x:c>
      <x:c r="G224" s="34" t="n">
        <x:f>-Assumptions!$B$8*E224</x:f>
        <x:v>1.4544833252200047</x:v>
      </x:c>
      <x:c r="H224" s="34" t="n">
        <x:f>-Assumptions!$B$9*E224</x:f>
        <x:v>0.9758772267484213</x:v>
      </x:c>
      <x:c r="I224" s="34" t="n">
        <x:f>-Assumptions!$B$10*E224</x:f>
        <x:v>1.6296177541182966</x:v>
      </x:c>
      <x:c r="J224" s="36" t="n">
        <x:f>IF(C224&lt;-F224,1,0)</x:f>
        <x:v>0</x:v>
      </x:c>
      <x:c r="K224" s="36" t="n">
        <x:f>IF(C224&lt;-G224,1,0)</x:f>
        <x:v>0</x:v>
      </x:c>
      <x:c r="L224" s="36" t="n">
        <x:f>IF(C224&lt;-H224,1,0)</x:f>
        <x:v>0</x:v>
      </x:c>
      <x:c r="M224" s="36" t="n">
        <x:f>IF(C224&lt;-I224,1,0)</x:f>
        <x:v>0</x:v>
      </x:c>
      <x:c r="N224" s="34" t="n">
        <x:f>-F224</x:f>
        <x:v>-1.02839828880492</x:v>
      </x:c>
      <x:c r="O224" s="34" t="n">
        <x:f>-H224</x:f>
        <x:v>-0.9758772267484213</x:v>
      </x:c>
      <x:c r="P224" s="34" t="n">
        <x:f>-G224</x:f>
        <x:v>-1.4544833252200047</x:v>
      </x:c>
      <x:c r="Q224" s="34" t="n">
        <x:f>-I224</x:f>
        <x:v>-1.6296177541182966</x:v>
      </x:c>
      <x:c r="R224" s="36" t="n">
        <x:f>YEAR(A224)</x:f>
        <x:v>2021</x:v>
      </x:c>
    </x:row>
    <x:row r="225">
      <x:c r="A225" s="30" t="n">
        <x:v>44511</x:v>
      </x:c>
      <x:c r="B225" s="38" t="n">
        <x:v>4649.27</x:v>
      </x:c>
      <x:c r="C225" s="34" t="n">
        <x:f>(B225/B224-1)*100</x:f>
        <x:v>0.05509274303756584</x:v>
      </x:c>
      <x:c r="D225" s="34" t="n">
        <x:f>Assumptions!$B$4*D224+(1-Assumptions!$B$4)*C224^2</x:f>
        <x:v>0.40804654083544933</x:v>
      </x:c>
      <x:c r="E225" s="34" t="n">
        <x:f>SQRT(D225)</x:f>
        <x:v>0.6387852071200846</x:v>
      </x:c>
      <x:c r="F225" s="34" t="n">
        <x:f>-Assumptions!$B$7*E225</x:f>
        <x:v>1.050708164774419</x:v>
      </x:c>
      <x:c r="G225" s="34" t="n">
        <x:f>-Assumptions!$B$8*E225</x:f>
        <x:v>1.4860366085525467</x:v>
      </x:c>
      <x:c r="H225" s="34" t="n">
        <x:f>-Assumptions!$B$9*E225</x:f>
        <x:v>0.9970477208334674</x:v>
      </x:c>
      <x:c r="I225" s="34" t="n">
        <x:f>-Assumptions!$B$10*E225</x:f>
        <x:v>1.6649703702864176</x:v>
      </x:c>
      <x:c r="J225" s="36" t="n">
        <x:f>IF(C225&lt;-F225,1,0)</x:f>
        <x:v>0</x:v>
      </x:c>
      <x:c r="K225" s="36" t="n">
        <x:f>IF(C225&lt;-G225,1,0)</x:f>
        <x:v>0</x:v>
      </x:c>
      <x:c r="L225" s="36" t="n">
        <x:f>IF(C225&lt;-H225,1,0)</x:f>
        <x:v>0</x:v>
      </x:c>
      <x:c r="M225" s="36" t="n">
        <x:f>IF(C225&lt;-I225,1,0)</x:f>
        <x:v>0</x:v>
      </x:c>
      <x:c r="N225" s="34" t="n">
        <x:f>-F225</x:f>
        <x:v>-1.050708164774419</x:v>
      </x:c>
      <x:c r="O225" s="34" t="n">
        <x:f>-H225</x:f>
        <x:v>-0.9970477208334674</x:v>
      </x:c>
      <x:c r="P225" s="34" t="n">
        <x:f>-G225</x:f>
        <x:v>-1.4860366085525467</x:v>
      </x:c>
      <x:c r="Q225" s="34" t="n">
        <x:f>-I225</x:f>
        <x:v>-1.6649703702864176</x:v>
      </x:c>
      <x:c r="R225" s="36" t="n">
        <x:f>YEAR(A225)</x:f>
        <x:v>2021</x:v>
      </x:c>
    </x:row>
    <x:row r="226">
      <x:c r="A226" s="30" t="n">
        <x:v>44512</x:v>
      </x:c>
      <x:c r="B226" s="38" t="n">
        <x:v>4682.85</x:v>
      </x:c>
      <x:c r="C226" s="34" t="n">
        <x:f>(B226/B225-1)*100</x:f>
        <x:v>0.7222639253044116</x:v>
      </x:c>
      <x:c r="D226" s="34" t="n">
        <x:f>Assumptions!$B$4*D225+(1-Assumptions!$B$4)*C225^2</x:f>
        <x:v>0.38374586100544655</x:v>
      </x:c>
      <x:c r="E226" s="34" t="n">
        <x:f>SQRT(D226)</x:f>
        <x:v>0.6194722439346629</x:v>
      </x:c>
      <x:c r="F226" s="34" t="n">
        <x:f>-Assumptions!$B$7*E226</x:f>
        <x:v>1.018941167231698</x:v>
      </x:c>
      <x:c r="G226" s="34" t="n">
        <x:f>-Assumptions!$B$8*E226</x:f>
        <x:v>1.441107937704712</x:v>
      </x:c>
      <x:c r="H226" s="34" t="n">
        <x:f>-Assumptions!$B$9*E226</x:f>
        <x:v>0.966903087376191</x:v>
      </x:c>
      <x:c r="I226" s="34" t="n">
        <x:f>-Assumptions!$B$10*E226</x:f>
        <x:v>1.6146318353489382</x:v>
      </x:c>
      <x:c r="J226" s="36" t="n">
        <x:f>IF(C226&lt;-F226,1,0)</x:f>
        <x:v>0</x:v>
      </x:c>
      <x:c r="K226" s="36" t="n">
        <x:f>IF(C226&lt;-G226,1,0)</x:f>
        <x:v>0</x:v>
      </x:c>
      <x:c r="L226" s="36" t="n">
        <x:f>IF(C226&lt;-H226,1,0)</x:f>
        <x:v>0</x:v>
      </x:c>
      <x:c r="M226" s="36" t="n">
        <x:f>IF(C226&lt;-I226,1,0)</x:f>
        <x:v>0</x:v>
      </x:c>
      <x:c r="N226" s="34" t="n">
        <x:f>-F226</x:f>
        <x:v>-1.018941167231698</x:v>
      </x:c>
      <x:c r="O226" s="34" t="n">
        <x:f>-H226</x:f>
        <x:v>-0.966903087376191</x:v>
      </x:c>
      <x:c r="P226" s="34" t="n">
        <x:f>-G226</x:f>
        <x:v>-1.441107937704712</x:v>
      </x:c>
      <x:c r="Q226" s="34" t="n">
        <x:f>-I226</x:f>
        <x:v>-1.6146318353489382</x:v>
      </x:c>
      <x:c r="R226" s="36" t="n">
        <x:f>YEAR(A226)</x:f>
        <x:v>2021</x:v>
      </x:c>
    </x:row>
    <x:row r="227">
      <x:c r="A227" s="30" t="n">
        <x:v>44515</x:v>
      </x:c>
      <x:c r="B227" s="38" t="n">
        <x:v>4682.8</x:v>
      </x:c>
      <x:c r="C227" s="34" t="n">
        <x:f>(B227/B226-1)*100</x:f>
        <x:v>-0.0010677258507119092</x:v>
      </x:c>
      <x:c r="D227" s="34" t="n">
        <x:f>Assumptions!$B$4*D226+(1-Assumptions!$B$4)*C226^2</x:f>
        <x:v>0.39202102001288797</x:v>
      </x:c>
      <x:c r="E227" s="34" t="n">
        <x:f>SQRT(D227)</x:f>
        <x:v>0.6261158199669514</x:v>
      </x:c>
      <x:c r="F227" s="34" t="n">
        <x:f>-Assumptions!$B$7*E227</x:f>
        <x:v>1.0298688773643354</x:v>
      </x:c>
      <x:c r="G227" s="34" t="n">
        <x:f>-Assumptions!$B$8*E227</x:f>
        <x:v>1.456563206683455</x:v>
      </x:c>
      <x:c r="H227" s="34" t="n">
        <x:f>-Assumptions!$B$9*E227</x:f>
        <x:v>0.9772727112612536</x:v>
      </x:c>
      <x:c r="I227" s="34" t="n">
        <x:f>-Assumptions!$B$10*E227</x:f>
        <x:v>1.6319480742399022</x:v>
      </x:c>
      <x:c r="J227" s="36" t="n">
        <x:f>IF(C227&lt;-F227,1,0)</x:f>
        <x:v>0</x:v>
      </x:c>
      <x:c r="K227" s="36" t="n">
        <x:f>IF(C227&lt;-G227,1,0)</x:f>
        <x:v>0</x:v>
      </x:c>
      <x:c r="L227" s="36" t="n">
        <x:f>IF(C227&lt;-H227,1,0)</x:f>
        <x:v>0</x:v>
      </x:c>
      <x:c r="M227" s="36" t="n">
        <x:f>IF(C227&lt;-I227,1,0)</x:f>
        <x:v>0</x:v>
      </x:c>
      <x:c r="N227" s="34" t="n">
        <x:f>-F227</x:f>
        <x:v>-1.0298688773643354</x:v>
      </x:c>
      <x:c r="O227" s="34" t="n">
        <x:f>-H227</x:f>
        <x:v>-0.9772727112612536</x:v>
      </x:c>
      <x:c r="P227" s="34" t="n">
        <x:f>-G227</x:f>
        <x:v>-1.456563206683455</x:v>
      </x:c>
      <x:c r="Q227" s="34" t="n">
        <x:f>-I227</x:f>
        <x:v>-1.6319480742399022</x:v>
      </x:c>
      <x:c r="R227" s="36" t="n">
        <x:f>YEAR(A227)</x:f>
        <x:v>2021</x:v>
      </x:c>
    </x:row>
    <x:row r="228">
      <x:c r="A228" s="30" t="n">
        <x:v>44516</x:v>
      </x:c>
      <x:c r="B228" s="38" t="n">
        <x:v>4700.9</x:v>
      </x:c>
      <x:c r="C228" s="34" t="n">
        <x:f>(B228/B227-1)*100</x:f>
        <x:v>0.3865208849406221</x:v>
      </x:c>
      <x:c r="D228" s="34" t="n">
        <x:f>Assumptions!$B$4*D227+(1-Assumptions!$B$4)*C227^2</x:f>
        <x:v>0.3684998272144242</x:v>
      </x:c>
      <x:c r="E228" s="34" t="n">
        <x:f>SQRT(D228)</x:f>
        <x:v>0.6070418661133877</x:v>
      </x:c>
      <x:c r="F228" s="34" t="n">
        <x:f>-Assumptions!$B$7*E228</x:f>
        <x:v>0.9984950151879962</x:v>
      </x:c>
      <x:c r="G228" s="34" t="n">
        <x:f>-Assumptions!$B$8*E228</x:f>
        <x:v>1.412190554686664</x:v>
      </x:c>
      <x:c r="H228" s="34" t="n">
        <x:f>-Assumptions!$B$9*E228</x:f>
        <x:v>0.9475011354561124</x:v>
      </x:c>
      <x:c r="I228" s="34" t="n">
        <x:f>-Assumptions!$B$10*E228</x:f>
        <x:v>1.5822325084183788</x:v>
      </x:c>
      <x:c r="J228" s="36" t="n">
        <x:f>IF(C228&lt;-F228,1,0)</x:f>
        <x:v>0</x:v>
      </x:c>
      <x:c r="K228" s="36" t="n">
        <x:f>IF(C228&lt;-G228,1,0)</x:f>
        <x:v>0</x:v>
      </x:c>
      <x:c r="L228" s="36" t="n">
        <x:f>IF(C228&lt;-H228,1,0)</x:f>
        <x:v>0</x:v>
      </x:c>
      <x:c r="M228" s="36" t="n">
        <x:f>IF(C228&lt;-I228,1,0)</x:f>
        <x:v>0</x:v>
      </x:c>
      <x:c r="N228" s="34" t="n">
        <x:f>-F228</x:f>
        <x:v>-0.9984950151879962</x:v>
      </x:c>
      <x:c r="O228" s="34" t="n">
        <x:f>-H228</x:f>
        <x:v>-0.9475011354561124</x:v>
      </x:c>
      <x:c r="P228" s="34" t="n">
        <x:f>-G228</x:f>
        <x:v>-1.412190554686664</x:v>
      </x:c>
      <x:c r="Q228" s="34" t="n">
        <x:f>-I228</x:f>
        <x:v>-1.5822325084183788</x:v>
      </x:c>
      <x:c r="R228" s="36" t="n">
        <x:f>YEAR(A228)</x:f>
        <x:v>2021</x:v>
      </x:c>
    </x:row>
    <x:row r="229">
      <x:c r="A229" s="30" t="n">
        <x:v>44517</x:v>
      </x:c>
      <x:c r="B229" s="38" t="n">
        <x:v>4688.67</x:v>
      </x:c>
      <x:c r="C229" s="34" t="n">
        <x:f>(B229/B228-1)*100</x:f>
        <x:v>-0.26016294752068125</x:v>
      </x:c>
      <x:c r="D229" s="34" t="n">
        <x:f>Assumptions!$B$4*D228+(1-Assumptions!$B$4)*C228^2</x:f>
        <x:v>0.3553537412512756</x:v>
      </x:c>
      <x:c r="E229" s="34" t="n">
        <x:f>SQRT(D229)</x:f>
        <x:v>0.5961155435410787</x:v>
      </x:c>
      <x:c r="F229" s="34" t="n">
        <x:f>-Assumptions!$B$7*E229</x:f>
        <x:v>0.9805228138756918</x:v>
      </x:c>
      <x:c r="G229" s="34" t="n">
        <x:f>-Assumptions!$B$8*E229</x:f>
        <x:v>1.3867721273994884</x:v>
      </x:c>
      <x:c r="H229" s="34" t="n">
        <x:f>-Assumptions!$B$9*E229</x:f>
        <x:v>0.9304467877718148</x:v>
      </x:c>
      <x:c r="I229" s="34" t="n">
        <x:f>-Assumptions!$B$10*E229</x:f>
        <x:v>1.5537534466988636</x:v>
      </x:c>
      <x:c r="J229" s="36" t="n">
        <x:f>IF(C229&lt;-F229,1,0)</x:f>
        <x:v>0</x:v>
      </x:c>
      <x:c r="K229" s="36" t="n">
        <x:f>IF(C229&lt;-G229,1,0)</x:f>
        <x:v>0</x:v>
      </x:c>
      <x:c r="L229" s="36" t="n">
        <x:f>IF(C229&lt;-H229,1,0)</x:f>
        <x:v>0</x:v>
      </x:c>
      <x:c r="M229" s="36" t="n">
        <x:f>IF(C229&lt;-I229,1,0)</x:f>
        <x:v>0</x:v>
      </x:c>
      <x:c r="N229" s="34" t="n">
        <x:f>-F229</x:f>
        <x:v>-0.9805228138756918</x:v>
      </x:c>
      <x:c r="O229" s="34" t="n">
        <x:f>-H229</x:f>
        <x:v>-0.9304467877718148</x:v>
      </x:c>
      <x:c r="P229" s="34" t="n">
        <x:f>-G229</x:f>
        <x:v>-1.3867721273994884</x:v>
      </x:c>
      <x:c r="Q229" s="34" t="n">
        <x:f>-I229</x:f>
        <x:v>-1.5537534466988636</x:v>
      </x:c>
      <x:c r="R229" s="36" t="n">
        <x:f>YEAR(A229)</x:f>
        <x:v>2021</x:v>
      </x:c>
    </x:row>
    <x:row r="230">
      <x:c r="A230" s="30" t="n">
        <x:v>44518</x:v>
      </x:c>
      <x:c r="B230" s="38" t="n">
        <x:v>4704.54</x:v>
      </x:c>
      <x:c r="C230" s="34" t="n">
        <x:f>(B230/B229-1)*100</x:f>
        <x:v>0.338475516511072</x:v>
      </x:c>
      <x:c r="D230" s="34" t="n">
        <x:f>Assumptions!$B$4*D229+(1-Assumptions!$B$4)*C229^2</x:f>
        <x:v>0.33809360233195795</x:v>
      </x:c>
      <x:c r="E230" s="34" t="n">
        <x:f>SQRT(D230)</x:f>
        <x:v>0.5814581690302045</x:v>
      </x:c>
      <x:c r="F230" s="34" t="n">
        <x:f>-Assumptions!$B$7*E230</x:f>
        <x:v>0.9564135782498945</x:v>
      </x:c>
      <x:c r="G230" s="34" t="n">
        <x:f>-Assumptions!$B$8*E230</x:f>
        <x:v>1.352673975367096</x:v>
      </x:c>
      <x:c r="H230" s="34" t="n">
        <x:f>-Assumptions!$B$9*E230</x:f>
        <x:v>0.9075688286604005</x:v>
      </x:c>
      <x:c r="I230" s="34" t="n">
        <x:f>-Assumptions!$B$10*E230</x:f>
        <x:v>1.5155495340302831</x:v>
      </x:c>
      <x:c r="J230" s="36" t="n">
        <x:f>IF(C230&lt;-F230,1,0)</x:f>
        <x:v>0</x:v>
      </x:c>
      <x:c r="K230" s="36" t="n">
        <x:f>IF(C230&lt;-G230,1,0)</x:f>
        <x:v>0</x:v>
      </x:c>
      <x:c r="L230" s="36" t="n">
        <x:f>IF(C230&lt;-H230,1,0)</x:f>
        <x:v>0</x:v>
      </x:c>
      <x:c r="M230" s="36" t="n">
        <x:f>IF(C230&lt;-I230,1,0)</x:f>
        <x:v>0</x:v>
      </x:c>
      <x:c r="N230" s="34" t="n">
        <x:f>-F230</x:f>
        <x:v>-0.9564135782498945</x:v>
      </x:c>
      <x:c r="O230" s="34" t="n">
        <x:f>-H230</x:f>
        <x:v>-0.9075688286604005</x:v>
      </x:c>
      <x:c r="P230" s="34" t="n">
        <x:f>-G230</x:f>
        <x:v>-1.352673975367096</x:v>
      </x:c>
      <x:c r="Q230" s="34" t="n">
        <x:f>-I230</x:f>
        <x:v>-1.5155495340302831</x:v>
      </x:c>
      <x:c r="R230" s="36" t="n">
        <x:f>YEAR(A230)</x:f>
        <x:v>2021</x:v>
      </x:c>
    </x:row>
    <x:row r="231">
      <x:c r="A231" s="30" t="n">
        <x:v>44519</x:v>
      </x:c>
      <x:c r="B231" s="38" t="n">
        <x:v>4697.96</x:v>
      </x:c>
      <x:c r="C231" s="34" t="n">
        <x:f>(B231/B230-1)*100</x:f>
        <x:v>-0.13986489646171663</x:v>
      </x:c>
      <x:c r="D231" s="34" t="n">
        <x:f>Assumptions!$B$4*D230+(1-Assumptions!$B$4)*C230^2</x:f>
        <x:v>0.32468192670868673</x:v>
      </x:c>
      <x:c r="E231" s="34" t="n">
        <x:f>SQRT(D231)</x:f>
        <x:v>0.5698086755295033</x:v>
      </x:c>
      <x:c r="F231" s="34" t="n">
        <x:f>-Assumptions!$B$7*E231</x:f>
        <x:v>0.9372518666131185</x:v>
      </x:c>
      <x:c r="G231" s="34" t="n">
        <x:f>-Assumptions!$B$8*E231</x:f>
        <x:v>1.325573200928087</x:v>
      </x:c>
      <x:c r="H231" s="34" t="n">
        <x:f>-Assumptions!$B$9*E231</x:f>
        <x:v>0.8893857198246398</x:v>
      </x:c>
      <x:c r="I231" s="34" t="n">
        <x:f>-Assumptions!$B$10*E231</x:f>
        <x:v>1.4851855536323064</x:v>
      </x:c>
      <x:c r="J231" s="36" t="n">
        <x:f>IF(C231&lt;-F231,1,0)</x:f>
        <x:v>0</x:v>
      </x:c>
      <x:c r="K231" s="36" t="n">
        <x:f>IF(C231&lt;-G231,1,0)</x:f>
        <x:v>0</x:v>
      </x:c>
      <x:c r="L231" s="36" t="n">
        <x:f>IF(C231&lt;-H231,1,0)</x:f>
        <x:v>0</x:v>
      </x:c>
      <x:c r="M231" s="36" t="n">
        <x:f>IF(C231&lt;-I231,1,0)</x:f>
        <x:v>0</x:v>
      </x:c>
      <x:c r="N231" s="34" t="n">
        <x:f>-F231</x:f>
        <x:v>-0.9372518666131185</x:v>
      </x:c>
      <x:c r="O231" s="34" t="n">
        <x:f>-H231</x:f>
        <x:v>-0.8893857198246398</x:v>
      </x:c>
      <x:c r="P231" s="34" t="n">
        <x:f>-G231</x:f>
        <x:v>-1.325573200928087</x:v>
      </x:c>
      <x:c r="Q231" s="34" t="n">
        <x:f>-I231</x:f>
        <x:v>-1.4851855536323064</x:v>
      </x:c>
      <x:c r="R231" s="36" t="n">
        <x:f>YEAR(A231)</x:f>
        <x:v>2021</x:v>
      </x:c>
    </x:row>
    <x:row r="232">
      <x:c r="A232" s="30" t="n">
        <x:v>44522</x:v>
      </x:c>
      <x:c r="B232" s="38" t="n">
        <x:v>4682.94</x:v>
      </x:c>
      <x:c r="C232" s="34" t="n">
        <x:f>(B232/B231-1)*100</x:f>
        <x:v>-0.31971323723489764</x:v>
      </x:c>
      <x:c r="D232" s="34" t="n">
        <x:f>Assumptions!$B$4*D231+(1-Assumptions!$B$4)*C231^2</x:f>
        <x:v>0.3063747424619003</x:v>
      </x:c>
      <x:c r="E232" s="34" t="n">
        <x:f>SQRT(D232)</x:f>
        <x:v>0.5535112848550608</x:v>
      </x:c>
      <x:c r="F232" s="34" t="n">
        <x:f>-Assumptions!$B$7*E232</x:f>
        <x:v>0.9104450444524167</x:v>
      </x:c>
      <x:c r="G232" s="34" t="n">
        <x:f>-Assumptions!$B$8*E232</x:f>
        <x:v>1.2876598007801847</x:v>
      </x:c>
      <x:c r="H232" s="34" t="n">
        <x:f>-Assumptions!$B$9*E232</x:f>
        <x:v>0.8639479419200071</x:v>
      </x:c>
      <x:c r="I232" s="34" t="n">
        <x:f>-Assumptions!$B$10*E232</x:f>
        <x:v>1.4427069985820673</x:v>
      </x:c>
      <x:c r="J232" s="36" t="n">
        <x:f>IF(C232&lt;-F232,1,0)</x:f>
        <x:v>0</x:v>
      </x:c>
      <x:c r="K232" s="36" t="n">
        <x:f>IF(C232&lt;-G232,1,0)</x:f>
        <x:v>0</x:v>
      </x:c>
      <x:c r="L232" s="36" t="n">
        <x:f>IF(C232&lt;-H232,1,0)</x:f>
        <x:v>0</x:v>
      </x:c>
      <x:c r="M232" s="36" t="n">
        <x:f>IF(C232&lt;-I232,1,0)</x:f>
        <x:v>0</x:v>
      </x:c>
      <x:c r="N232" s="34" t="n">
        <x:f>-F232</x:f>
        <x:v>-0.9104450444524167</x:v>
      </x:c>
      <x:c r="O232" s="34" t="n">
        <x:f>-H232</x:f>
        <x:v>-0.8639479419200071</x:v>
      </x:c>
      <x:c r="P232" s="34" t="n">
        <x:f>-G232</x:f>
        <x:v>-1.2876598007801847</x:v>
      </x:c>
      <x:c r="Q232" s="34" t="n">
        <x:f>-I232</x:f>
        <x:v>-1.4427069985820673</x:v>
      </x:c>
      <x:c r="R232" s="36" t="n">
        <x:f>YEAR(A232)</x:f>
        <x:v>2021</x:v>
      </x:c>
    </x:row>
    <x:row r="233">
      <x:c r="A233" s="30" t="n">
        <x:v>44523</x:v>
      </x:c>
      <x:c r="B233" s="38" t="n">
        <x:v>4690.7</x:v>
      </x:c>
      <x:c r="C233" s="34" t="n">
        <x:f>(B233/B232-1)*100</x:f>
        <x:v>0.16570786727996278</x:v>
      </x:c>
      <x:c r="D233" s="34" t="n">
        <x:f>Assumptions!$B$4*D232+(1-Assumptions!$B$4)*C232^2</x:f>
        <x:v>0.29412525115797933</x:v>
      </x:c>
      <x:c r="E233" s="34" t="n">
        <x:f>SQRT(D233)</x:f>
        <x:v>0.5423331551343503</x:v>
      </x:c>
      <x:c r="F233" s="34" t="n">
        <x:f>-Assumptions!$B$7*E233</x:f>
        <x:v>0.8920586572387719</x:v>
      </x:c>
      <x:c r="G233" s="34" t="n">
        <x:f>-Assumptions!$B$8*E233</x:f>
        <x:v>1.261655582468657</x:v>
      </x:c>
      <x:c r="H233" s="34" t="n">
        <x:f>-Assumptions!$B$9*E233</x:f>
        <x:v>0.8465005611150221</x:v>
      </x:c>
      <x:c r="I233" s="34" t="n">
        <x:f>-Assumptions!$B$10*E233</x:f>
        <x:v>1.4135716107040222</x:v>
      </x:c>
      <x:c r="J233" s="36" t="n">
        <x:f>IF(C233&lt;-F233,1,0)</x:f>
        <x:v>0</x:v>
      </x:c>
      <x:c r="K233" s="36" t="n">
        <x:f>IF(C233&lt;-G233,1,0)</x:f>
        <x:v>0</x:v>
      </x:c>
      <x:c r="L233" s="36" t="n">
        <x:f>IF(C233&lt;-H233,1,0)</x:f>
        <x:v>0</x:v>
      </x:c>
      <x:c r="M233" s="36" t="n">
        <x:f>IF(C233&lt;-I233,1,0)</x:f>
        <x:v>0</x:v>
      </x:c>
      <x:c r="N233" s="34" t="n">
        <x:f>-F233</x:f>
        <x:v>-0.8920586572387719</x:v>
      </x:c>
      <x:c r="O233" s="34" t="n">
        <x:f>-H233</x:f>
        <x:v>-0.8465005611150221</x:v>
      </x:c>
      <x:c r="P233" s="34" t="n">
        <x:f>-G233</x:f>
        <x:v>-1.261655582468657</x:v>
      </x:c>
      <x:c r="Q233" s="34" t="n">
        <x:f>-I233</x:f>
        <x:v>-1.4135716107040222</x:v>
      </x:c>
      <x:c r="R233" s="36" t="n">
        <x:f>YEAR(A233)</x:f>
        <x:v>2021</x:v>
      </x:c>
    </x:row>
    <x:row r="234">
      <x:c r="A234" s="30" t="n">
        <x:v>44524</x:v>
      </x:c>
      <x:c r="B234" s="38" t="n">
        <x:v>4701.46</x:v>
      </x:c>
      <x:c r="C234" s="34" t="n">
        <x:f>(B234/B233-1)*100</x:f>
        <x:v>0.2293900697124096</x:v>
      </x:c>
      <x:c r="D234" s="34" t="n">
        <x:f>Assumptions!$B$4*D233+(1-Assumptions!$B$4)*C233^2</x:f>
        <x:v>0.278125281925209</x:v>
      </x:c>
      <x:c r="E234" s="34" t="n">
        <x:f>SQRT(D234)</x:f>
        <x:v>0.5273758450338895</x:v>
      </x:c>
      <x:c r="F234" s="34" t="n">
        <x:f>-Assumptions!$B$7*E234</x:f>
        <x:v>0.867456071470591</x:v>
      </x:c>
      <x:c r="G234" s="34" t="n">
        <x:f>-Assumptions!$B$8*E234</x:f>
        <x:v>1.2268596759150805</x:v>
      </x:c>
      <x:c r="H234" s="34" t="n">
        <x:f>-Assumptions!$B$9*E234</x:f>
        <x:v>0.8231544476182825</x:v>
      </x:c>
      <x:c r="I234" s="34" t="n">
        <x:f>-Assumptions!$B$10*E234</x:f>
        <x:v>1.3745859268483667</x:v>
      </x:c>
      <x:c r="J234" s="36" t="n">
        <x:f>IF(C234&lt;-F234,1,0)</x:f>
        <x:v>0</x:v>
      </x:c>
      <x:c r="K234" s="36" t="n">
        <x:f>IF(C234&lt;-G234,1,0)</x:f>
        <x:v>0</x:v>
      </x:c>
      <x:c r="L234" s="36" t="n">
        <x:f>IF(C234&lt;-H234,1,0)</x:f>
        <x:v>0</x:v>
      </x:c>
      <x:c r="M234" s="36" t="n">
        <x:f>IF(C234&lt;-I234,1,0)</x:f>
        <x:v>0</x:v>
      </x:c>
      <x:c r="N234" s="34" t="n">
        <x:f>-F234</x:f>
        <x:v>-0.867456071470591</x:v>
      </x:c>
      <x:c r="O234" s="34" t="n">
        <x:f>-H234</x:f>
        <x:v>-0.8231544476182825</x:v>
      </x:c>
      <x:c r="P234" s="34" t="n">
        <x:f>-G234</x:f>
        <x:v>-1.2268596759150805</x:v>
      </x:c>
      <x:c r="Q234" s="34" t="n">
        <x:f>-I234</x:f>
        <x:v>-1.3745859268483667</x:v>
      </x:c>
      <x:c r="R234" s="36" t="n">
        <x:f>YEAR(A234)</x:f>
        <x:v>2021</x:v>
      </x:c>
    </x:row>
    <x:row r="235">
      <x:c r="A235" s="30" t="n">
        <x:v>44526</x:v>
      </x:c>
      <x:c r="B235" s="38" t="n">
        <x:v>4594.62</x:v>
      </x:c>
      <x:c r="C235" s="34" t="n">
        <x:f>(B235/B234-1)*100</x:f>
        <x:v>-2.272485568312821</x:v>
      </x:c>
      <x:c r="D235" s="34" t="n">
        <x:f>Assumptions!$B$4*D234+(1-Assumptions!$B$4)*C234^2</x:f>
        <x:v>0.2645949532546563</x:v>
      </x:c>
      <x:c r="E235" s="34" t="n">
        <x:f>SQRT(D235)</x:f>
        <x:v>0.5143879404249835</x:v>
      </x:c>
      <x:c r="F235" s="34" t="n">
        <x:f>-Assumptions!$B$7*E235</x:f>
        <x:v>0.8460928694681322</x:v>
      </x:c>
      <x:c r="G235" s="34" t="n">
        <x:f>-Assumptions!$B$8*E235</x:f>
        <x:v>1.1966452916399068</x:v>
      </x:c>
      <x:c r="H235" s="34" t="n">
        <x:f>-Assumptions!$B$9*E235</x:f>
        <x:v>0.8028822801598431</x:v>
      </x:c>
      <x:c r="I235" s="34" t="n">
        <x:f>-Assumptions!$B$10*E235</x:f>
        <x:v>1.3407334266575324</x:v>
      </x:c>
      <x:c r="J235" s="36" t="n">
        <x:f>IF(C235&lt;-F235,1,0)</x:f>
        <x:v>1</x:v>
      </x:c>
      <x:c r="K235" s="36" t="n">
        <x:f>IF(C235&lt;-G235,1,0)</x:f>
        <x:v>1</x:v>
      </x:c>
      <x:c r="L235" s="36" t="n">
        <x:f>IF(C235&lt;-H235,1,0)</x:f>
        <x:v>1</x:v>
      </x:c>
      <x:c r="M235" s="36" t="n">
        <x:f>IF(C235&lt;-I235,1,0)</x:f>
        <x:v>1</x:v>
      </x:c>
      <x:c r="N235" s="34" t="n">
        <x:f>-F235</x:f>
        <x:v>-0.8460928694681322</x:v>
      </x:c>
      <x:c r="O235" s="34" t="n">
        <x:f>-H235</x:f>
        <x:v>-0.8028822801598431</x:v>
      </x:c>
      <x:c r="P235" s="34" t="n">
        <x:f>-G235</x:f>
        <x:v>-1.1966452916399068</x:v>
      </x:c>
      <x:c r="Q235" s="34" t="n">
        <x:f>-I235</x:f>
        <x:v>-1.3407334266575324</x:v>
      </x:c>
      <x:c r="R235" s="36" t="n">
        <x:f>YEAR(A235)</x:f>
        <x:v>2021</x:v>
      </x:c>
    </x:row>
    <x:row r="236">
      <x:c r="A236" s="30" t="n">
        <x:v>44529</x:v>
      </x:c>
      <x:c r="B236" s="38" t="n">
        <x:v>4655.27</x:v>
      </x:c>
      <x:c r="C236" s="34" t="n">
        <x:f>(B236/B235-1)*100</x:f>
        <x:v>1.3200221128189193</x:v>
      </x:c>
      <x:c r="D236" s="34" t="n">
        <x:f>Assumptions!$B$4*D235+(1-Assumptions!$B$4)*C235^2</x:f>
        <x:v>0.5585706955507799</x:v>
      </x:c>
      <x:c r="E236" s="34" t="n">
        <x:f>SQRT(D236)</x:f>
        <x:v>0.7473758730055312</x:v>
      </x:c>
      <x:c r="F236" s="34" t="n">
        <x:f>-Assumptions!$B$7*E236</x:f>
        <x:v>1.2293239154091713</x:v>
      </x:c>
      <x:c r="G236" s="34" t="n">
        <x:f>-Assumptions!$B$8*E236</x:f>
        <x:v>1.7386562732758346</x:v>
      </x:c>
      <x:c r="H236" s="34" t="n">
        <x:f>-Assumptions!$B$9*E236</x:f>
        <x:v>1.1665414328325299</x:v>
      </x:c>
      <x:c r="I236" s="34" t="n">
        <x:f>-Assumptions!$B$10*E236</x:f>
        <x:v>1.948007984767293</x:v>
      </x:c>
      <x:c r="J236" s="36" t="n">
        <x:f>IF(C236&lt;-F236,1,0)</x:f>
        <x:v>0</x:v>
      </x:c>
      <x:c r="K236" s="36" t="n">
        <x:f>IF(C236&lt;-G236,1,0)</x:f>
        <x:v>0</x:v>
      </x:c>
      <x:c r="L236" s="36" t="n">
        <x:f>IF(C236&lt;-H236,1,0)</x:f>
        <x:v>0</x:v>
      </x:c>
      <x:c r="M236" s="36" t="n">
        <x:f>IF(C236&lt;-I236,1,0)</x:f>
        <x:v>0</x:v>
      </x:c>
      <x:c r="N236" s="34" t="n">
        <x:f>-F236</x:f>
        <x:v>-1.2293239154091713</x:v>
      </x:c>
      <x:c r="O236" s="34" t="n">
        <x:f>-H236</x:f>
        <x:v>-1.1665414328325299</x:v>
      </x:c>
      <x:c r="P236" s="34" t="n">
        <x:f>-G236</x:f>
        <x:v>-1.7386562732758346</x:v>
      </x:c>
      <x:c r="Q236" s="34" t="n">
        <x:f>-I236</x:f>
        <x:v>-1.948007984767293</x:v>
      </x:c>
      <x:c r="R236" s="36" t="n">
        <x:f>YEAR(A236)</x:f>
        <x:v>2021</x:v>
      </x:c>
    </x:row>
    <x:row r="237">
      <x:c r="A237" s="30" t="n">
        <x:v>44530</x:v>
      </x:c>
      <x:c r="B237" s="38" t="n">
        <x:v>4567</x:v>
      </x:c>
      <x:c r="C237" s="34" t="n">
        <x:f>(B237/B236-1)*100</x:f>
        <x:v>-1.896130621854386</x:v>
      </x:c>
      <x:c r="D237" s="34" t="n">
        <x:f>Assumptions!$B$4*D236+(1-Assumptions!$B$4)*C236^2</x:f>
        <x:v>0.6296039565175886</x:v>
      </x:c>
      <x:c r="E237" s="34" t="n">
        <x:f>SQRT(D237)</x:f>
        <x:v>0.7934758701545931</x:v>
      </x:c>
      <x:c r="F237" s="34" t="n">
        <x:f>-Assumptions!$B$7*E237</x:f>
        <x:v>1.3051516629222584</x:v>
      </x:c>
      <x:c r="G237" s="34" t="n">
        <x:f>-Assumptions!$B$8*E237</x:f>
        <x:v>1.8459009036368434</x:v>
      </x:c>
      <x:c r="H237" s="34" t="n">
        <x:f>-Assumptions!$B$9*E237</x:f>
        <x:v>1.2384966011357006</x:v>
      </x:c>
      <x:c r="I237" s="34" t="n">
        <x:f>-Assumptions!$B$10*E237</x:f>
        <x:v>2.068165947832094</x:v>
      </x:c>
      <x:c r="J237" s="36" t="n">
        <x:f>IF(C237&lt;-F237,1,0)</x:f>
        <x:v>1</x:v>
      </x:c>
      <x:c r="K237" s="36" t="n">
        <x:f>IF(C237&lt;-G237,1,0)</x:f>
        <x:v>1</x:v>
      </x:c>
      <x:c r="L237" s="36" t="n">
        <x:f>IF(C237&lt;-H237,1,0)</x:f>
        <x:v>1</x:v>
      </x:c>
      <x:c r="M237" s="36" t="n">
        <x:f>IF(C237&lt;-I237,1,0)</x:f>
        <x:v>0</x:v>
      </x:c>
      <x:c r="N237" s="34" t="n">
        <x:f>-F237</x:f>
        <x:v>-1.3051516629222584</x:v>
      </x:c>
      <x:c r="O237" s="34" t="n">
        <x:f>-H237</x:f>
        <x:v>-1.2384966011357006</x:v>
      </x:c>
      <x:c r="P237" s="34" t="n">
        <x:f>-G237</x:f>
        <x:v>-1.8459009036368434</x:v>
      </x:c>
      <x:c r="Q237" s="34" t="n">
        <x:f>-I237</x:f>
        <x:v>-2.068165947832094</x:v>
      </x:c>
      <x:c r="R237" s="36" t="n">
        <x:f>YEAR(A237)</x:f>
        <x:v>2021</x:v>
      </x:c>
    </x:row>
    <x:row r="238">
      <x:c r="A238" s="30" t="n">
        <x:v>44531</x:v>
      </x:c>
      <x:c r="B238" s="38" t="n">
        <x:v>4513.04</x:v>
      </x:c>
      <x:c r="C238" s="34" t="n">
        <x:f>(B238/B237-1)*100</x:f>
        <x:v>-1.1815195971097037</x:v>
      </x:c>
      <x:c r="D238" s="34" t="n">
        <x:f>Assumptions!$B$4*D237+(1-Assumptions!$B$4)*C237^2</x:f>
        <x:v>0.8075463992345675</x:v>
      </x:c>
      <x:c r="E238" s="34" t="n">
        <x:f>SQRT(D238)</x:f>
        <x:v>0.8986358546344384</x:v>
      </x:c>
      <x:c r="F238" s="34" t="n">
        <x:f>-Assumptions!$B$7*E238</x:f>
        <x:v>1.4781244448040924</x:v>
      </x:c>
      <x:c r="G238" s="34" t="n">
        <x:f>-Assumptions!$B$8*E238</x:f>
        <x:v>2.0905396099656994</x:v>
      </x:c>
      <x:c r="H238" s="34" t="n">
        <x:f>-Assumptions!$B$9*E238</x:f>
        <x:v>1.4026355349742265</x:v>
      </x:c>
      <x:c r="I238" s="34" t="n">
        <x:f>-Assumptions!$B$10*E238</x:f>
        <x:v>2.3422616162150462</x:v>
      </x:c>
      <x:c r="J238" s="36" t="n">
        <x:f>IF(C238&lt;-F238,1,0)</x:f>
        <x:v>0</x:v>
      </x:c>
      <x:c r="K238" s="36" t="n">
        <x:f>IF(C238&lt;-G238,1,0)</x:f>
        <x:v>0</x:v>
      </x:c>
      <x:c r="L238" s="36" t="n">
        <x:f>IF(C238&lt;-H238,1,0)</x:f>
        <x:v>0</x:v>
      </x:c>
      <x:c r="M238" s="36" t="n">
        <x:f>IF(C238&lt;-I238,1,0)</x:f>
        <x:v>0</x:v>
      </x:c>
      <x:c r="N238" s="34" t="n">
        <x:f>-F238</x:f>
        <x:v>-1.4781244448040924</x:v>
      </x:c>
      <x:c r="O238" s="34" t="n">
        <x:f>-H238</x:f>
        <x:v>-1.4026355349742265</x:v>
      </x:c>
      <x:c r="P238" s="34" t="n">
        <x:f>-G238</x:f>
        <x:v>-2.0905396099656994</x:v>
      </x:c>
      <x:c r="Q238" s="34" t="n">
        <x:f>-I238</x:f>
        <x:v>-2.3422616162150462</x:v>
      </x:c>
      <x:c r="R238" s="36" t="n">
        <x:f>YEAR(A238)</x:f>
        <x:v>2021</x:v>
      </x:c>
    </x:row>
    <x:row r="239">
      <x:c r="A239" s="30" t="n">
        <x:v>44532</x:v>
      </x:c>
      <x:c r="B239" s="38" t="n">
        <x:v>4577.1</x:v>
      </x:c>
      <x:c r="C239" s="34" t="n">
        <x:f>(B239/B238-1)*100</x:f>
        <x:v>1.4194423271231882</x:v>
      </x:c>
      <x:c r="D239" s="34" t="n">
        <x:f>Assumptions!$B$4*D238+(1-Assumptions!$B$4)*C238^2</x:f>
        <x:v>0.8428529287817501</x:v>
      </x:c>
      <x:c r="E239" s="34" t="n">
        <x:f>SQRT(D239)</x:f>
        <x:v>0.9180702199623676</x:v>
      </x:c>
      <x:c r="F239" s="34" t="n">
        <x:f>-Assumptions!$B$7*E239</x:f>
        <x:v>1.5100911311012368</x:v>
      </x:c>
      <x:c r="G239" s="34" t="n">
        <x:f>-Assumptions!$B$8*E239</x:f>
        <x:v>2.1357507044296606</x:v>
      </x:c>
      <x:c r="H239" s="34" t="n">
        <x:f>-Assumptions!$B$9*E239</x:f>
        <x:v>1.432969658933384</x:v>
      </x:c>
      <x:c r="I239" s="34" t="n">
        <x:f>-Assumptions!$B$10*E239</x:f>
        <x:v>2.3929165814140774</x:v>
      </x:c>
      <x:c r="J239" s="36" t="n">
        <x:f>IF(C239&lt;-F239,1,0)</x:f>
        <x:v>0</x:v>
      </x:c>
      <x:c r="K239" s="36" t="n">
        <x:f>IF(C239&lt;-G239,1,0)</x:f>
        <x:v>0</x:v>
      </x:c>
      <x:c r="L239" s="36" t="n">
        <x:f>IF(C239&lt;-H239,1,0)</x:f>
        <x:v>0</x:v>
      </x:c>
      <x:c r="M239" s="36" t="n">
        <x:f>IF(C239&lt;-I239,1,0)</x:f>
        <x:v>0</x:v>
      </x:c>
      <x:c r="N239" s="34" t="n">
        <x:f>-F239</x:f>
        <x:v>-1.5100911311012368</x:v>
      </x:c>
      <x:c r="O239" s="34" t="n">
        <x:f>-H239</x:f>
        <x:v>-1.432969658933384</x:v>
      </x:c>
      <x:c r="P239" s="34" t="n">
        <x:f>-G239</x:f>
        <x:v>-2.1357507044296606</x:v>
      </x:c>
      <x:c r="Q239" s="34" t="n">
        <x:f>-I239</x:f>
        <x:v>-2.3929165814140774</x:v>
      </x:c>
      <x:c r="R239" s="36" t="n">
        <x:f>YEAR(A239)</x:f>
        <x:v>2021</x:v>
      </x:c>
    </x:row>
    <x:row r="240">
      <x:c r="A240" s="30" t="n">
        <x:v>44533</x:v>
      </x:c>
      <x:c r="B240" s="38" t="n">
        <x:v>4538.43</x:v>
      </x:c>
      <x:c r="C240" s="34" t="n">
        <x:f>(B240/B239-1)*100</x:f>
        <x:v>-0.8448580979222631</x:v>
      </x:c>
      <x:c r="D240" s="34" t="n">
        <x:f>Assumptions!$B$4*D239+(1-Assumptions!$B$4)*C239^2</x:f>
        <x:v>0.9131707442565786</x:v>
      </x:c>
      <x:c r="E240" s="34" t="n">
        <x:f>SQRT(D240)</x:f>
        <x:v>0.9555996778236056</x:v>
      </x:c>
      <x:c r="F240" s="34" t="n">
        <x:f>-Assumptions!$B$7*E240</x:f>
        <x:v>1.5718215959818165</x:v>
      </x:c>
      <x:c r="G240" s="34" t="n">
        <x:f>-Assumptions!$B$8*E240</x:f>
        <x:v>2.2230572789390566</x:v>
      </x:c>
      <x:c r="H240" s="34" t="n">
        <x:f>-Assumptions!$B$9*E240</x:f>
        <x:v>1.4915475032660075</x:v>
      </x:c>
      <x:c r="I240" s="34" t="n">
        <x:f>-Assumptions!$B$10*E240</x:f>
        <x:v>2.490735746065032</x:v>
      </x:c>
      <x:c r="J240" s="36" t="n">
        <x:f>IF(C240&lt;-F240,1,0)</x:f>
        <x:v>0</x:v>
      </x:c>
      <x:c r="K240" s="36" t="n">
        <x:f>IF(C240&lt;-G240,1,0)</x:f>
        <x:v>0</x:v>
      </x:c>
      <x:c r="L240" s="36" t="n">
        <x:f>IF(C240&lt;-H240,1,0)</x:f>
        <x:v>0</x:v>
      </x:c>
      <x:c r="M240" s="36" t="n">
        <x:f>IF(C240&lt;-I240,1,0)</x:f>
        <x:v>0</x:v>
      </x:c>
      <x:c r="N240" s="34" t="n">
        <x:f>-F240</x:f>
        <x:v>-1.5718215959818165</x:v>
      </x:c>
      <x:c r="O240" s="34" t="n">
        <x:f>-H240</x:f>
        <x:v>-1.4915475032660075</x:v>
      </x:c>
      <x:c r="P240" s="34" t="n">
        <x:f>-G240</x:f>
        <x:v>-2.2230572789390566</x:v>
      </x:c>
      <x:c r="Q240" s="34" t="n">
        <x:f>-I240</x:f>
        <x:v>-2.490735746065032</x:v>
      </x:c>
      <x:c r="R240" s="36" t="n">
        <x:f>YEAR(A240)</x:f>
        <x:v>2021</x:v>
      </x:c>
    </x:row>
    <x:row r="241">
      <x:c r="A241" s="30" t="n">
        <x:v>44536</x:v>
      </x:c>
      <x:c r="B241" s="38" t="n">
        <x:v>4591.67</x:v>
      </x:c>
      <x:c r="C241" s="34" t="n">
        <x:f>(B241/B240-1)*100</x:f>
        <x:v>1.1730928977641941</x:v>
      </x:c>
      <x:c r="D241" s="34" t="n">
        <x:f>Assumptions!$B$4*D240+(1-Assumptions!$B$4)*C240^2</x:f>
        <x:v>0.9012076119386734</x:v>
      </x:c>
      <x:c r="E241" s="34" t="n">
        <x:f>SQRT(D241)</x:f>
        <x:v>0.9493195520680449</x:v>
      </x:c>
      <x:c r="F241" s="34" t="n">
        <x:f>-Assumptions!$B$7*E241</x:f>
        <x:v>1.5614917083550712</x:v>
      </x:c>
      <x:c r="G241" s="34" t="n">
        <x:f>-Assumptions!$B$8*E241</x:f>
        <x:v>2.208447521738899</x:v>
      </x:c>
      <x:c r="H241" s="34" t="n">
        <x:f>-Assumptions!$B$9*E241</x:f>
        <x:v>1.4817451706488212</x:v>
      </x:c>
      <x:c r="I241" s="34" t="n">
        <x:f>-Assumptions!$B$10*E241</x:f>
        <x:v>2.474366827079224</x:v>
      </x:c>
      <x:c r="J241" s="36" t="n">
        <x:f>IF(C241&lt;-F241,1,0)</x:f>
        <x:v>0</x:v>
      </x:c>
      <x:c r="K241" s="36" t="n">
        <x:f>IF(C241&lt;-G241,1,0)</x:f>
        <x:v>0</x:v>
      </x:c>
      <x:c r="L241" s="36" t="n">
        <x:f>IF(C241&lt;-H241,1,0)</x:f>
        <x:v>0</x:v>
      </x:c>
      <x:c r="M241" s="36" t="n">
        <x:f>IF(C241&lt;-I241,1,0)</x:f>
        <x:v>0</x:v>
      </x:c>
      <x:c r="N241" s="34" t="n">
        <x:f>-F241</x:f>
        <x:v>-1.5614917083550712</x:v>
      </x:c>
      <x:c r="O241" s="34" t="n">
        <x:f>-H241</x:f>
        <x:v>-1.4817451706488212</x:v>
      </x:c>
      <x:c r="P241" s="34" t="n">
        <x:f>-G241</x:f>
        <x:v>-2.208447521738899</x:v>
      </x:c>
      <x:c r="Q241" s="34" t="n">
        <x:f>-I241</x:f>
        <x:v>-2.474366827079224</x:v>
      </x:c>
      <x:c r="R241" s="36" t="n">
        <x:f>YEAR(A241)</x:f>
        <x:v>2021</x:v>
      </x:c>
    </x:row>
    <x:row r="242">
      <x:c r="A242" s="30" t="n">
        <x:v>44537</x:v>
      </x:c>
      <x:c r="B242" s="38" t="n">
        <x:v>4686.75</x:v>
      </x:c>
      <x:c r="C242" s="34" t="n">
        <x:f>(B242/B241-1)*100</x:f>
        <x:v>2.0707063007576743</x:v>
      </x:c>
      <x:c r="D242" s="34" t="n">
        <x:f>Assumptions!$B$4*D241+(1-Assumptions!$B$4)*C241^2</x:f>
        <x:v>0.9297039720294407</x:v>
      </x:c>
      <x:c r="E242" s="34" t="n">
        <x:f>SQRT(D242)</x:f>
        <x:v>0.9642115805306638</x:v>
      </x:c>
      <x:c r="F242" s="34" t="n">
        <x:f>-Assumptions!$B$7*E242</x:f>
        <x:v>1.5859869153844746</x:v>
      </x:c>
      <x:c r="G242" s="34" t="n">
        <x:f>-Assumptions!$B$8*E242</x:f>
        <x:v>2.243091560493068</x:v>
      </x:c>
      <x:c r="H242" s="34" t="n">
        <x:f>-Assumptions!$B$9*E242</x:f>
        <x:v>1.504989389318478</x:v>
      </x:c>
      <x:c r="I242" s="34" t="n">
        <x:f>-Assumptions!$B$10*E242</x:f>
        <x:v>2.5131823567241702</x:v>
      </x:c>
      <x:c r="J242" s="36" t="n">
        <x:f>IF(C242&lt;-F242,1,0)</x:f>
        <x:v>0</x:v>
      </x:c>
      <x:c r="K242" s="36" t="n">
        <x:f>IF(C242&lt;-G242,1,0)</x:f>
        <x:v>0</x:v>
      </x:c>
      <x:c r="L242" s="36" t="n">
        <x:f>IF(C242&lt;-H242,1,0)</x:f>
        <x:v>0</x:v>
      </x:c>
      <x:c r="M242" s="36" t="n">
        <x:f>IF(C242&lt;-I242,1,0)</x:f>
        <x:v>0</x:v>
      </x:c>
      <x:c r="N242" s="34" t="n">
        <x:f>-F242</x:f>
        <x:v>-1.5859869153844746</x:v>
      </x:c>
      <x:c r="O242" s="34" t="n">
        <x:f>-H242</x:f>
        <x:v>-1.504989389318478</x:v>
      </x:c>
      <x:c r="P242" s="34" t="n">
        <x:f>-G242</x:f>
        <x:v>-2.243091560493068</x:v>
      </x:c>
      <x:c r="Q242" s="34" t="n">
        <x:f>-I242</x:f>
        <x:v>-2.5131823567241702</x:v>
      </x:c>
      <x:c r="R242" s="36" t="n">
        <x:f>YEAR(A242)</x:f>
        <x:v>2021</x:v>
      </x:c>
    </x:row>
    <x:row r="243">
      <x:c r="A243" s="30" t="n">
        <x:v>44538</x:v>
      </x:c>
      <x:c r="B243" s="38" t="n">
        <x:v>4701.21</x:v>
      </x:c>
      <x:c r="C243" s="34" t="n">
        <x:f>(B243/B242-1)*100</x:f>
        <x:v>0.30852936469836223</x:v>
      </x:c>
      <x:c r="D243" s="34" t="n">
        <x:f>Assumptions!$B$4*D242+(1-Assumptions!$B$4)*C242^2</x:f>
        <x:v>1.1311912087475262</x:v>
      </x:c>
      <x:c r="E243" s="34" t="n">
        <x:f>SQRT(D243)</x:f>
        <x:v>1.0635747311531645</x:v>
      </x:c>
      <x:c r="F243" s="34" t="n">
        <x:f>-Assumptions!$B$7*E243</x:f>
        <x:v>1.7494247540712202</x:v>
      </x:c>
      <x:c r="G243" s="34" t="n">
        <x:f>-Assumptions!$B$8*E243</x:f>
        <x:v>2.4742448147017226</x:v>
      </x:c>
      <x:c r="H243" s="34" t="n">
        <x:f>-Assumptions!$B$9*E243</x:f>
        <x:v>1.6600803365707566</x:v>
      </x:c>
      <x:c r="I243" s="34" t="n">
        <x:f>-Assumptions!$B$10*E243</x:f>
        <x:v>2.772168788846838</x:v>
      </x:c>
      <x:c r="J243" s="36" t="n">
        <x:f>IF(C243&lt;-F243,1,0)</x:f>
        <x:v>0</x:v>
      </x:c>
      <x:c r="K243" s="36" t="n">
        <x:f>IF(C243&lt;-G243,1,0)</x:f>
        <x:v>0</x:v>
      </x:c>
      <x:c r="L243" s="36" t="n">
        <x:f>IF(C243&lt;-H243,1,0)</x:f>
        <x:v>0</x:v>
      </x:c>
      <x:c r="M243" s="36" t="n">
        <x:f>IF(C243&lt;-I243,1,0)</x:f>
        <x:v>0</x:v>
      </x:c>
      <x:c r="N243" s="34" t="n">
        <x:f>-F243</x:f>
        <x:v>-1.7494247540712202</x:v>
      </x:c>
      <x:c r="O243" s="34" t="n">
        <x:f>-H243</x:f>
        <x:v>-1.6600803365707566</x:v>
      </x:c>
      <x:c r="P243" s="34" t="n">
        <x:f>-G243</x:f>
        <x:v>-2.4742448147017226</x:v>
      </x:c>
      <x:c r="Q243" s="34" t="n">
        <x:f>-I243</x:f>
        <x:v>-2.772168788846838</x:v>
      </x:c>
      <x:c r="R243" s="36" t="n">
        <x:f>YEAR(A243)</x:f>
        <x:v>2021</x:v>
      </x:c>
    </x:row>
    <x:row r="244">
      <x:c r="A244" s="30" t="n">
        <x:v>44539</x:v>
      </x:c>
      <x:c r="B244" s="38" t="n">
        <x:v>4667.45</x:v>
      </x:c>
      <x:c r="C244" s="34" t="n">
        <x:f>(B244/B243-1)*100</x:f>
        <x:v>-0.7181129964413446</x:v>
      </x:c>
      <x:c r="D244" s="34" t="n">
        <x:f>Assumptions!$B$4*D243+(1-Assumptions!$B$4)*C243^2</x:f>
        <x:v>1.069031158355545</x:v>
      </x:c>
      <x:c r="E244" s="34" t="n">
        <x:f>SQRT(D244)</x:f>
        <x:v>1.0339396299376211</x:v>
      </x:c>
      <x:c r="F244" s="34" t="n">
        <x:f>-Assumptions!$B$7*E244</x:f>
        <x:v>1.7006793503517597</x:v>
      </x:c>
      <x:c r="G244" s="34" t="n">
        <x:f>-Assumptions!$B$8*E244</x:f>
        <x:v>2.405303259991958</x:v>
      </x:c>
      <x:c r="H244" s="34" t="n">
        <x:f>-Assumptions!$B$9*E244</x:f>
        <x:v>1.6138243967113477</x:v>
      </x:c>
      <x:c r="I244" s="34" t="n">
        <x:f>-Assumptions!$B$10*E244</x:f>
        <x:v>2.6949259771875456</x:v>
      </x:c>
      <x:c r="J244" s="36" t="n">
        <x:f>IF(C244&lt;-F244,1,0)</x:f>
        <x:v>0</x:v>
      </x:c>
      <x:c r="K244" s="36" t="n">
        <x:f>IF(C244&lt;-G244,1,0)</x:f>
        <x:v>0</x:v>
      </x:c>
      <x:c r="L244" s="36" t="n">
        <x:f>IF(C244&lt;-H244,1,0)</x:f>
        <x:v>0</x:v>
      </x:c>
      <x:c r="M244" s="36" t="n">
        <x:f>IF(C244&lt;-I244,1,0)</x:f>
        <x:v>0</x:v>
      </x:c>
      <x:c r="N244" s="34" t="n">
        <x:f>-F244</x:f>
        <x:v>-1.7006793503517597</x:v>
      </x:c>
      <x:c r="O244" s="34" t="n">
        <x:f>-H244</x:f>
        <x:v>-1.6138243967113477</x:v>
      </x:c>
      <x:c r="P244" s="34" t="n">
        <x:f>-G244</x:f>
        <x:v>-2.405303259991958</x:v>
      </x:c>
      <x:c r="Q244" s="34" t="n">
        <x:f>-I244</x:f>
        <x:v>-2.6949259771875456</x:v>
      </x:c>
      <x:c r="R244" s="36" t="n">
        <x:f>YEAR(A244)</x:f>
        <x:v>2021</x:v>
      </x:c>
    </x:row>
    <x:row r="245">
      <x:c r="A245" s="30" t="n">
        <x:v>44540</x:v>
      </x:c>
      <x:c r="B245" s="38" t="n">
        <x:v>4712.02</x:v>
      </x:c>
      <x:c r="C245" s="34" t="n">
        <x:f>(B245/B244-1)*100</x:f>
        <x:v>0.954911139915815</x:v>
      </x:c>
      <x:c r="D245" s="34" t="n">
        <x:f>Assumptions!$B$4*D244+(1-Assumptions!$B$4)*C244^2</x:f>
        <x:v>1.0358304653936903</x:v>
      </x:c>
      <x:c r="E245" s="34" t="n">
        <x:f>SQRT(D245)</x:f>
        <x:v>1.0177575671021515</x:v>
      </x:c>
      <x:c r="F245" s="34" t="n">
        <x:f>-Assumptions!$B$7*E245</x:f>
        <x:v>1.6740622256052808</x:v>
      </x:c>
      <x:c r="G245" s="34" t="n">
        <x:f>-Assumptions!$B$8*E245</x:f>
        <x:v>2.367658152517068</x:v>
      </x:c>
      <x:c r="H245" s="34" t="n">
        <x:f>-Assumptions!$B$9*E245</x:f>
        <x:v>1.5885666282335378</x:v>
      </x:c>
      <x:c r="I245" s="34" t="n">
        <x:f>-Assumptions!$B$10*E245</x:f>
        <x:v>2.6527480199479925</x:v>
      </x:c>
      <x:c r="J245" s="36" t="n">
        <x:f>IF(C245&lt;-F245,1,0)</x:f>
        <x:v>0</x:v>
      </x:c>
      <x:c r="K245" s="36" t="n">
        <x:f>IF(C245&lt;-G245,1,0)</x:f>
        <x:v>0</x:v>
      </x:c>
      <x:c r="L245" s="36" t="n">
        <x:f>IF(C245&lt;-H245,1,0)</x:f>
        <x:v>0</x:v>
      </x:c>
      <x:c r="M245" s="36" t="n">
        <x:f>IF(C245&lt;-I245,1,0)</x:f>
        <x:v>0</x:v>
      </x:c>
      <x:c r="N245" s="34" t="n">
        <x:f>-F245</x:f>
        <x:v>-1.6740622256052808</x:v>
      </x:c>
      <x:c r="O245" s="34" t="n">
        <x:f>-H245</x:f>
        <x:v>-1.5885666282335378</x:v>
      </x:c>
      <x:c r="P245" s="34" t="n">
        <x:f>-G245</x:f>
        <x:v>-2.367658152517068</x:v>
      </x:c>
      <x:c r="Q245" s="34" t="n">
        <x:f>-I245</x:f>
        <x:v>-2.6527480199479925</x:v>
      </x:c>
      <x:c r="R245" s="36" t="n">
        <x:f>YEAR(A245)</x:f>
        <x:v>2021</x:v>
      </x:c>
    </x:row>
    <x:row r="246">
      <x:c r="A246" s="30" t="n">
        <x:v>44543</x:v>
      </x:c>
      <x:c r="B246" s="38" t="n">
        <x:v>4668.97</x:v>
      </x:c>
      <x:c r="C246" s="34" t="n">
        <x:f>(B246/B245-1)*100</x:f>
        <x:v>-0.9136209099282255</x:v>
      </x:c>
      <x:c r="D246" s="34" t="n">
        <x:f>Assumptions!$B$4*D245+(1-Assumptions!$B$4)*C245^2</x:f>
        <x:v>1.028391954578188</x:v>
      </x:c>
      <x:c r="E246" s="34" t="n">
        <x:f>SQRT(D246)</x:f>
        <x:v>1.0140966199421966</x:v>
      </x:c>
      <x:c r="F246" s="34" t="n">
        <x:f>-Assumptions!$B$7*E246</x:f>
        <x:v>1.6680405033911514</x:v>
      </x:c>
      <x:c r="G246" s="34" t="n">
        <x:f>-Assumptions!$B$8*E246</x:f>
        <x:v>2.3591415158745312</x:v>
      </x:c>
      <x:c r="H246" s="34" t="n">
        <x:f>-Assumptions!$B$9*E246</x:f>
        <x:v>1.5828524398314907</x:v>
      </x:c>
      <x:c r="I246" s="34" t="n">
        <x:f>-Assumptions!$B$10*E246</x:f>
        <x:v>2.643205894550334</x:v>
      </x:c>
      <x:c r="J246" s="36" t="n">
        <x:f>IF(C246&lt;-F246,1,0)</x:f>
        <x:v>0</x:v>
      </x:c>
      <x:c r="K246" s="36" t="n">
        <x:f>IF(C246&lt;-G246,1,0)</x:f>
        <x:v>0</x:v>
      </x:c>
      <x:c r="L246" s="36" t="n">
        <x:f>IF(C246&lt;-H246,1,0)</x:f>
        <x:v>0</x:v>
      </x:c>
      <x:c r="M246" s="36" t="n">
        <x:f>IF(C246&lt;-I246,1,0)</x:f>
        <x:v>0</x:v>
      </x:c>
      <x:c r="N246" s="34" t="n">
        <x:f>-F246</x:f>
        <x:v>-1.6680405033911514</x:v>
      </x:c>
      <x:c r="O246" s="34" t="n">
        <x:f>-H246</x:f>
        <x:v>-1.5828524398314907</x:v>
      </x:c>
      <x:c r="P246" s="34" t="n">
        <x:f>-G246</x:f>
        <x:v>-2.3591415158745312</x:v>
      </x:c>
      <x:c r="Q246" s="34" t="n">
        <x:f>-I246</x:f>
        <x:v>-2.643205894550334</x:v>
      </x:c>
      <x:c r="R246" s="36" t="n">
        <x:f>YEAR(A246)</x:f>
        <x:v>2021</x:v>
      </x:c>
    </x:row>
    <x:row r="247">
      <x:c r="A247" s="30" t="n">
        <x:v>44544</x:v>
      </x:c>
      <x:c r="B247" s="38" t="n">
        <x:v>4634.09</x:v>
      </x:c>
      <x:c r="C247" s="34" t="n">
        <x:f>(B247/B246-1)*100</x:f>
        <x:v>-0.7470598440341258</x:v>
      </x:c>
      <x:c r="D247" s="34" t="n">
        <x:f>Assumptions!$B$4*D246+(1-Assumptions!$B$4)*C246^2</x:f>
        <x:v>1.0167706273269814</x:v>
      </x:c>
      <x:c r="E247" s="34" t="n">
        <x:f>SQRT(D247)</x:f>
        <x:v>1.0083504486670205</x:v>
      </x:c>
      <x:c r="F247" s="34" t="n">
        <x:f>-Assumptions!$B$7*E247</x:f>
        <x:v>1.6585888927280936</x:v>
      </x:c>
      <x:c r="G247" s="34" t="n">
        <x:f>-Assumptions!$B$8*E247</x:f>
        <x:v>2.345773922544651</x:v>
      </x:c>
      <x:c r="H247" s="34" t="n">
        <x:f>-Assumptions!$B$9*E247</x:f>
        <x:v>1.5738835299231622</x:v>
      </x:c>
      <x:c r="I247" s="34" t="n">
        <x:f>-Assumptions!$B$10*E247</x:f>
        <x:v>2.628228708464745</x:v>
      </x:c>
      <x:c r="J247" s="36" t="n">
        <x:f>IF(C247&lt;-F247,1,0)</x:f>
        <x:v>0</x:v>
      </x:c>
      <x:c r="K247" s="36" t="n">
        <x:f>IF(C247&lt;-G247,1,0)</x:f>
        <x:v>0</x:v>
      </x:c>
      <x:c r="L247" s="36" t="n">
        <x:f>IF(C247&lt;-H247,1,0)</x:f>
        <x:v>0</x:v>
      </x:c>
      <x:c r="M247" s="36" t="n">
        <x:f>IF(C247&lt;-I247,1,0)</x:f>
        <x:v>0</x:v>
      </x:c>
      <x:c r="N247" s="34" t="n">
        <x:f>-F247</x:f>
        <x:v>-1.6585888927280936</x:v>
      </x:c>
      <x:c r="O247" s="34" t="n">
        <x:f>-H247</x:f>
        <x:v>-1.5738835299231622</x:v>
      </x:c>
      <x:c r="P247" s="34" t="n">
        <x:f>-G247</x:f>
        <x:v>-2.345773922544651</x:v>
      </x:c>
      <x:c r="Q247" s="34" t="n">
        <x:f>-I247</x:f>
        <x:v>-2.628228708464745</x:v>
      </x:c>
      <x:c r="R247" s="36" t="n">
        <x:f>YEAR(A247)</x:f>
        <x:v>2021</x:v>
      </x:c>
    </x:row>
    <x:row r="248">
      <x:c r="A248" s="30" t="n">
        <x:v>44545</x:v>
      </x:c>
      <x:c r="B248" s="38" t="n">
        <x:v>4709.85</x:v>
      </x:c>
      <x:c r="C248" s="34" t="n">
        <x:f>(B248/B247-1)*100</x:f>
        <x:v>1.6348409288555077</x:v>
      </x:c>
      <x:c r="D248" s="34" t="n">
        <x:f>Assumptions!$B$4*D247+(1-Assumptions!$B$4)*C247^2</x:f>
        <x:v>0.98925029432146</x:v>
      </x:c>
      <x:c r="E248" s="34" t="n">
        <x:f>SQRT(D248)</x:f>
        <x:v>0.9946106244764632</x:v>
      </x:c>
      <x:c r="F248" s="34" t="n">
        <x:f>-Assumptions!$B$7*E248</x:f>
        <x:v>1.6359888930745798</x:v>
      </x:c>
      <x:c r="G248" s="34" t="n">
        <x:f>-Assumptions!$B$8*E248</x:f>
        <x:v>2.313810311749253</x:v>
      </x:c>
      <x:c r="H248" s="34" t="n">
        <x:f>-Assumptions!$B$9*E248</x:f>
        <x:v>1.5524377289854576</x:v>
      </x:c>
      <x:c r="I248" s="34" t="n">
        <x:f>-Assumptions!$B$10*E248</x:f>
        <x:v>2.5924163572780934</x:v>
      </x:c>
      <x:c r="J248" s="36" t="n">
        <x:f>IF(C248&lt;-F248,1,0)</x:f>
        <x:v>0</x:v>
      </x:c>
      <x:c r="K248" s="36" t="n">
        <x:f>IF(C248&lt;-G248,1,0)</x:f>
        <x:v>0</x:v>
      </x:c>
      <x:c r="L248" s="36" t="n">
        <x:f>IF(C248&lt;-H248,1,0)</x:f>
        <x:v>0</x:v>
      </x:c>
      <x:c r="M248" s="36" t="n">
        <x:f>IF(C248&lt;-I248,1,0)</x:f>
        <x:v>0</x:v>
      </x:c>
      <x:c r="N248" s="34" t="n">
        <x:f>-F248</x:f>
        <x:v>-1.6359888930745798</x:v>
      </x:c>
      <x:c r="O248" s="34" t="n">
        <x:f>-H248</x:f>
        <x:v>-1.5524377289854576</x:v>
      </x:c>
      <x:c r="P248" s="34" t="n">
        <x:f>-G248</x:f>
        <x:v>-2.313810311749253</x:v>
      </x:c>
      <x:c r="Q248" s="34" t="n">
        <x:f>-I248</x:f>
        <x:v>-2.5924163572780934</x:v>
      </x:c>
      <x:c r="R248" s="36" t="n">
        <x:f>YEAR(A248)</x:f>
        <x:v>2021</x:v>
      </x:c>
    </x:row>
    <x:row r="249">
      <x:c r="A249" s="30" t="n">
        <x:v>44546</x:v>
      </x:c>
      <x:c r="B249" s="38" t="n">
        <x:v>4668.67</x:v>
      </x:c>
      <x:c r="C249" s="34" t="n">
        <x:f>(B249/B248-1)*100</x:f>
        <x:v>-0.874337823922211</x:v>
      </x:c>
      <x:c r="D249" s="34" t="n">
        <x:f>Assumptions!$B$4*D248+(1-Assumptions!$B$4)*C248^2</x:f>
        <x:v>1.090257568421841</x:v>
      </x:c>
      <x:c r="E249" s="34" t="n">
        <x:f>SQRT(D249)</x:f>
        <x:v>1.044153996507144</x:v>
      </x:c>
      <x:c r="F249" s="34" t="n">
        <x:f>-Assumptions!$B$7*E249</x:f>
        <x:v>1.7174804882506514</x:v>
      </x:c>
      <x:c r="G249" s="34" t="n">
        <x:f>-Assumptions!$B$8*E249</x:f>
        <x:v>2.4290654299456413</x:v>
      </x:c>
      <x:c r="H249" s="34" t="n">
        <x:f>-Assumptions!$B$9*E249</x:f>
        <x:v>1.6297674880578352</x:v>
      </x:c>
      <x:c r="I249" s="34" t="n">
        <x:f>-Assumptions!$B$10*E249</x:f>
        <x:v>2.721549351523612</x:v>
      </x:c>
      <x:c r="J249" s="36" t="n">
        <x:f>IF(C249&lt;-F249,1,0)</x:f>
        <x:v>0</x:v>
      </x:c>
      <x:c r="K249" s="36" t="n">
        <x:f>IF(C249&lt;-G249,1,0)</x:f>
        <x:v>0</x:v>
      </x:c>
      <x:c r="L249" s="36" t="n">
        <x:f>IF(C249&lt;-H249,1,0)</x:f>
        <x:v>0</x:v>
      </x:c>
      <x:c r="M249" s="36" t="n">
        <x:f>IF(C249&lt;-I249,1,0)</x:f>
        <x:v>0</x:v>
      </x:c>
      <x:c r="N249" s="34" t="n">
        <x:f>-F249</x:f>
        <x:v>-1.7174804882506514</x:v>
      </x:c>
      <x:c r="O249" s="34" t="n">
        <x:f>-H249</x:f>
        <x:v>-1.6297674880578352</x:v>
      </x:c>
      <x:c r="P249" s="34" t="n">
        <x:f>-G249</x:f>
        <x:v>-2.4290654299456413</x:v>
      </x:c>
      <x:c r="Q249" s="34" t="n">
        <x:f>-I249</x:f>
        <x:v>-2.721549351523612</x:v>
      </x:c>
      <x:c r="R249" s="36" t="n">
        <x:f>YEAR(A249)</x:f>
        <x:v>2021</x:v>
      </x:c>
    </x:row>
    <x:row r="250">
      <x:c r="A250" s="30" t="n">
        <x:v>44547</x:v>
      </x:c>
      <x:c r="B250" s="38" t="n">
        <x:v>4620.64</x:v>
      </x:c>
      <x:c r="C250" s="34" t="n">
        <x:f>(B250/B249-1)*100</x:f>
        <x:v>-1.0287726483131143</x:v>
      </x:c>
      <x:c r="D250" s="34" t="n">
        <x:f>Assumptions!$B$4*D249+(1-Assumptions!$B$4)*C249^2</x:f>
        <x:v>1.0707101121369922</x:v>
      </x:c>
      <x:c r="E250" s="34" t="n">
        <x:f>SQRT(D250)</x:f>
        <x:v>1.0347512320055445</x:v>
      </x:c>
      <x:c r="F250" s="34" t="n">
        <x:f>-Assumptions!$B$7*E250</x:f>
        <x:v>1.702014316956825</x:v>
      </x:c>
      <x:c r="G250" s="34" t="n">
        <x:f>-Assumptions!$B$8*E250</x:f>
        <x:v>2.407191328737239</x:v>
      </x:c>
      <x:c r="H250" s="34" t="n">
        <x:f>-Assumptions!$B$9*E250</x:f>
        <x:v>1.6150911855834555</x:v>
      </x:c>
      <x:c r="I250" s="34" t="n">
        <x:f>-Assumptions!$B$10*E250</x:f>
        <x:v>2.6970413884094926</x:v>
      </x:c>
      <x:c r="J250" s="36" t="n">
        <x:f>IF(C250&lt;-F250,1,0)</x:f>
        <x:v>0</x:v>
      </x:c>
      <x:c r="K250" s="36" t="n">
        <x:f>IF(C250&lt;-G250,1,0)</x:f>
        <x:v>0</x:v>
      </x:c>
      <x:c r="L250" s="36" t="n">
        <x:f>IF(C250&lt;-H250,1,0)</x:f>
        <x:v>0</x:v>
      </x:c>
      <x:c r="M250" s="36" t="n">
        <x:f>IF(C250&lt;-I250,1,0)</x:f>
        <x:v>0</x:v>
      </x:c>
      <x:c r="N250" s="34" t="n">
        <x:f>-F250</x:f>
        <x:v>-1.702014316956825</x:v>
      </x:c>
      <x:c r="O250" s="34" t="n">
        <x:f>-H250</x:f>
        <x:v>-1.6150911855834555</x:v>
      </x:c>
      <x:c r="P250" s="34" t="n">
        <x:f>-G250</x:f>
        <x:v>-2.407191328737239</x:v>
      </x:c>
      <x:c r="Q250" s="34" t="n">
        <x:f>-I250</x:f>
        <x:v>-2.6970413884094926</x:v>
      </x:c>
      <x:c r="R250" s="36" t="n">
        <x:f>YEAR(A250)</x:f>
        <x:v>2021</x:v>
      </x:c>
    </x:row>
    <x:row r="251">
      <x:c r="A251" s="30" t="n">
        <x:v>44550</x:v>
      </x:c>
      <x:c r="B251" s="38" t="n">
        <x:v>4568.02</x:v>
      </x:c>
      <x:c r="C251" s="34" t="n">
        <x:f>(B251/B250-1)*100</x:f>
        <x:v>-1.1388032826621375</x:v>
      </x:c>
      <x:c r="D251" s="34" t="n">
        <x:f>Assumptions!$B$4*D250+(1-Assumptions!$B$4)*C250^2</x:f>
        <x:v>1.0699698951238035</x:v>
      </x:c>
      <x:c r="E251" s="34" t="n">
        <x:f>SQRT(D251)</x:f>
        <x:v>1.0343934914353452</x:v>
      </x:c>
      <x:c r="F251" s="34" t="n">
        <x:f>-Assumptions!$B$7*E251</x:f>
        <x:v>1.7014258860824247</x:v>
      </x:c>
      <x:c r="G251" s="34" t="n">
        <x:f>-Assumptions!$B$8*E251</x:f>
        <x:v>2.4063590997222977</x:v>
      </x:c>
      <x:c r="H251" s="34" t="n">
        <x:f>-Assumptions!$B$9*E251</x:f>
        <x:v>1.6145328063094975</x:v>
      </x:c>
      <x:c r="I251" s="34" t="n">
        <x:f>-Assumptions!$B$10*E251</x:f>
        <x:v>2.6961089506463884</x:v>
      </x:c>
      <x:c r="J251" s="36" t="n">
        <x:f>IF(C251&lt;-F251,1,0)</x:f>
        <x:v>0</x:v>
      </x:c>
      <x:c r="K251" s="36" t="n">
        <x:f>IF(C251&lt;-G251,1,0)</x:f>
        <x:v>0</x:v>
      </x:c>
      <x:c r="L251" s="36" t="n">
        <x:f>IF(C251&lt;-H251,1,0)</x:f>
        <x:v>0</x:v>
      </x:c>
      <x:c r="M251" s="36" t="n">
        <x:f>IF(C251&lt;-I251,1,0)</x:f>
        <x:v>0</x:v>
      </x:c>
      <x:c r="N251" s="34" t="n">
        <x:f>-F251</x:f>
        <x:v>-1.7014258860824247</x:v>
      </x:c>
      <x:c r="O251" s="34" t="n">
        <x:f>-H251</x:f>
        <x:v>-1.6145328063094975</x:v>
      </x:c>
      <x:c r="P251" s="34" t="n">
        <x:f>-G251</x:f>
        <x:v>-2.4063590997222977</x:v>
      </x:c>
      <x:c r="Q251" s="34" t="n">
        <x:f>-I251</x:f>
        <x:v>-2.6961089506463884</x:v>
      </x:c>
      <x:c r="R251" s="36" t="n">
        <x:f>YEAR(A251)</x:f>
        <x:v>2021</x:v>
      </x:c>
    </x:row>
    <x:row r="252">
      <x:c r="A252" s="30" t="n">
        <x:v>44551</x:v>
      </x:c>
      <x:c r="B252" s="38" t="n">
        <x:v>4649.23</x:v>
      </x:c>
      <x:c r="C252" s="34" t="n">
        <x:f>(B252/B251-1)*100</x:f>
        <x:v>1.7777943178882483</x:v>
      </x:c>
      <x:c r="D252" s="34" t="n">
        <x:f>Assumptions!$B$4*D251+(1-Assumptions!$B$4)*C251^2</x:f>
        <x:v>1.0835840764124989</x:v>
      </x:c>
      <x:c r="E252" s="34" t="n">
        <x:f>SQRT(D252)</x:f>
        <x:v>1.04095344584304</x:v>
      </x:c>
      <x:c r="F252" s="34" t="n">
        <x:f>-Assumptions!$B$7*E252</x:f>
        <x:v>1.7122160508825581</x:v>
      </x:c>
      <x:c r="G252" s="34" t="n">
        <x:f>-Assumptions!$B$8*E252</x:f>
        <x:v>2.4216198357124434</x:v>
      </x:c>
      <x:c r="H252" s="34" t="n">
        <x:f>-Assumptions!$B$9*E252</x:f>
        <x:v>1.624771909404028</x:v>
      </x:c>
      <x:c r="I252" s="34" t="n">
        <x:f>-Assumptions!$B$10*E252</x:f>
        <x:v>2.7132072328193324</x:v>
      </x:c>
      <x:c r="J252" s="36" t="n">
        <x:f>IF(C252&lt;-F252,1,0)</x:f>
        <x:v>0</x:v>
      </x:c>
      <x:c r="K252" s="36" t="n">
        <x:f>IF(C252&lt;-G252,1,0)</x:f>
        <x:v>0</x:v>
      </x:c>
      <x:c r="L252" s="36" t="n">
        <x:f>IF(C252&lt;-H252,1,0)</x:f>
        <x:v>0</x:v>
      </x:c>
      <x:c r="M252" s="36" t="n">
        <x:f>IF(C252&lt;-I252,1,0)</x:f>
        <x:v>0</x:v>
      </x:c>
      <x:c r="N252" s="34" t="n">
        <x:f>-F252</x:f>
        <x:v>-1.7122160508825581</x:v>
      </x:c>
      <x:c r="O252" s="34" t="n">
        <x:f>-H252</x:f>
        <x:v>-1.624771909404028</x:v>
      </x:c>
      <x:c r="P252" s="34" t="n">
        <x:f>-G252</x:f>
        <x:v>-2.4216198357124434</x:v>
      </x:c>
      <x:c r="Q252" s="34" t="n">
        <x:f>-I252</x:f>
        <x:v>-2.7132072328193324</x:v>
      </x:c>
      <x:c r="R252" s="36" t="n">
        <x:f>YEAR(A252)</x:f>
        <x:v>2021</x:v>
      </x:c>
    </x:row>
    <x:row r="253">
      <x:c r="A253" s="30" t="n">
        <x:v>44552</x:v>
      </x:c>
      <x:c r="B253" s="38" t="n">
        <x:v>4696.56</x:v>
      </x:c>
      <x:c r="C253" s="34" t="n">
        <x:f>(B253/B252-1)*100</x:f>
        <x:v>1.0180180373954517</x:v>
      </x:c>
      <x:c r="D253" s="34" t="n">
        <x:f>Assumptions!$B$4*D252+(1-Assumptions!$B$4)*C252^2</x:f>
        <x:v>1.2082021900306936</x:v>
      </x:c>
      <x:c r="E253" s="34" t="n">
        <x:f>SQRT(D253)</x:f>
        <x:v>1.0991825098820913</x:v>
      </x:c>
      <x:c r="F253" s="34" t="n">
        <x:f>-Assumptions!$B$7*E253</x:f>
        <x:v>1.8079943380611811</x:v>
      </x:c>
      <x:c r="G253" s="34" t="n">
        <x:f>-Assumptions!$B$8*E253</x:f>
        <x:v>2.5570808950470783</x:v>
      </x:c>
      <x:c r="H253" s="34" t="n">
        <x:f>-Assumptions!$B$9*E253</x:f>
        <x:v>1.7156587285402263</x:v>
      </x:c>
      <x:c r="I253" s="34" t="n">
        <x:f>-Assumptions!$B$10*E253</x:f>
        <x:v>2.8649791668495848</x:v>
      </x:c>
      <x:c r="J253" s="36" t="n">
        <x:f>IF(C253&lt;-F253,1,0)</x:f>
        <x:v>0</x:v>
      </x:c>
      <x:c r="K253" s="36" t="n">
        <x:f>IF(C253&lt;-G253,1,0)</x:f>
        <x:v>0</x:v>
      </x:c>
      <x:c r="L253" s="36" t="n">
        <x:f>IF(C253&lt;-H253,1,0)</x:f>
        <x:v>0</x:v>
      </x:c>
      <x:c r="M253" s="36" t="n">
        <x:f>IF(C253&lt;-I253,1,0)</x:f>
        <x:v>0</x:v>
      </x:c>
      <x:c r="N253" s="34" t="n">
        <x:f>-F253</x:f>
        <x:v>-1.8079943380611811</x:v>
      </x:c>
      <x:c r="O253" s="34" t="n">
        <x:f>-H253</x:f>
        <x:v>-1.7156587285402263</x:v>
      </x:c>
      <x:c r="P253" s="34" t="n">
        <x:f>-G253</x:f>
        <x:v>-2.5570808950470783</x:v>
      </x:c>
      <x:c r="Q253" s="34" t="n">
        <x:f>-I253</x:f>
        <x:v>-2.8649791668495848</x:v>
      </x:c>
      <x:c r="R253" s="36" t="n">
        <x:f>YEAR(A253)</x:f>
        <x:v>2021</x:v>
      </x:c>
    </x:row>
    <x:row r="254">
      <x:c r="A254" s="30" t="n">
        <x:v>44553</x:v>
      </x:c>
      <x:c r="B254" s="38" t="n">
        <x:v>4725.79</x:v>
      </x:c>
      <x:c r="C254" s="34" t="n">
        <x:f>(B254/B253-1)*100</x:f>
        <x:v>0.6223704157936716</x:v>
      </x:c>
      <x:c r="D254" s="34" t="n">
        <x:f>Assumptions!$B$4*D253+(1-Assumptions!$B$4)*C253^2</x:f>
        <x:v>1.1978917020966013</x:v>
      </x:c>
      <x:c r="E254" s="34" t="n">
        <x:f>SQRT(D254)</x:f>
        <x:v>1.0944823900349432</x:v>
      </x:c>
      <x:c r="F254" s="34" t="n">
        <x:f>-Assumptions!$B$7*E254</x:f>
        <x:v>1.8002633288834928</x:v>
      </x:c>
      <x:c r="G254" s="34" t="n">
        <x:f>-Assumptions!$B$8*E254</x:f>
        <x:v>2.546146781232928</x:v>
      </x:c>
      <x:c r="H254" s="34" t="n">
        <x:f>-Assumptions!$B$9*E254</x:f>
        <x:v>1.7083225477254407</x:v>
      </x:c>
      <x:c r="I254" s="34" t="n">
        <x:f>-Assumptions!$B$10*E254</x:f>
        <x:v>2.852728475701652</x:v>
      </x:c>
      <x:c r="J254" s="36" t="n">
        <x:f>IF(C254&lt;-F254,1,0)</x:f>
        <x:v>0</x:v>
      </x:c>
      <x:c r="K254" s="36" t="n">
        <x:f>IF(C254&lt;-G254,1,0)</x:f>
        <x:v>0</x:v>
      </x:c>
      <x:c r="L254" s="36" t="n">
        <x:f>IF(C254&lt;-H254,1,0)</x:f>
        <x:v>0</x:v>
      </x:c>
      <x:c r="M254" s="36" t="n">
        <x:f>IF(C254&lt;-I254,1,0)</x:f>
        <x:v>0</x:v>
      </x:c>
      <x:c r="N254" s="34" t="n">
        <x:f>-F254</x:f>
        <x:v>-1.8002633288834928</x:v>
      </x:c>
      <x:c r="O254" s="34" t="n">
        <x:f>-H254</x:f>
        <x:v>-1.7083225477254407</x:v>
      </x:c>
      <x:c r="P254" s="34" t="n">
        <x:f>-G254</x:f>
        <x:v>-2.546146781232928</x:v>
      </x:c>
      <x:c r="Q254" s="34" t="n">
        <x:f>-I254</x:f>
        <x:v>-2.852728475701652</x:v>
      </x:c>
      <x:c r="R254" s="36" t="n">
        <x:f>YEAR(A254)</x:f>
        <x:v>2021</x:v>
      </x:c>
    </x:row>
    <x:row r="255">
      <x:c r="A255" s="30" t="n">
        <x:v>44557</x:v>
      </x:c>
      <x:c r="B255" s="38" t="n">
        <x:v>4791.19</x:v>
      </x:c>
      <x:c r="C255" s="34" t="n">
        <x:f>(B255/B254-1)*100</x:f>
        <x:v>1.383895602639984</x:v>
      </x:c>
      <x:c r="D255" s="34" t="n">
        <x:f>Assumptions!$B$4*D254+(1-Assumptions!$B$4)*C254^2</x:f>
        <x:v>1.1492588960381165</x:v>
      </x:c>
      <x:c r="E255" s="34" t="n">
        <x:f>SQRT(D255)</x:f>
        <x:v>1.0720349322844458</x:v>
      </x:c>
      <x:c r="F255" s="34" t="n">
        <x:f>-Assumptions!$B$7*E255</x:f>
        <x:v>1.7633405465867473</x:v>
      </x:c>
      <x:c r="G255" s="34" t="n">
        <x:f>-Assumptions!$B$8*E255</x:f>
        <x:v>2.4939261856174366</x:v>
      </x:c>
      <x:c r="H255" s="34" t="n">
        <x:f>-Assumptions!$B$9*E255</x:f>
        <x:v>1.6732854392589769</x:v>
      </x:c>
      <x:c r="I255" s="34" t="n">
        <x:f>-Assumptions!$B$10*E255</x:f>
        <x:v>2.794219994875469</x:v>
      </x:c>
      <x:c r="J255" s="36" t="n">
        <x:f>IF(C255&lt;-F255,1,0)</x:f>
        <x:v>0</x:v>
      </x:c>
      <x:c r="K255" s="36" t="n">
        <x:f>IF(C255&lt;-G255,1,0)</x:f>
        <x:v>0</x:v>
      </x:c>
      <x:c r="L255" s="36" t="n">
        <x:f>IF(C255&lt;-H255,1,0)</x:f>
        <x:v>0</x:v>
      </x:c>
      <x:c r="M255" s="36" t="n">
        <x:f>IF(C255&lt;-I255,1,0)</x:f>
        <x:v>0</x:v>
      </x:c>
      <x:c r="N255" s="34" t="n">
        <x:f>-F255</x:f>
        <x:v>-1.7633405465867473</x:v>
      </x:c>
      <x:c r="O255" s="34" t="n">
        <x:f>-H255</x:f>
        <x:v>-1.6732854392589769</x:v>
      </x:c>
      <x:c r="P255" s="34" t="n">
        <x:f>-G255</x:f>
        <x:v>-2.4939261856174366</x:v>
      </x:c>
      <x:c r="Q255" s="34" t="n">
        <x:f>-I255</x:f>
        <x:v>-2.794219994875469</x:v>
      </x:c>
      <x:c r="R255" s="36" t="n">
        <x:f>YEAR(A255)</x:f>
        <x:v>2021</x:v>
      </x:c>
    </x:row>
    <x:row r="256">
      <x:c r="A256" s="30" t="n">
        <x:v>44558</x:v>
      </x:c>
      <x:c r="B256" s="38" t="n">
        <x:v>4786.35</x:v>
      </x:c>
      <x:c r="C256" s="34" t="n">
        <x:f>(B256/B255-1)*100</x:f>
        <x:v>-0.10101874482121298</x:v>
      </x:c>
      <x:c r="D256" s="34" t="n">
        <x:f>Assumptions!$B$4*D255+(1-Assumptions!$B$4)*C255^2</x:f>
        <x:v>1.1952133846162065</x:v>
      </x:c>
      <x:c r="E256" s="34" t="n">
        <x:f>SQRT(D256)</x:f>
        <x:v>1.0932581509488994</x:v>
      </x:c>
      <x:c r="F256" s="34" t="n">
        <x:f>-Assumptions!$B$7*E256</x:f>
        <x:v>1.798249634782558</x:v>
      </x:c>
      <x:c r="G256" s="34" t="n">
        <x:f>-Assumptions!$B$8*E256</x:f>
        <x:v>2.5432987752377922</x:v>
      </x:c>
      <x:c r="H256" s="34" t="n">
        <x:f>-Assumptions!$B$9*E256</x:f>
        <x:v>1.706411694473221</x:v>
      </x:c>
      <x:c r="I256" s="34" t="n">
        <x:f>-Assumptions!$B$10*E256</x:f>
        <x:v>2.8495375411250685</x:v>
      </x:c>
      <x:c r="J256" s="36" t="n">
        <x:f>IF(C256&lt;-F256,1,0)</x:f>
        <x:v>0</x:v>
      </x:c>
      <x:c r="K256" s="36" t="n">
        <x:f>IF(C256&lt;-G256,1,0)</x:f>
        <x:v>0</x:v>
      </x:c>
      <x:c r="L256" s="36" t="n">
        <x:f>IF(C256&lt;-H256,1,0)</x:f>
        <x:v>0</x:v>
      </x:c>
      <x:c r="M256" s="36" t="n">
        <x:f>IF(C256&lt;-I256,1,0)</x:f>
        <x:v>0</x:v>
      </x:c>
      <x:c r="N256" s="34" t="n">
        <x:f>-F256</x:f>
        <x:v>-1.798249634782558</x:v>
      </x:c>
      <x:c r="O256" s="34" t="n">
        <x:f>-H256</x:f>
        <x:v>-1.706411694473221</x:v>
      </x:c>
      <x:c r="P256" s="34" t="n">
        <x:f>-G256</x:f>
        <x:v>-2.5432987752377922</x:v>
      </x:c>
      <x:c r="Q256" s="34" t="n">
        <x:f>-I256</x:f>
        <x:v>-2.8495375411250685</x:v>
      </x:c>
      <x:c r="R256" s="36" t="n">
        <x:f>YEAR(A256)</x:f>
        <x:v>2021</x:v>
      </x:c>
    </x:row>
    <x:row r="257">
      <x:c r="A257" s="30" t="n">
        <x:v>44559</x:v>
      </x:c>
      <x:c r="B257" s="38" t="n">
        <x:v>4793.06</x:v>
      </x:c>
      <x:c r="C257" s="34" t="n">
        <x:f>(B257/B256-1)*100</x:f>
        <x:v>0.14019033292591576</x:v>
      </x:c>
      <x:c r="D257" s="34" t="n">
        <x:f>Assumptions!$B$4*D256+(1-Assumptions!$B$4)*C256^2</x:f>
        <x:v>1.1241128687475492</x:v>
      </x:c>
      <x:c r="E257" s="34" t="n">
        <x:f>SQRT(D257)</x:f>
        <x:v>1.0602418916207514</x:v>
      </x:c>
      <x:c r="F257" s="34" t="n">
        <x:f>-Assumptions!$B$7*E257</x:f>
        <x:v>1.7439427208782834</x:v>
      </x:c>
      <x:c r="G257" s="34" t="n">
        <x:f>-Assumptions!$B$8*E257</x:f>
        <x:v>2.466491470540974</x:v>
      </x:c>
      <x:c r="H257" s="34" t="n">
        <x:f>-Assumptions!$B$9*E257</x:f>
        <x:v>1.654878274871993</x:v>
      </x:c>
      <x:c r="I257" s="34" t="n">
        <x:f>-Assumptions!$B$10*E257</x:f>
        <x:v>2.7634818640268275</x:v>
      </x:c>
      <x:c r="J257" s="36" t="n">
        <x:f>IF(C257&lt;-F257,1,0)</x:f>
        <x:v>0</x:v>
      </x:c>
      <x:c r="K257" s="36" t="n">
        <x:f>IF(C257&lt;-G257,1,0)</x:f>
        <x:v>0</x:v>
      </x:c>
      <x:c r="L257" s="36" t="n">
        <x:f>IF(C257&lt;-H257,1,0)</x:f>
        <x:v>0</x:v>
      </x:c>
      <x:c r="M257" s="36" t="n">
        <x:f>IF(C257&lt;-I257,1,0)</x:f>
        <x:v>0</x:v>
      </x:c>
      <x:c r="N257" s="34" t="n">
        <x:f>-F257</x:f>
        <x:v>-1.7439427208782834</x:v>
      </x:c>
      <x:c r="O257" s="34" t="n">
        <x:f>-H257</x:f>
        <x:v>-1.654878274871993</x:v>
      </x:c>
      <x:c r="P257" s="34" t="n">
        <x:f>-G257</x:f>
        <x:v>-2.466491470540974</x:v>
      </x:c>
      <x:c r="Q257" s="34" t="n">
        <x:f>-I257</x:f>
        <x:v>-2.7634818640268275</x:v>
      </x:c>
      <x:c r="R257" s="36" t="n">
        <x:f>YEAR(A257)</x:f>
        <x:v>2021</x:v>
      </x:c>
    </x:row>
    <x:row r="258">
      <x:c r="A258" s="30" t="n">
        <x:v>44560</x:v>
      </x:c>
      <x:c r="B258" s="38" t="n">
        <x:v>4778.73</x:v>
      </x:c>
      <x:c r="C258" s="34" t="n">
        <x:f>(B258/B257-1)*100</x:f>
        <x:v>-0.2989739331450192</x:v>
      </x:c>
      <x:c r="D258" s="34" t="n">
        <x:f>Assumptions!$B$4*D257+(1-Assumptions!$B$4)*C257^2</x:f>
        <x:v>1.057845296389449</x:v>
      </x:c>
      <x:c r="E258" s="34" t="n">
        <x:f>SQRT(D258)</x:f>
        <x:v>1.0285160652072718</x:v>
      </x:c>
      <x:c r="F258" s="34" t="n">
        <x:f>-Assumptions!$B$7*E258</x:f>
        <x:v>1.6917583802340386</x:v>
      </x:c>
      <x:c r="G258" s="34" t="n">
        <x:f>-Assumptions!$B$8*E258</x:f>
        <x:v>2.392686161711787</x:v>
      </x:c>
      <x:c r="H258" s="34" t="n">
        <x:f>-Assumptions!$B$9*E258</x:f>
        <x:v>1.6053590271428082</x:v>
      </x:c>
      <x:c r="I258" s="34" t="n">
        <x:f>-Assumptions!$B$10*E258</x:f>
        <x:v>2.680789653307922</x:v>
      </x:c>
      <x:c r="J258" s="36" t="n">
        <x:f>IF(C258&lt;-F258,1,0)</x:f>
        <x:v>0</x:v>
      </x:c>
      <x:c r="K258" s="36" t="n">
        <x:f>IF(C258&lt;-G258,1,0)</x:f>
        <x:v>0</x:v>
      </x:c>
      <x:c r="L258" s="36" t="n">
        <x:f>IF(C258&lt;-H258,1,0)</x:f>
        <x:v>0</x:v>
      </x:c>
      <x:c r="M258" s="36" t="n">
        <x:f>IF(C258&lt;-I258,1,0)</x:f>
        <x:v>0</x:v>
      </x:c>
      <x:c r="N258" s="34" t="n">
        <x:f>-F258</x:f>
        <x:v>-1.6917583802340386</x:v>
      </x:c>
      <x:c r="O258" s="34" t="n">
        <x:f>-H258</x:f>
        <x:v>-1.6053590271428082</x:v>
      </x:c>
      <x:c r="P258" s="34" t="n">
        <x:f>-G258</x:f>
        <x:v>-2.392686161711787</x:v>
      </x:c>
      <x:c r="Q258" s="34" t="n">
        <x:f>-I258</x:f>
        <x:v>-2.680789653307922</x:v>
      </x:c>
      <x:c r="R258" s="36" t="n">
        <x:f>YEAR(A258)</x:f>
        <x:v>2021</x:v>
      </x:c>
    </x:row>
    <x:row r="259">
      <x:c r="A259" s="30" t="n">
        <x:v>44561</x:v>
      </x:c>
      <x:c r="B259" s="38" t="n">
        <x:v>4766.18</x:v>
      </x:c>
      <x:c r="C259" s="34" t="n">
        <x:f>(B259/B258-1)*100</x:f>
        <x:v>-0.26262207741385435</x:v>
      </x:c>
      <x:c r="D259" s="34" t="n">
        <x:f>Assumptions!$B$4*D258+(1-Assumptions!$B$4)*C258^2</x:f>
        <x:v>0.9997377033680941</x:v>
      </x:c>
      <x:c r="E259" s="34" t="n">
        <x:f>SQRT(D259)</x:f>
        <x:v>0.9998688430829786</x:v>
      </x:c>
      <x:c r="F259" s="34" t="n">
        <x:f>-Assumptions!$B$7*E259</x:f>
        <x:v>1.6446378930208105</x:v>
      </x:c>
      <x:c r="G259" s="34" t="n">
        <x:f>-Assumptions!$B$8*E259</x:f>
        <x:v>2.326042757425762</x:v>
      </x:c>
      <x:c r="H259" s="34" t="n">
        <x:f>-Assumptions!$B$9*E259</x:f>
        <x:v>1.560645018100537</x:v>
      </x:c>
      <x:c r="I259" s="34" t="n">
        <x:f>-Assumptions!$B$10*E259</x:f>
        <x:v>2.606121712509795</x:v>
      </x:c>
      <x:c r="J259" s="36" t="n">
        <x:f>IF(C259&lt;-F259,1,0)</x:f>
        <x:v>0</x:v>
      </x:c>
      <x:c r="K259" s="36" t="n">
        <x:f>IF(C259&lt;-G259,1,0)</x:f>
        <x:v>0</x:v>
      </x:c>
      <x:c r="L259" s="36" t="n">
        <x:f>IF(C259&lt;-H259,1,0)</x:f>
        <x:v>0</x:v>
      </x:c>
      <x:c r="M259" s="36" t="n">
        <x:f>IF(C259&lt;-I259,1,0)</x:f>
        <x:v>0</x:v>
      </x:c>
      <x:c r="N259" s="34" t="n">
        <x:f>-F259</x:f>
        <x:v>-1.6446378930208105</x:v>
      </x:c>
      <x:c r="O259" s="34" t="n">
        <x:f>-H259</x:f>
        <x:v>-1.560645018100537</x:v>
      </x:c>
      <x:c r="P259" s="34" t="n">
        <x:f>-G259</x:f>
        <x:v>-2.326042757425762</x:v>
      </x:c>
      <x:c r="Q259" s="34" t="n">
        <x:f>-I259</x:f>
        <x:v>-2.606121712509795</x:v>
      </x:c>
      <x:c r="R259" s="36" t="n">
        <x:f>YEAR(A259)</x:f>
        <x:v>2021</x:v>
      </x:c>
    </x:row>
    <x:row r="260">
      <x:c r="A260" s="30" t="n">
        <x:v>44564</x:v>
      </x:c>
      <x:c r="B260" s="38" t="n">
        <x:v>4796.56</x:v>
      </x:c>
      <x:c r="C260" s="34" t="n">
        <x:f>(B260/B259-1)*100</x:f>
        <x:v>0.637407735335227</x:v>
      </x:c>
      <x:c r="D260" s="34" t="n">
        <x:f>Assumptions!$B$4*D259+(1-Assumptions!$B$4)*C259^2</x:f>
        <x:v>0.9438916624987185</x:v>
      </x:c>
      <x:c r="E260" s="34" t="n">
        <x:f>SQRT(D260)</x:f>
        <x:v>0.9715408702153083</x:v>
      </x:c>
      <x:c r="F260" s="34" t="n">
        <x:f>-Assumptions!$B$7*E260</x:f>
        <x:v>1.59804252410524</x:v>
      </x:c>
      <x:c r="G260" s="34" t="n">
        <x:f>-Assumptions!$B$8*E260</x:f>
        <x:v>2.2601420379691706</x:v>
      </x:c>
      <x:c r="H260" s="34" t="n">
        <x:f>-Assumptions!$B$9*E260</x:f>
        <x:v>1.5164293091756536</x:v>
      </x:c>
      <x:c r="I260" s="34" t="n">
        <x:f>-Assumptions!$B$10*E260</x:f>
        <x:v>2.532285883268242</x:v>
      </x:c>
      <x:c r="J260" s="36" t="n">
        <x:f>IF(C260&lt;-F260,1,0)</x:f>
        <x:v>0</x:v>
      </x:c>
      <x:c r="K260" s="36" t="n">
        <x:f>IF(C260&lt;-G260,1,0)</x:f>
        <x:v>0</x:v>
      </x:c>
      <x:c r="L260" s="36" t="n">
        <x:f>IF(C260&lt;-H260,1,0)</x:f>
        <x:v>0</x:v>
      </x:c>
      <x:c r="M260" s="36" t="n">
        <x:f>IF(C260&lt;-I260,1,0)</x:f>
        <x:v>0</x:v>
      </x:c>
      <x:c r="N260" s="34" t="n">
        <x:f>-F260</x:f>
        <x:v>-1.59804252410524</x:v>
      </x:c>
      <x:c r="O260" s="34" t="n">
        <x:f>-H260</x:f>
        <x:v>-1.5164293091756536</x:v>
      </x:c>
      <x:c r="P260" s="34" t="n">
        <x:f>-G260</x:f>
        <x:v>-2.2601420379691706</x:v>
      </x:c>
      <x:c r="Q260" s="34" t="n">
        <x:f>-I260</x:f>
        <x:v>-2.532285883268242</x:v>
      </x:c>
      <x:c r="R260" s="36" t="n">
        <x:f>YEAR(A260)</x:f>
        <x:v>2022</x:v>
      </x:c>
    </x:row>
    <x:row r="261">
      <x:c r="A261" s="30" t="n">
        <x:v>44565</x:v>
      </x:c>
      <x:c r="B261" s="38" t="n">
        <x:v>4793.54</x:v>
      </x:c>
      <x:c r="C261" s="34" t="n">
        <x:f>(B261/B260-1)*100</x:f>
        <x:v>-0.0629617892823231</x:v>
      </x:c>
      <x:c r="D261" s="34" t="n">
        <x:f>Assumptions!$B$4*D260+(1-Assumptions!$B$4)*C260^2</x:f>
        <x:v>0.9116354800127063</x:v>
      </x:c>
      <x:c r="E261" s="34" t="n">
        <x:f>SQRT(D261)</x:f>
        <x:v>0.9547960410541648</x:v>
      </x:c>
      <x:c r="F261" s="34" t="n">
        <x:f>-Assumptions!$B$7*E261</x:f>
        <x:v>1.5704997311268505</x:v>
      </x:c>
      <x:c r="G261" s="34" t="n">
        <x:f>-Assumptions!$B$8*E261</x:f>
        <x:v>2.221187740248967</x:v>
      </x:c>
      <x:c r="H261" s="34" t="n">
        <x:f>-Assumptions!$B$9*E261</x:f>
        <x:v>1.4902931470279204</x:v>
      </x:c>
      <x:c r="I261" s="34" t="n">
        <x:f>-Assumptions!$B$10*E261</x:f>
        <x:v>2.48864109610339</x:v>
      </x:c>
      <x:c r="J261" s="36" t="n">
        <x:f>IF(C261&lt;-F261,1,0)</x:f>
        <x:v>0</x:v>
      </x:c>
      <x:c r="K261" s="36" t="n">
        <x:f>IF(C261&lt;-G261,1,0)</x:f>
        <x:v>0</x:v>
      </x:c>
      <x:c r="L261" s="36" t="n">
        <x:f>IF(C261&lt;-H261,1,0)</x:f>
        <x:v>0</x:v>
      </x:c>
      <x:c r="M261" s="36" t="n">
        <x:f>IF(C261&lt;-I261,1,0)</x:f>
        <x:v>0</x:v>
      </x:c>
      <x:c r="N261" s="34" t="n">
        <x:f>-F261</x:f>
        <x:v>-1.5704997311268505</x:v>
      </x:c>
      <x:c r="O261" s="34" t="n">
        <x:f>-H261</x:f>
        <x:v>-1.4902931470279204</x:v>
      </x:c>
      <x:c r="P261" s="34" t="n">
        <x:f>-G261</x:f>
        <x:v>-2.221187740248967</x:v>
      </x:c>
      <x:c r="Q261" s="34" t="n">
        <x:f>-I261</x:f>
        <x:v>-2.48864109610339</x:v>
      </x:c>
      <x:c r="R261" s="36" t="n">
        <x:f>YEAR(A261)</x:f>
        <x:v>2022</x:v>
      </x:c>
    </x:row>
    <x:row r="262">
      <x:c r="A262" s="30" t="n">
        <x:v>44566</x:v>
      </x:c>
      <x:c r="B262" s="38" t="n">
        <x:v>4700.58</x:v>
      </x:c>
      <x:c r="C262" s="34" t="n">
        <x:f>(B262/B261-1)*100</x:f>
        <x:v>-1.939276609770646</x:v>
      </x:c>
      <x:c r="D262" s="34" t="n">
        <x:f>Assumptions!$B$4*D261+(1-Assumptions!$B$4)*C261^2</x:f>
        <x:v>0.8571752024265218</x:v>
      </x:c>
      <x:c r="E262" s="34" t="n">
        <x:f>SQRT(D262)</x:f>
        <x:v>0.9258375680574438</x:v>
      </x:c>
      <x:c r="F262" s="34" t="n">
        <x:f>-Assumptions!$B$7*E262</x:f>
        <x:v>1.5228672817872175</x:v>
      </x:c>
      <x:c r="G262" s="34" t="n">
        <x:f>-Assumptions!$B$8*E262</x:f>
        <x:v>2.1538202581575763</x:v>
      </x:c>
      <x:c r="H262" s="34" t="n">
        <x:f>-Assumptions!$B$9*E262</x:f>
        <x:v>1.4450933221441071</x:v>
      </x:c>
      <x:c r="I262" s="34" t="n">
        <x:f>-Assumptions!$B$10*E262</x:f>
        <x:v>2.4131618912456987</x:v>
      </x:c>
      <x:c r="J262" s="36" t="n">
        <x:f>IF(C262&lt;-F262,1,0)</x:f>
        <x:v>1</x:v>
      </x:c>
      <x:c r="K262" s="36" t="n">
        <x:f>IF(C262&lt;-G262,1,0)</x:f>
        <x:v>0</x:v>
      </x:c>
      <x:c r="L262" s="36" t="n">
        <x:f>IF(C262&lt;-H262,1,0)</x:f>
        <x:v>1</x:v>
      </x:c>
      <x:c r="M262" s="36" t="n">
        <x:f>IF(C262&lt;-I262,1,0)</x:f>
        <x:v>0</x:v>
      </x:c>
      <x:c r="N262" s="34" t="n">
        <x:f>-F262</x:f>
        <x:v>-1.5228672817872175</x:v>
      </x:c>
      <x:c r="O262" s="34" t="n">
        <x:f>-H262</x:f>
        <x:v>-1.4450933221441071</x:v>
      </x:c>
      <x:c r="P262" s="34" t="n">
        <x:f>-G262</x:f>
        <x:v>-2.1538202581575763</x:v>
      </x:c>
      <x:c r="Q262" s="34" t="n">
        <x:f>-I262</x:f>
        <x:v>-2.4131618912456987</x:v>
      </x:c>
      <x:c r="R262" s="36" t="n">
        <x:f>YEAR(A262)</x:f>
        <x:v>2022</x:v>
      </x:c>
    </x:row>
    <x:row r="263">
      <x:c r="A263" s="30" t="n">
        <x:v>44567</x:v>
      </x:c>
      <x:c r="B263" s="38" t="n">
        <x:v>4696.05</x:v>
      </x:c>
      <x:c r="C263" s="34" t="n">
        <x:f>(B263/B262-1)*100</x:f>
        <x:v>-0.09637108612128298</x:v>
      </x:c>
      <x:c r="D263" s="34" t="n">
        <x:f>Assumptions!$B$4*D262+(1-Assumptions!$B$4)*C262^2</x:f>
        <x:v>1.0313923164331424</x:v>
      </x:c>
      <x:c r="E263" s="34" t="n">
        <x:f>SQRT(D263)</x:f>
        <x:v>1.0155748699299045</x:v>
      </x:c>
      <x:c r="F263" s="34" t="n">
        <x:f>-Assumptions!$B$7*E263</x:f>
        <x:v>1.6704720082449738</x:v>
      </x:c>
      <x:c r="G263" s="34" t="n">
        <x:f>-Assumptions!$B$8*E263</x:f>
        <x:v>2.362580439590736</x:v>
      </x:c>
      <x:c r="H263" s="34" t="n">
        <x:f>-Assumptions!$B$9*E263</x:f>
        <x:v>1.5851597659320924</x:v>
      </x:c>
      <x:c r="I263" s="34" t="n">
        <x:f>-Assumptions!$B$10*E263</x:f>
        <x:v>2.64705889928804</x:v>
      </x:c>
      <x:c r="J263" s="36" t="n">
        <x:f>IF(C263&lt;-F263,1,0)</x:f>
        <x:v>0</x:v>
      </x:c>
      <x:c r="K263" s="36" t="n">
        <x:f>IF(C263&lt;-G263,1,0)</x:f>
        <x:v>0</x:v>
      </x:c>
      <x:c r="L263" s="36" t="n">
        <x:f>IF(C263&lt;-H263,1,0)</x:f>
        <x:v>0</x:v>
      </x:c>
      <x:c r="M263" s="36" t="n">
        <x:f>IF(C263&lt;-I263,1,0)</x:f>
        <x:v>0</x:v>
      </x:c>
      <x:c r="N263" s="34" t="n">
        <x:f>-F263</x:f>
        <x:v>-1.6704720082449738</x:v>
      </x:c>
      <x:c r="O263" s="34" t="n">
        <x:f>-H263</x:f>
        <x:v>-1.5851597659320924</x:v>
      </x:c>
      <x:c r="P263" s="34" t="n">
        <x:f>-G263</x:f>
        <x:v>-2.362580439590736</x:v>
      </x:c>
      <x:c r="Q263" s="34" t="n">
        <x:f>-I263</x:f>
        <x:v>-2.64705889928804</x:v>
      </x:c>
      <x:c r="R263" s="36" t="n">
        <x:f>YEAR(A263)</x:f>
        <x:v>2022</x:v>
      </x:c>
    </x:row>
    <x:row r="264">
      <x:c r="A264" s="30" t="n">
        <x:v>44568</x:v>
      </x:c>
      <x:c r="B264" s="38" t="n">
        <x:v>4677.03</x:v>
      </x:c>
      <x:c r="C264" s="34" t="n">
        <x:f>(B264/B263-1)*100</x:f>
        <x:v>-0.40502124125595396</x:v>
      </x:c>
      <x:c r="D264" s="34" t="n">
        <x:f>Assumptions!$B$4*D263+(1-Assumptions!$B$4)*C263^2</x:f>
        <x:v>0.9700660206215656</x:v>
      </x:c>
      <x:c r="E264" s="34" t="n">
        <x:f>SQRT(D264)</x:f>
        <x:v>0.9849192965017822</x:v>
      </x:c>
      <x:c r="F264" s="34" t="n">
        <x:f>-Assumptions!$B$7*E264</x:f>
        <x:v>1.6200480771054495</x:v>
      </x:c>
      <x:c r="G264" s="34" t="n">
        <x:f>-Assumptions!$B$8*E264</x:f>
        <x:v>2.291264911518721</x:v>
      </x:c>
      <x:c r="H264" s="34" t="n">
        <x:f>-Assumptions!$B$9*E264</x:f>
        <x:v>1.5373110222907787</x:v>
      </x:c>
      <x:c r="I264" s="34" t="n">
        <x:f>-Assumptions!$B$10*E264</x:f>
        <x:v>2.5671562639842636</x:v>
      </x:c>
      <x:c r="J264" s="36" t="n">
        <x:f>IF(C264&lt;-F264,1,0)</x:f>
        <x:v>0</x:v>
      </x:c>
      <x:c r="K264" s="36" t="n">
        <x:f>IF(C264&lt;-G264,1,0)</x:f>
        <x:v>0</x:v>
      </x:c>
      <x:c r="L264" s="36" t="n">
        <x:f>IF(C264&lt;-H264,1,0)</x:f>
        <x:v>0</x:v>
      </x:c>
      <x:c r="M264" s="36" t="n">
        <x:f>IF(C264&lt;-I264,1,0)</x:f>
        <x:v>0</x:v>
      </x:c>
      <x:c r="N264" s="34" t="n">
        <x:f>-F264</x:f>
        <x:v>-1.6200480771054495</x:v>
      </x:c>
      <x:c r="O264" s="34" t="n">
        <x:f>-H264</x:f>
        <x:v>-1.5373110222907787</x:v>
      </x:c>
      <x:c r="P264" s="34" t="n">
        <x:f>-G264</x:f>
        <x:v>-2.291264911518721</x:v>
      </x:c>
      <x:c r="Q264" s="34" t="n">
        <x:f>-I264</x:f>
        <x:v>-2.5671562639842636</x:v>
      </x:c>
      <x:c r="R264" s="36" t="n">
        <x:f>YEAR(A264)</x:f>
        <x:v>2022</x:v>
      </x:c>
    </x:row>
    <x:row r="265">
      <x:c r="A265" s="30" t="n">
        <x:v>44571</x:v>
      </x:c>
      <x:c r="B265" s="38" t="n">
        <x:v>4670.29</x:v>
      </x:c>
      <x:c r="C265" s="34" t="n">
        <x:f>(B265/B264-1)*100</x:f>
        <x:v>-0.14410854751839564</x:v>
      </x:c>
      <x:c r="D265" s="34" t="n">
        <x:f>Assumptions!$B$4*D264+(1-Assumptions!$B$4)*C264^2</x:f>
        <x:v>0.9217045917363824</x:v>
      </x:c>
      <x:c r="E265" s="34" t="n">
        <x:f>SQRT(D265)</x:f>
        <x:v>0.9600544733172084</x:v>
      </x:c>
      <x:c r="F265" s="34" t="n">
        <x:f>-Assumptions!$B$7*E265</x:f>
        <x:v>1.5791490825067962</x:v>
      </x:c>
      <x:c r="G265" s="34" t="n">
        <x:f>-Assumptions!$B$8*E265</x:f>
        <x:v>2.2334206829648866</x:v>
      </x:c>
      <x:c r="H265" s="34" t="n">
        <x:f>-Assumptions!$B$9*E265</x:f>
        <x:v>1.498500769628735</x:v>
      </x:c>
      <x:c r="I265" s="34" t="n">
        <x:f>-Assumptions!$B$10*E265</x:f>
        <x:v>2.502347008223049</x:v>
      </x:c>
      <x:c r="J265" s="36" t="n">
        <x:f>IF(C265&lt;-F265,1,0)</x:f>
        <x:v>0</x:v>
      </x:c>
      <x:c r="K265" s="36" t="n">
        <x:f>IF(C265&lt;-G265,1,0)</x:f>
        <x:v>0</x:v>
      </x:c>
      <x:c r="L265" s="36" t="n">
        <x:f>IF(C265&lt;-H265,1,0)</x:f>
        <x:v>0</x:v>
      </x:c>
      <x:c r="M265" s="36" t="n">
        <x:f>IF(C265&lt;-I265,1,0)</x:f>
        <x:v>0</x:v>
      </x:c>
      <x:c r="N265" s="34" t="n">
        <x:f>-F265</x:f>
        <x:v>-1.5791490825067962</x:v>
      </x:c>
      <x:c r="O265" s="34" t="n">
        <x:f>-H265</x:f>
        <x:v>-1.498500769628735</x:v>
      </x:c>
      <x:c r="P265" s="34" t="n">
        <x:f>-G265</x:f>
        <x:v>-2.2334206829648866</x:v>
      </x:c>
      <x:c r="Q265" s="34" t="n">
        <x:f>-I265</x:f>
        <x:v>-2.502347008223049</x:v>
      </x:c>
      <x:c r="R265" s="36" t="n">
        <x:f>YEAR(A265)</x:f>
        <x:v>2022</x:v>
      </x:c>
    </x:row>
    <x:row r="266">
      <x:c r="A266" s="30" t="n">
        <x:v>44572</x:v>
      </x:c>
      <x:c r="B266" s="38" t="n">
        <x:v>4713.07</x:v>
      </x:c>
      <x:c r="C266" s="34" t="n">
        <x:f>(B266/B265-1)*100</x:f>
        <x:v>0.9160030747555226</x:v>
      </x:c>
      <x:c r="D266" s="34" t="n">
        <x:f>Assumptions!$B$4*D265+(1-Assumptions!$B$4)*C265^2</x:f>
        <x:v>0.8676483526402712</x:v>
      </x:c>
      <x:c r="E266" s="34" t="n">
        <x:f>SQRT(D266)</x:f>
        <x:v>0.9314764369753382</x:v>
      </x:c>
      <x:c r="F266" s="34" t="n">
        <x:f>-Assumptions!$B$7*E266</x:f>
        <x:v>1.5321423957787201</x:v>
      </x:c>
      <x:c r="G266" s="34" t="n">
        <x:f>-Assumptions!$B$8*E266</x:f>
        <x:v>2.166938228876715</x:v>
      </x:c>
      <x:c r="H266" s="34" t="n">
        <x:f>-Assumptions!$B$9*E266</x:f>
        <x:v>1.4538947491965786</x:v>
      </x:c>
      <x:c r="I266" s="34" t="n">
        <x:f>-Assumptions!$B$10*E266</x:f>
        <x:v>2.4278593976462473</x:v>
      </x:c>
      <x:c r="J266" s="36" t="n">
        <x:f>IF(C266&lt;-F266,1,0)</x:f>
        <x:v>0</x:v>
      </x:c>
      <x:c r="K266" s="36" t="n">
        <x:f>IF(C266&lt;-G266,1,0)</x:f>
        <x:v>0</x:v>
      </x:c>
      <x:c r="L266" s="36" t="n">
        <x:f>IF(C266&lt;-H266,1,0)</x:f>
        <x:v>0</x:v>
      </x:c>
      <x:c r="M266" s="36" t="n">
        <x:f>IF(C266&lt;-I266,1,0)</x:f>
        <x:v>0</x:v>
      </x:c>
      <x:c r="N266" s="34" t="n">
        <x:f>-F266</x:f>
        <x:v>-1.5321423957787201</x:v>
      </x:c>
      <x:c r="O266" s="34" t="n">
        <x:f>-H266</x:f>
        <x:v>-1.4538947491965786</x:v>
      </x:c>
      <x:c r="P266" s="34" t="n">
        <x:f>-G266</x:f>
        <x:v>-2.166938228876715</x:v>
      </x:c>
      <x:c r="Q266" s="34" t="n">
        <x:f>-I266</x:f>
        <x:v>-2.4278593976462473</x:v>
      </x:c>
      <x:c r="R266" s="36" t="n">
        <x:f>YEAR(A266)</x:f>
        <x:v>2022</x:v>
      </x:c>
    </x:row>
    <x:row r="267">
      <x:c r="A267" s="30" t="n">
        <x:v>44573</x:v>
      </x:c>
      <x:c r="B267" s="38" t="n">
        <x:v>4726.35</x:v>
      </x:c>
      <x:c r="C267" s="34" t="n">
        <x:f>(B267/B266-1)*100</x:f>
        <x:v>0.2817696321081753</x:v>
      </x:c>
      <x:c r="D267" s="34" t="n">
        <x:f>Assumptions!$B$4*D266+(1-Assumptions!$B$4)*C266^2</x:f>
        <x:v>0.8659331494595492</x:v>
      </x:c>
      <x:c r="E267" s="34" t="n">
        <x:f>SQRT(D267)</x:f>
        <x:v>0.9305552909201845</x:v>
      </x:c>
      <x:c r="F267" s="34" t="n">
        <x:f>-Assumptions!$B$7*E267</x:f>
        <x:v>1.5306272453489485</x:v>
      </x:c>
      <x:c r="G267" s="34" t="n">
        <x:f>-Assumptions!$B$8*E267</x:f>
        <x:v>2.164795322709627</x:v>
      </x:c>
      <x:c r="H267" s="34" t="n">
        <x:f>-Assumptions!$B$9*E267</x:f>
        <x:v>1.452456978621104</x:v>
      </x:c>
      <x:c r="I267" s="34" t="n">
        <x:f>-Assumptions!$B$10*E267</x:f>
        <x:v>2.4254584640124652</x:v>
      </x:c>
      <x:c r="J267" s="36" t="n">
        <x:f>IF(C267&lt;-F267,1,0)</x:f>
        <x:v>0</x:v>
      </x:c>
      <x:c r="K267" s="36" t="n">
        <x:f>IF(C267&lt;-G267,1,0)</x:f>
        <x:v>0</x:v>
      </x:c>
      <x:c r="L267" s="36" t="n">
        <x:f>IF(C267&lt;-H267,1,0)</x:f>
        <x:v>0</x:v>
      </x:c>
      <x:c r="M267" s="36" t="n">
        <x:f>IF(C267&lt;-I267,1,0)</x:f>
        <x:v>0</x:v>
      </x:c>
      <x:c r="N267" s="34" t="n">
        <x:f>-F267</x:f>
        <x:v>-1.5306272453489485</x:v>
      </x:c>
      <x:c r="O267" s="34" t="n">
        <x:f>-H267</x:f>
        <x:v>-1.452456978621104</x:v>
      </x:c>
      <x:c r="P267" s="34" t="n">
        <x:f>-G267</x:f>
        <x:v>-2.164795322709627</x:v>
      </x:c>
      <x:c r="Q267" s="34" t="n">
        <x:f>-I267</x:f>
        <x:v>-2.4254584640124652</x:v>
      </x:c>
      <x:c r="R267" s="36" t="n">
        <x:f>YEAR(A267)</x:f>
        <x:v>2022</x:v>
      </x:c>
    </x:row>
    <x:row r="268">
      <x:c r="A268" s="30" t="n">
        <x:v>44574</x:v>
      </x:c>
      <x:c r="B268" s="38" t="n">
        <x:v>4659.03</x:v>
      </x:c>
      <x:c r="C268" s="34" t="n">
        <x:f>(B268/B267-1)*100</x:f>
        <x:v>-1.4243549462058636</x:v>
      </x:c>
      <x:c r="D268" s="34" t="n">
        <x:f>Assumptions!$B$4*D267+(1-Assumptions!$B$4)*C267^2</x:f>
        <x:v>0.8187408080266788</x:v>
      </x:c>
      <x:c r="E268" s="34" t="n">
        <x:f>SQRT(D268)</x:f>
        <x:v>0.9048429742373418</x:v>
      </x:c>
      <x:c r="F268" s="34" t="n">
        <x:f>-Assumptions!$B$7*E268</x:f>
        <x:v>1.48833424799585</x:v>
      </x:c>
      <x:c r="G268" s="34" t="n">
        <x:f>-Assumptions!$B$8*E268</x:f>
        <x:v>2.104979529457831</x:v>
      </x:c>
      <x:c r="H268" s="34" t="n">
        <x:f>-Assumptions!$B$9*E268</x:f>
        <x:v>1.4123239159574326</x:v>
      </x:c>
      <x:c r="I268" s="34" t="n">
        <x:f>-Assumptions!$B$10*E268</x:f>
        <x:v>2.3584402473236956</x:v>
      </x:c>
      <x:c r="J268" s="36" t="n">
        <x:f>IF(C268&lt;-F268,1,0)</x:f>
        <x:v>0</x:v>
      </x:c>
      <x:c r="K268" s="36" t="n">
        <x:f>IF(C268&lt;-G268,1,0)</x:f>
        <x:v>0</x:v>
      </x:c>
      <x:c r="L268" s="36" t="n">
        <x:f>IF(C268&lt;-H268,1,0)</x:f>
        <x:v>1</x:v>
      </x:c>
      <x:c r="M268" s="36" t="n">
        <x:f>IF(C268&lt;-I268,1,0)</x:f>
        <x:v>0</x:v>
      </x:c>
      <x:c r="N268" s="34" t="n">
        <x:f>-F268</x:f>
        <x:v>-1.48833424799585</x:v>
      </x:c>
      <x:c r="O268" s="34" t="n">
        <x:f>-H268</x:f>
        <x:v>-1.4123239159574326</x:v>
      </x:c>
      <x:c r="P268" s="34" t="n">
        <x:f>-G268</x:f>
        <x:v>-2.104979529457831</x:v>
      </x:c>
      <x:c r="Q268" s="34" t="n">
        <x:f>-I268</x:f>
        <x:v>-2.3584402473236956</x:v>
      </x:c>
      <x:c r="R268" s="36" t="n">
        <x:f>YEAR(A268)</x:f>
        <x:v>2022</x:v>
      </x:c>
    </x:row>
    <x:row r="269">
      <x:c r="A269" s="30" t="n">
        <x:v>44575</x:v>
      </x:c>
      <x:c r="B269" s="38" t="n">
        <x:v>4662.85</x:v>
      </x:c>
      <x:c r="C269" s="34" t="n">
        <x:f>(B269/B268-1)*100</x:f>
        <x:v>0.08199131578892072</x:v>
      </x:c>
      <x:c r="D269" s="34" t="n">
        <x:f>Assumptions!$B$4*D268+(1-Assumptions!$B$4)*C268^2</x:f>
        <x:v>0.8913435803119446</x:v>
      </x:c>
      <x:c r="E269" s="34" t="n">
        <x:f>SQRT(D269)</x:f>
        <x:v>0.9441099407971216</x:v>
      </x:c>
      <x:c r="F269" s="34" t="n">
        <x:f>-Assumptions!$B$7*E269</x:f>
        <x:v>1.5529226603610857</x:v>
      </x:c>
      <x:c r="G269" s="34" t="n">
        <x:f>-Assumptions!$B$8*E269</x:f>
        <x:v>2.1963281536342074</x:v>
      </x:c>
      <x:c r="H269" s="34" t="n">
        <x:f>-Assumptions!$B$9*E269</x:f>
        <x:v>1.473613750280588</x:v>
      </x:c>
      <x:c r="I269" s="34" t="n">
        <x:f>-Assumptions!$B$10*E269</x:f>
        <x:v>2.4607881650968926</x:v>
      </x:c>
      <x:c r="J269" s="36" t="n">
        <x:f>IF(C269&lt;-F269,1,0)</x:f>
        <x:v>0</x:v>
      </x:c>
      <x:c r="K269" s="36" t="n">
        <x:f>IF(C269&lt;-G269,1,0)</x:f>
        <x:v>0</x:v>
      </x:c>
      <x:c r="L269" s="36" t="n">
        <x:f>IF(C269&lt;-H269,1,0)</x:f>
        <x:v>0</x:v>
      </x:c>
      <x:c r="M269" s="36" t="n">
        <x:f>IF(C269&lt;-I269,1,0)</x:f>
        <x:v>0</x:v>
      </x:c>
      <x:c r="N269" s="34" t="n">
        <x:f>-F269</x:f>
        <x:v>-1.5529226603610857</x:v>
      </x:c>
      <x:c r="O269" s="34" t="n">
        <x:f>-H269</x:f>
        <x:v>-1.473613750280588</x:v>
      </x:c>
      <x:c r="P269" s="34" t="n">
        <x:f>-G269</x:f>
        <x:v>-2.1963281536342074</x:v>
      </x:c>
      <x:c r="Q269" s="34" t="n">
        <x:f>-I269</x:f>
        <x:v>-2.4607881650968926</x:v>
      </x:c>
      <x:c r="R269" s="36" t="n">
        <x:f>YEAR(A269)</x:f>
        <x:v>2022</x:v>
      </x:c>
    </x:row>
    <x:row r="270">
      <x:c r="A270" s="30" t="n">
        <x:v>44579</x:v>
      </x:c>
      <x:c r="B270" s="38" t="n">
        <x:v>4577.11</x:v>
      </x:c>
      <x:c r="C270" s="34" t="n">
        <x:f>(B270/B269-1)*100</x:f>
        <x:v>-1.83878958147915</x:v>
      </x:c>
      <x:c r="D270" s="34" t="n">
        <x:f>Assumptions!$B$4*D269+(1-Assumptions!$B$4)*C269^2</x:f>
        <x:v>0.8382663200451158</x:v>
      </x:c>
      <x:c r="E270" s="34" t="n">
        <x:f>SQRT(D270)</x:f>
        <x:v>0.9155688505214208</x:v>
      </x:c>
      <x:c r="F270" s="34" t="n">
        <x:f>-Assumptions!$B$7*E270</x:f>
        <x:v>1.5059767445039498</x:v>
      </x:c>
      <x:c r="G270" s="34" t="n">
        <x:f>-Assumptions!$B$8*E270</x:f>
        <x:v>2.129931648948523</x:v>
      </x:c>
      <x:c r="H270" s="34" t="n">
        <x:f>-Assumptions!$B$9*E270</x:f>
        <x:v>1.429065397105997</x:v>
      </x:c>
      <x:c r="I270" s="34" t="n">
        <x:f>-Assumptions!$B$10*E270</x:f>
        <x:v>2.386396853095551</x:v>
      </x:c>
      <x:c r="J270" s="36" t="n">
        <x:f>IF(C270&lt;-F270,1,0)</x:f>
        <x:v>1</x:v>
      </x:c>
      <x:c r="K270" s="36" t="n">
        <x:f>IF(C270&lt;-G270,1,0)</x:f>
        <x:v>0</x:v>
      </x:c>
      <x:c r="L270" s="36" t="n">
        <x:f>IF(C270&lt;-H270,1,0)</x:f>
        <x:v>1</x:v>
      </x:c>
      <x:c r="M270" s="36" t="n">
        <x:f>IF(C270&lt;-I270,1,0)</x:f>
        <x:v>0</x:v>
      </x:c>
      <x:c r="N270" s="34" t="n">
        <x:f>-F270</x:f>
        <x:v>-1.5059767445039498</x:v>
      </x:c>
      <x:c r="O270" s="34" t="n">
        <x:f>-H270</x:f>
        <x:v>-1.429065397105997</x:v>
      </x:c>
      <x:c r="P270" s="34" t="n">
        <x:f>-G270</x:f>
        <x:v>-2.129931648948523</x:v>
      </x:c>
      <x:c r="Q270" s="34" t="n">
        <x:f>-I270</x:f>
        <x:v>-2.386396853095551</x:v>
      </x:c>
      <x:c r="R270" s="36" t="n">
        <x:f>YEAR(A270)</x:f>
        <x:v>2022</x:v>
      </x:c>
    </x:row>
    <x:row r="271">
      <x:c r="A271" s="30" t="n">
        <x:v>44580</x:v>
      </x:c>
      <x:c r="B271" s="38" t="n">
        <x:v>4532.76</x:v>
      </x:c>
      <x:c r="C271" s="34" t="n">
        <x:f>(B271/B270-1)*100</x:f>
        <x:v>-0.9689520243122751</x:v>
      </x:c>
      <x:c r="D271" s="34" t="n">
        <x:f>Assumptions!$B$4*D270+(1-Assumptions!$B$4)*C270^2</x:f>
        <x:v>0.990839168339785</x:v>
      </x:c>
      <x:c r="E271" s="34" t="n">
        <x:f>SQRT(D271)</x:f>
        <x:v>0.9954090457393809</x:v>
      </x:c>
      <x:c r="F271" s="34" t="n">
        <x:f>-Assumptions!$B$7*E271</x:f>
        <x:v>1.6373021791847253</x:v>
      </x:c>
      <x:c r="G271" s="34" t="n">
        <x:f>-Assumptions!$B$8*E271</x:f>
        <x:v>2.3156677173568303</x:v>
      </x:c>
      <x:c r="H271" s="34" t="n">
        <x:f>-Assumptions!$B$9*E271</x:f>
        <x:v>1.553683944601574</x:v>
      </x:c>
      <x:c r="I271" s="34" t="n">
        <x:f>-Assumptions!$B$10*E271</x:f>
        <x:v>2.594497413211993</x:v>
      </x:c>
      <x:c r="J271" s="36" t="n">
        <x:f>IF(C271&lt;-F271,1,0)</x:f>
        <x:v>0</x:v>
      </x:c>
      <x:c r="K271" s="36" t="n">
        <x:f>IF(C271&lt;-G271,1,0)</x:f>
        <x:v>0</x:v>
      </x:c>
      <x:c r="L271" s="36" t="n">
        <x:f>IF(C271&lt;-H271,1,0)</x:f>
        <x:v>0</x:v>
      </x:c>
      <x:c r="M271" s="36" t="n">
        <x:f>IF(C271&lt;-I271,1,0)</x:f>
        <x:v>0</x:v>
      </x:c>
      <x:c r="N271" s="34" t="n">
        <x:f>-F271</x:f>
        <x:v>-1.6373021791847253</x:v>
      </x:c>
      <x:c r="O271" s="34" t="n">
        <x:f>-H271</x:f>
        <x:v>-1.553683944601574</x:v>
      </x:c>
      <x:c r="P271" s="34" t="n">
        <x:f>-G271</x:f>
        <x:v>-2.3156677173568303</x:v>
      </x:c>
      <x:c r="Q271" s="34" t="n">
        <x:f>-I271</x:f>
        <x:v>-2.594497413211993</x:v>
      </x:c>
      <x:c r="R271" s="36" t="n">
        <x:f>YEAR(A271)</x:f>
        <x:v>2022</x:v>
      </x:c>
    </x:row>
    <x:row r="272">
      <x:c r="A272" s="30" t="n">
        <x:v>44581</x:v>
      </x:c>
      <x:c r="B272" s="38" t="n">
        <x:v>4482.73</x:v>
      </x:c>
      <x:c r="C272" s="34" t="n">
        <x:f>(B272/B271-1)*100</x:f>
        <x:v>-1.103742532143781</x:v>
      </x:c>
      <x:c r="D272" s="34" t="n">
        <x:f>Assumptions!$B$4*D271+(1-Assumptions!$B$4)*C271^2</x:f>
        <x:v>0.9877208997645293</x:v>
      </x:c>
      <x:c r="E272" s="34" t="n">
        <x:f>SQRT(D272)</x:f>
        <x:v>0.9938414862363762</x:v>
      </x:c>
      <x:c r="F272" s="34" t="n">
        <x:f>-Assumptions!$B$7*E272</x:f>
        <x:v>1.6347237732507458</x:v>
      </x:c>
      <x:c r="G272" s="34" t="n">
        <x:f>-Assumptions!$B$8*E272</x:f>
        <x:v>2.312021028639583</x:v>
      </x:c>
      <x:c r="H272" s="34" t="n">
        <x:f>-Assumptions!$B$9*E272</x:f>
        <x:v>1.5512372197677475</x:v>
      </x:c>
      <x:c r="I272" s="34" t="n">
        <x:f>-Assumptions!$B$10*E272</x:f>
        <x:v>2.59041162647637</x:v>
      </x:c>
      <x:c r="J272" s="36" t="n">
        <x:f>IF(C272&lt;-F272,1,0)</x:f>
        <x:v>0</x:v>
      </x:c>
      <x:c r="K272" s="36" t="n">
        <x:f>IF(C272&lt;-G272,1,0)</x:f>
        <x:v>0</x:v>
      </x:c>
      <x:c r="L272" s="36" t="n">
        <x:f>IF(C272&lt;-H272,1,0)</x:f>
        <x:v>0</x:v>
      </x:c>
      <x:c r="M272" s="36" t="n">
        <x:f>IF(C272&lt;-I272,1,0)</x:f>
        <x:v>0</x:v>
      </x:c>
      <x:c r="N272" s="34" t="n">
        <x:f>-F272</x:f>
        <x:v>-1.6347237732507458</x:v>
      </x:c>
      <x:c r="O272" s="34" t="n">
        <x:f>-H272</x:f>
        <x:v>-1.5512372197677475</x:v>
      </x:c>
      <x:c r="P272" s="34" t="n">
        <x:f>-G272</x:f>
        <x:v>-2.312021028639583</x:v>
      </x:c>
      <x:c r="Q272" s="34" t="n">
        <x:f>-I272</x:f>
        <x:v>-2.59041162647637</x:v>
      </x:c>
      <x:c r="R272" s="36" t="n">
        <x:f>YEAR(A272)</x:f>
        <x:v>2022</x:v>
      </x:c>
    </x:row>
    <x:row r="273">
      <x:c r="A273" s="30" t="n">
        <x:v>44582</x:v>
      </x:c>
      <x:c r="B273" s="38" t="n">
        <x:v>4397.94</x:v>
      </x:c>
      <x:c r="C273" s="34" t="n">
        <x:f>(B273/B272-1)*100</x:f>
        <x:v>-1.8914813071498782</x:v>
      </x:c>
      <x:c r="D273" s="34" t="n">
        <x:f>Assumptions!$B$4*D272+(1-Assumptions!$B$4)*C272^2</x:f>
        <x:v>1.0015525004144474</x:v>
      </x:c>
      <x:c r="E273" s="34" t="n">
        <x:f>SQRT(D273)</x:f>
        <x:v>1.0007759491586752</x:v>
      </x:c>
      <x:c r="F273" s="34" t="n">
        <x:f>-Assumptions!$B$7*E273</x:f>
        <x:v>1.6461299497394497</x:v>
      </x:c>
      <x:c r="G273" s="34" t="n">
        <x:f>-Assumptions!$B$8*E273</x:f>
        <x:v>2.328153001716488</x:v>
      </x:c>
      <x:c r="H273" s="34" t="n">
        <x:f>-Assumptions!$B$9*E273</x:f>
        <x:v>1.5620608743778057</x:v>
      </x:c>
      <x:c r="I273" s="34" t="n">
        <x:f>-Assumptions!$B$10*E273</x:f>
        <x:v>2.608486051448623</x:v>
      </x:c>
      <x:c r="J273" s="36" t="n">
        <x:f>IF(C273&lt;-F273,1,0)</x:f>
        <x:v>1</x:v>
      </x:c>
      <x:c r="K273" s="36" t="n">
        <x:f>IF(C273&lt;-G273,1,0)</x:f>
        <x:v>0</x:v>
      </x:c>
      <x:c r="L273" s="36" t="n">
        <x:f>IF(C273&lt;-H273,1,0)</x:f>
        <x:v>1</x:v>
      </x:c>
      <x:c r="M273" s="36" t="n">
        <x:f>IF(C273&lt;-I273,1,0)</x:f>
        <x:v>0</x:v>
      </x:c>
      <x:c r="N273" s="34" t="n">
        <x:f>-F273</x:f>
        <x:v>-1.6461299497394497</x:v>
      </x:c>
      <x:c r="O273" s="34" t="n">
        <x:f>-H273</x:f>
        <x:v>-1.5620608743778057</x:v>
      </x:c>
      <x:c r="P273" s="34" t="n">
        <x:f>-G273</x:f>
        <x:v>-2.328153001716488</x:v>
      </x:c>
      <x:c r="Q273" s="34" t="n">
        <x:f>-I273</x:f>
        <x:v>-2.608486051448623</x:v>
      </x:c>
      <x:c r="R273" s="36" t="n">
        <x:f>YEAR(A273)</x:f>
        <x:v>2022</x:v>
      </x:c>
    </x:row>
    <x:row r="274">
      <x:c r="A274" s="30" t="n">
        <x:v>44585</x:v>
      </x:c>
      <x:c r="B274" s="38" t="n">
        <x:v>4410.13</x:v>
      </x:c>
      <x:c r="C274" s="34" t="n">
        <x:f>(B274/B273-1)*100</x:f>
        <x:v>0.27717522294530283</x:v>
      </x:c>
      <x:c r="D274" s="34" t="n">
        <x:f>Assumptions!$B$4*D273+(1-Assumptions!$B$4)*C273^2</x:f>
        <x:v>1.1561214425074253</x:v>
      </x:c>
      <x:c r="E274" s="34" t="n">
        <x:f>SQRT(D274)</x:f>
        <x:v>1.0752308786988147</x:v>
      </x:c>
      <x:c r="F274" s="34" t="n">
        <x:f>-Assumptions!$B$7*E274</x:f>
        <x:v>1.7685974106379645</x:v>
      </x:c>
      <x:c r="G274" s="34" t="n">
        <x:f>-Assumptions!$B$8*E274</x:f>
        <x:v>2.5013610687640524</x:v>
      </x:c>
      <x:c r="H274" s="34" t="n">
        <x:f>-Assumptions!$B$9*E274</x:f>
        <x:v>1.6782738313708083</x:v>
      </x:c>
      <x:c r="I274" s="34" t="n">
        <x:f>-Assumptions!$B$10*E274</x:f>
        <x:v>2.8025501127705557</x:v>
      </x:c>
      <x:c r="J274" s="36" t="n">
        <x:f>IF(C274&lt;-F274,1,0)</x:f>
        <x:v>0</x:v>
      </x:c>
      <x:c r="K274" s="36" t="n">
        <x:f>IF(C274&lt;-G274,1,0)</x:f>
        <x:v>0</x:v>
      </x:c>
      <x:c r="L274" s="36" t="n">
        <x:f>IF(C274&lt;-H274,1,0)</x:f>
        <x:v>0</x:v>
      </x:c>
      <x:c r="M274" s="36" t="n">
        <x:f>IF(C274&lt;-I274,1,0)</x:f>
        <x:v>0</x:v>
      </x:c>
      <x:c r="N274" s="34" t="n">
        <x:f>-F274</x:f>
        <x:v>-1.7685974106379645</x:v>
      </x:c>
      <x:c r="O274" s="34" t="n">
        <x:f>-H274</x:f>
        <x:v>-1.6782738313708083</x:v>
      </x:c>
      <x:c r="P274" s="34" t="n">
        <x:f>-G274</x:f>
        <x:v>-2.5013610687640524</x:v>
      </x:c>
      <x:c r="Q274" s="34" t="n">
        <x:f>-I274</x:f>
        <x:v>-2.8025501127705557</x:v>
      </x:c>
      <x:c r="R274" s="36" t="n">
        <x:f>YEAR(A274)</x:f>
        <x:v>2022</x:v>
      </x:c>
    </x:row>
    <x:row r="275">
      <x:c r="A275" s="30" t="n">
        <x:v>44586</x:v>
      </x:c>
      <x:c r="B275" s="38" t="n">
        <x:v>4356.45</x:v>
      </x:c>
      <x:c r="C275" s="34" t="n">
        <x:f>(B275/B274-1)*100</x:f>
        <x:v>-1.2171976789799865</x:v>
      </x:c>
      <x:c r="D275" s="34" t="n">
        <x:f>Assumptions!$B$4*D274+(1-Assumptions!$B$4)*C274^2</x:f>
        <x:v>1.0913637222098664</x:v>
      </x:c>
      <x:c r="E275" s="34" t="n">
        <x:f>SQRT(D275)</x:f>
        <x:v>1.0446835512296853</x:v>
      </x:c>
      <x:c r="F275" s="34" t="n">
        <x:f>-Assumptions!$B$7*E275</x:f>
        <x:v>1.7183515282566926</x:v>
      </x:c>
      <x:c r="G275" s="34" t="n">
        <x:f>-Assumptions!$B$8*E275</x:f>
        <x:v>2.4302973584486134</x:v>
      </x:c>
      <x:c r="H275" s="34" t="n">
        <x:f>-Assumptions!$B$9*E275</x:f>
        <x:v>1.630594043405832</x:v>
      </x:c>
      <x:c r="I275" s="34" t="n">
        <x:f>-Assumptions!$B$10*E275</x:f>
        <x:v>2.722929616615303</x:v>
      </x:c>
      <x:c r="J275" s="36" t="n">
        <x:f>IF(C275&lt;-F275,1,0)</x:f>
        <x:v>0</x:v>
      </x:c>
      <x:c r="K275" s="36" t="n">
        <x:f>IF(C275&lt;-G275,1,0)</x:f>
        <x:v>0</x:v>
      </x:c>
      <x:c r="L275" s="36" t="n">
        <x:f>IF(C275&lt;-H275,1,0)</x:f>
        <x:v>0</x:v>
      </x:c>
      <x:c r="M275" s="36" t="n">
        <x:f>IF(C275&lt;-I275,1,0)</x:f>
        <x:v>0</x:v>
      </x:c>
      <x:c r="N275" s="34" t="n">
        <x:f>-F275</x:f>
        <x:v>-1.7183515282566926</x:v>
      </x:c>
      <x:c r="O275" s="34" t="n">
        <x:f>-H275</x:f>
        <x:v>-1.630594043405832</x:v>
      </x:c>
      <x:c r="P275" s="34" t="n">
        <x:f>-G275</x:f>
        <x:v>-2.4302973584486134</x:v>
      </x:c>
      <x:c r="Q275" s="34" t="n">
        <x:f>-I275</x:f>
        <x:v>-2.722929616615303</x:v>
      </x:c>
      <x:c r="R275" s="36" t="n">
        <x:f>YEAR(A275)</x:f>
        <x:v>2022</x:v>
      </x:c>
    </x:row>
    <x:row r="276">
      <x:c r="A276" s="30" t="n">
        <x:v>44587</x:v>
      </x:c>
      <x:c r="B276" s="38" t="n">
        <x:v>4349.93</x:v>
      </x:c>
      <x:c r="C276" s="34" t="n">
        <x:f>(B276/B275-1)*100</x:f>
        <x:v>-0.14966314315554285</x:v>
      </x:c>
      <x:c r="D276" s="34" t="n">
        <x:f>Assumptions!$B$4*D275+(1-Assumptions!$B$4)*C275^2</x:f>
        <x:v>1.1147761102601306</x:v>
      </x:c>
      <x:c r="E276" s="34" t="n">
        <x:f>SQRT(D276)</x:f>
        <x:v>1.0558295839102685</x:v>
      </x:c>
      <x:c r="F276" s="34" t="n">
        <x:f>-Assumptions!$B$7*E276</x:f>
        <x:v>1.7366851205374696</x:v>
      </x:c>
      <x:c r="G276" s="34" t="n">
        <x:f>-Assumptions!$B$8*E276</x:f>
        <x:v>2.456226907879078</x:v>
      </x:c>
      <x:c r="H276" s="34" t="n">
        <x:f>-Assumptions!$B$9*E276</x:f>
        <x:v>1.647991325554261</x:v>
      </x:c>
      <x:c r="I276" s="34" t="n">
        <x:f>-Assumptions!$B$10*E276</x:f>
        <x:v>2.751981344727608</x:v>
      </x:c>
      <x:c r="J276" s="36" t="n">
        <x:f>IF(C276&lt;-F276,1,0)</x:f>
        <x:v>0</x:v>
      </x:c>
      <x:c r="K276" s="36" t="n">
        <x:f>IF(C276&lt;-G276,1,0)</x:f>
        <x:v>0</x:v>
      </x:c>
      <x:c r="L276" s="36" t="n">
        <x:f>IF(C276&lt;-H276,1,0)</x:f>
        <x:v>0</x:v>
      </x:c>
      <x:c r="M276" s="36" t="n">
        <x:f>IF(C276&lt;-I276,1,0)</x:f>
        <x:v>0</x:v>
      </x:c>
      <x:c r="N276" s="34" t="n">
        <x:f>-F276</x:f>
        <x:v>-1.7366851205374696</x:v>
      </x:c>
      <x:c r="O276" s="34" t="n">
        <x:f>-H276</x:f>
        <x:v>-1.647991325554261</x:v>
      </x:c>
      <x:c r="P276" s="34" t="n">
        <x:f>-G276</x:f>
        <x:v>-2.456226907879078</x:v>
      </x:c>
      <x:c r="Q276" s="34" t="n">
        <x:f>-I276</x:f>
        <x:v>-2.751981344727608</x:v>
      </x:c>
      <x:c r="R276" s="36" t="n">
        <x:f>YEAR(A276)</x:f>
        <x:v>2022</x:v>
      </x:c>
    </x:row>
    <x:row r="277">
      <x:c r="A277" s="30" t="n">
        <x:v>44588</x:v>
      </x:c>
      <x:c r="B277" s="38" t="n">
        <x:v>4326.51</x:v>
      </x:c>
      <x:c r="C277" s="34" t="n">
        <x:f>(B277/B276-1)*100</x:f>
        <x:v>-0.5383994684971971</x:v>
      </x:c>
      <x:c r="D277" s="34" t="n">
        <x:f>Assumptions!$B$4*D276+(1-Assumptions!$B$4)*C276^2</x:f>
        <x:v>1.0492334870296744</x:v>
      </x:c>
      <x:c r="E277" s="34" t="n">
        <x:f>SQRT(D277)</x:f>
        <x:v>1.024320988279394</x:v>
      </x:c>
      <x:c r="F277" s="34" t="n">
        <x:f>-Assumptions!$B$7*E277</x:f>
        <x:v>1.6848580927338783</x:v>
      </x:c>
      <x:c r="G277" s="34" t="n">
        <x:f>-Assumptions!$B$8*E277</x:f>
        <x:v>2.382926953419181</x:v>
      </x:c>
      <x:c r="H277" s="34" t="n">
        <x:f>-Assumptions!$B$9*E277</x:f>
        <x:v>1.5988111424343958</x:v>
      </x:c>
      <x:c r="I277" s="34" t="n">
        <x:f>-Assumptions!$B$10*E277</x:f>
        <x:v>2.669855338129462</x:v>
      </x:c>
      <x:c r="J277" s="36" t="n">
        <x:f>IF(C277&lt;-F277,1,0)</x:f>
        <x:v>0</x:v>
      </x:c>
      <x:c r="K277" s="36" t="n">
        <x:f>IF(C277&lt;-G277,1,0)</x:f>
        <x:v>0</x:v>
      </x:c>
      <x:c r="L277" s="36" t="n">
        <x:f>IF(C277&lt;-H277,1,0)</x:f>
        <x:v>0</x:v>
      </x:c>
      <x:c r="M277" s="36" t="n">
        <x:f>IF(C277&lt;-I277,1,0)</x:f>
        <x:v>0</x:v>
      </x:c>
      <x:c r="N277" s="34" t="n">
        <x:f>-F277</x:f>
        <x:v>-1.6848580927338783</x:v>
      </x:c>
      <x:c r="O277" s="34" t="n">
        <x:f>-H277</x:f>
        <x:v>-1.5988111424343958</x:v>
      </x:c>
      <x:c r="P277" s="34" t="n">
        <x:f>-G277</x:f>
        <x:v>-2.382926953419181</x:v>
      </x:c>
      <x:c r="Q277" s="34" t="n">
        <x:f>-I277</x:f>
        <x:v>-2.669855338129462</x:v>
      </x:c>
      <x:c r="R277" s="36" t="n">
        <x:f>YEAR(A277)</x:f>
        <x:v>2022</x:v>
      </x:c>
    </x:row>
    <x:row r="278">
      <x:c r="A278" s="30" t="n">
        <x:v>44589</x:v>
      </x:c>
      <x:c r="B278" s="38" t="n">
        <x:v>4431.85</x:v>
      </x:c>
      <x:c r="C278" s="34" t="n">
        <x:f>(B278/B277-1)*100</x:f>
        <x:v>2.4347568825681787</x:v>
      </x:c>
      <x:c r="D278" s="34" t="n">
        <x:f>Assumptions!$B$4*D277+(1-Assumptions!$B$4)*C277^2</x:f>
        <x:v>1.0036719170685777</x:v>
      </x:c>
      <x:c r="E278" s="34" t="n">
        <x:f>SQRT(D278)</x:f>
        <x:v>1.0018342762496089</x:v>
      </x:c>
      <x:c r="F278" s="34" t="n">
        <x:f>-Assumptions!$B$7*E278</x:f>
        <x:v>1.647870742893473</x:v>
      </x:c>
      <x:c r="G278" s="34" t="n">
        <x:f>-Assumptions!$B$8*E278</x:f>
        <x:v>2.3306150386945217</x:v>
      </x:c>
      <x:c r="H278" s="34" t="n">
        <x:f>-Assumptions!$B$9*E278</x:f>
        <x:v>1.563712763936534</x:v>
      </x:c>
      <x:c r="I278" s="34" t="n">
        <x:f>-Assumptions!$B$10*E278</x:f>
        <x:v>2.611244542454419</x:v>
      </x:c>
      <x:c r="J278" s="36" t="n">
        <x:f>IF(C278&lt;-F278,1,0)</x:f>
        <x:v>0</x:v>
      </x:c>
      <x:c r="K278" s="36" t="n">
        <x:f>IF(C278&lt;-G278,1,0)</x:f>
        <x:v>0</x:v>
      </x:c>
      <x:c r="L278" s="36" t="n">
        <x:f>IF(C278&lt;-H278,1,0)</x:f>
        <x:v>0</x:v>
      </x:c>
      <x:c r="M278" s="36" t="n">
        <x:f>IF(C278&lt;-I278,1,0)</x:f>
        <x:v>0</x:v>
      </x:c>
      <x:c r="N278" s="34" t="n">
        <x:f>-F278</x:f>
        <x:v>-1.647870742893473</x:v>
      </x:c>
      <x:c r="O278" s="34" t="n">
        <x:f>-H278</x:f>
        <x:v>-1.563712763936534</x:v>
      </x:c>
      <x:c r="P278" s="34" t="n">
        <x:f>-G278</x:f>
        <x:v>-2.3306150386945217</x:v>
      </x:c>
      <x:c r="Q278" s="34" t="n">
        <x:f>-I278</x:f>
        <x:v>-2.611244542454419</x:v>
      </x:c>
      <x:c r="R278" s="36" t="n">
        <x:f>YEAR(A278)</x:f>
        <x:v>2022</x:v>
      </x:c>
    </x:row>
    <x:row r="279">
      <x:c r="A279" s="30" t="n">
        <x:v>44592</x:v>
      </x:c>
      <x:c r="B279" s="38" t="n">
        <x:v>4515.55</x:v>
      </x:c>
      <x:c r="C279" s="34" t="n">
        <x:f>(B279/B278-1)*100</x:f>
        <x:v>1.8886018254227865</x:v>
      </x:c>
      <x:c r="D279" s="34" t="n">
        <x:f>Assumptions!$B$4*D278+(1-Assumptions!$B$4)*C278^2</x:f>
        <x:v>1.2991340666772504</x:v>
      </x:c>
      <x:c r="E279" s="34" t="n">
        <x:f>SQRT(D279)</x:f>
        <x:v>1.1397956249596901</x:v>
      </x:c>
      <x:c r="F279" s="34" t="n">
        <x:f>-Assumptions!$B$7*E279</x:f>
        <x:v>1.874796967698367</x:v>
      </x:c>
      <x:c r="G279" s="34" t="n">
        <x:f>-Assumptions!$B$8*E279</x:f>
        <x:v>2.651561128966026</x:v>
      </x:c>
      <x:c r="H279" s="34" t="n">
        <x:f>-Assumptions!$B$9*E279</x:f>
        <x:v>1.779049698419801</x:v>
      </x:c>
      <x:c r="I279" s="34" t="n">
        <x:f>-Assumptions!$B$10*E279</x:f>
        <x:v>2.9708357716919114</x:v>
      </x:c>
      <x:c r="J279" s="36" t="n">
        <x:f>IF(C279&lt;-F279,1,0)</x:f>
        <x:v>0</x:v>
      </x:c>
      <x:c r="K279" s="36" t="n">
        <x:f>IF(C279&lt;-G279,1,0)</x:f>
        <x:v>0</x:v>
      </x:c>
      <x:c r="L279" s="36" t="n">
        <x:f>IF(C279&lt;-H279,1,0)</x:f>
        <x:v>0</x:v>
      </x:c>
      <x:c r="M279" s="36" t="n">
        <x:f>IF(C279&lt;-I279,1,0)</x:f>
        <x:v>0</x:v>
      </x:c>
      <x:c r="N279" s="34" t="n">
        <x:f>-F279</x:f>
        <x:v>-1.874796967698367</x:v>
      </x:c>
      <x:c r="O279" s="34" t="n">
        <x:f>-H279</x:f>
        <x:v>-1.779049698419801</x:v>
      </x:c>
      <x:c r="P279" s="34" t="n">
        <x:f>-G279</x:f>
        <x:v>-2.651561128966026</x:v>
      </x:c>
      <x:c r="Q279" s="34" t="n">
        <x:f>-I279</x:f>
        <x:v>-2.9708357716919114</x:v>
      </x:c>
      <x:c r="R279" s="36" t="n">
        <x:f>YEAR(A279)</x:f>
        <x:v>2022</x:v>
      </x:c>
    </x:row>
    <x:row r="280">
      <x:c r="A280" s="30" t="n">
        <x:v>44593</x:v>
      </x:c>
      <x:c r="B280" s="38" t="n">
        <x:v>4546.54</x:v>
      </x:c>
      <x:c r="C280" s="34" t="n">
        <x:f>(B280/B279-1)*100</x:f>
        <x:v>0.6862951356977565</x:v>
      </x:c>
      <x:c r="D280" s="34" t="n">
        <x:f>Assumptions!$B$4*D279+(1-Assumptions!$B$4)*C279^2</x:f>
        <x:v>1.4351950339760324</x:v>
      </x:c>
      <x:c r="E280" s="34" t="n">
        <x:f>SQRT(D280)</x:f>
        <x:v>1.1979962579140355</x:v>
      </x:c>
      <x:c r="F280" s="34" t="n">
        <x:f>-Assumptions!$B$7*E280</x:f>
        <x:v>1.9705284899041935</x:v>
      </x:c>
      <x:c r="G280" s="34" t="n">
        <x:f>-Assumptions!$B$8*E280</x:f>
        <x:v>2.7869560477071986</x:v>
      </x:c>
      <x:c r="H280" s="34" t="n">
        <x:f>-Assumptions!$B$9*E280</x:f>
        <x:v>1.8698921409049891</x:v>
      </x:c>
      <x:c r="I280" s="34" t="n">
        <x:f>-Assumptions!$B$10*E280</x:f>
        <x:v>3.122533601135673</x:v>
      </x:c>
      <x:c r="J280" s="36" t="n">
        <x:f>IF(C280&lt;-F280,1,0)</x:f>
        <x:v>0</x:v>
      </x:c>
      <x:c r="K280" s="36" t="n">
        <x:f>IF(C280&lt;-G280,1,0)</x:f>
        <x:v>0</x:v>
      </x:c>
      <x:c r="L280" s="36" t="n">
        <x:f>IF(C280&lt;-H280,1,0)</x:f>
        <x:v>0</x:v>
      </x:c>
      <x:c r="M280" s="36" t="n">
        <x:f>IF(C280&lt;-I280,1,0)</x:f>
        <x:v>0</x:v>
      </x:c>
      <x:c r="N280" s="34" t="n">
        <x:f>-F280</x:f>
        <x:v>-1.9705284899041935</x:v>
      </x:c>
      <x:c r="O280" s="34" t="n">
        <x:f>-H280</x:f>
        <x:v>-1.8698921409049891</x:v>
      </x:c>
      <x:c r="P280" s="34" t="n">
        <x:f>-G280</x:f>
        <x:v>-2.7869560477071986</x:v>
      </x:c>
      <x:c r="Q280" s="34" t="n">
        <x:f>-I280</x:f>
        <x:v>-3.122533601135673</x:v>
      </x:c>
      <x:c r="R280" s="36" t="n">
        <x:f>YEAR(A280)</x:f>
        <x:v>2022</x:v>
      </x:c>
    </x:row>
    <x:row r="281">
      <x:c r="A281" s="30" t="n">
        <x:v>44594</x:v>
      </x:c>
      <x:c r="B281" s="38" t="n">
        <x:v>4589.38</x:v>
      </x:c>
      <x:c r="C281" s="34" t="n">
        <x:f>(B281/B280-1)*100</x:f>
        <x:v>0.9422549895085064</x:v>
      </x:c>
      <x:c r="D281" s="34" t="n">
        <x:f>Assumptions!$B$4*D280+(1-Assumptions!$B$4)*C280^2</x:f>
        <x:v>1.3773433927344145</x:v>
      </x:c>
      <x:c r="E281" s="34" t="n">
        <x:f>SQRT(D281)</x:f>
        <x:v>1.1736027405959883</x:v>
      </x:c>
      <x:c r="F281" s="34" t="n">
        <x:f>-Assumptions!$B$7*E281</x:f>
        <x:v>1.9304047244695</x:v>
      </x:c>
      <x:c r="G281" s="34" t="n">
        <x:f>-Assumptions!$B$8*E281</x:f>
        <x:v>2.7302082405539814</x:v>
      </x:c>
      <x:c r="H281" s="34" t="n">
        <x:f>-Assumptions!$B$9*E281</x:f>
        <x:v>1.8318175258795062</x:v>
      </x:c>
      <x:c r="I281" s="34" t="n">
        <x:f>-Assumptions!$B$10*E281</x:f>
        <x:v>3.0589527869450555</x:v>
      </x:c>
      <x:c r="J281" s="36" t="n">
        <x:f>IF(C281&lt;-F281,1,0)</x:f>
        <x:v>0</x:v>
      </x:c>
      <x:c r="K281" s="36" t="n">
        <x:f>IF(C281&lt;-G281,1,0)</x:f>
        <x:v>0</x:v>
      </x:c>
      <x:c r="L281" s="36" t="n">
        <x:f>IF(C281&lt;-H281,1,0)</x:f>
        <x:v>0</x:v>
      </x:c>
      <x:c r="M281" s="36" t="n">
        <x:f>IF(C281&lt;-I281,1,0)</x:f>
        <x:v>0</x:v>
      </x:c>
      <x:c r="N281" s="34" t="n">
        <x:f>-F281</x:f>
        <x:v>-1.9304047244695</x:v>
      </x:c>
      <x:c r="O281" s="34" t="n">
        <x:f>-H281</x:f>
        <x:v>-1.8318175258795062</x:v>
      </x:c>
      <x:c r="P281" s="34" t="n">
        <x:f>-G281</x:f>
        <x:v>-2.7302082405539814</x:v>
      </x:c>
      <x:c r="Q281" s="34" t="n">
        <x:f>-I281</x:f>
        <x:v>-3.0589527869450555</x:v>
      </x:c>
      <x:c r="R281" s="36" t="n">
        <x:f>YEAR(A281)</x:f>
        <x:v>2022</x:v>
      </x:c>
    </x:row>
    <x:row r="282">
      <x:c r="A282" s="30" t="n">
        <x:v>44595</x:v>
      </x:c>
      <x:c r="B282" s="38" t="n">
        <x:v>4477.44</x:v>
      </x:c>
      <x:c r="C282" s="34" t="n">
        <x:f>(B282/B281-1)*100</x:f>
        <x:v>-2.4391094221877574</x:v>
      </x:c>
      <x:c r="D282" s="34" t="n">
        <x:f>Assumptions!$B$4*D281+(1-Assumptions!$B$4)*C281^2</x:f>
        <x:v>1.3479734570855701</x:v>
      </x:c>
      <x:c r="E282" s="34" t="n">
        <x:f>SQRT(D282)</x:f>
        <x:v>1.1610225911176622</x:v>
      </x:c>
      <x:c r="F282" s="34" t="n">
        <x:f>-Assumptions!$B$7*E282</x:f>
        <x:v>1.9097122199724834</x:v>
      </x:c>
      <x:c r="G282" s="34" t="n">
        <x:f>-Assumptions!$B$8*E282</x:f>
        <x:v>2.700942436559961</x:v>
      </x:c>
      <x:c r="H282" s="34" t="n">
        <x:f>-Assumptions!$B$9*E282</x:f>
        <x:v>1.8121818029083079</x:v>
      </x:c>
      <x:c r="I282" s="34" t="n">
        <x:f>-Assumptions!$B$10*E282</x:f>
        <x:v>3.0261630856468384</x:v>
      </x:c>
      <x:c r="J282" s="36" t="n">
        <x:f>IF(C282&lt;-F282,1,0)</x:f>
        <x:v>1</x:v>
      </x:c>
      <x:c r="K282" s="36" t="n">
        <x:f>IF(C282&lt;-G282,1,0)</x:f>
        <x:v>0</x:v>
      </x:c>
      <x:c r="L282" s="36" t="n">
        <x:f>IF(C282&lt;-H282,1,0)</x:f>
        <x:v>1</x:v>
      </x:c>
      <x:c r="M282" s="36" t="n">
        <x:f>IF(C282&lt;-I282,1,0)</x:f>
        <x:v>0</x:v>
      </x:c>
      <x:c r="N282" s="34" t="n">
        <x:f>-F282</x:f>
        <x:v>-1.9097122199724834</x:v>
      </x:c>
      <x:c r="O282" s="34" t="n">
        <x:f>-H282</x:f>
        <x:v>-1.8121818029083079</x:v>
      </x:c>
      <x:c r="P282" s="34" t="n">
        <x:f>-G282</x:f>
        <x:v>-2.700942436559961</x:v>
      </x:c>
      <x:c r="Q282" s="34" t="n">
        <x:f>-I282</x:f>
        <x:v>-3.0261630856468384</x:v>
      </x:c>
      <x:c r="R282" s="36" t="n">
        <x:f>YEAR(A282)</x:f>
        <x:v>2022</x:v>
      </x:c>
    </x:row>
    <x:row r="283">
      <x:c r="A283" s="30" t="n">
        <x:v>44596</x:v>
      </x:c>
      <x:c r="B283" s="38" t="n">
        <x:v>4500.53</x:v>
      </x:c>
      <x:c r="C283" s="34" t="n">
        <x:f>(B283/B282-1)*100</x:f>
        <x:v>0.5156964694110977</x:v>
      </x:c>
      <x:c r="D283" s="34" t="n">
        <x:f>Assumptions!$B$4*D282+(1-Assumptions!$B$4)*C282^2</x:f>
        <x:v>1.6240503360647418</x:v>
      </x:c>
      <x:c r="E283" s="34" t="n">
        <x:f>SQRT(D283)</x:f>
        <x:v>1.274382335119544</x:v>
      </x:c>
      <x:c r="F283" s="34" t="n">
        <x:f>-Assumptions!$B$7*E283</x:f>
        <x:v>2.0961724060442695</x:v>
      </x:c>
      <x:c r="G283" s="34" t="n">
        <x:f>-Assumptions!$B$8*E283</x:f>
        <x:v>2.964656636020553</x:v>
      </x:c>
      <x:c r="H283" s="34" t="n">
        <x:f>-Assumptions!$B$9*E283</x:f>
        <x:v>1.9891193292184532</x:v>
      </x:c>
      <x:c r="I283" s="34" t="n">
        <x:f>-Assumptions!$B$10*E283</x:f>
        <x:v>3.321631128492273</x:v>
      </x:c>
      <x:c r="J283" s="36" t="n">
        <x:f>IF(C283&lt;-F283,1,0)</x:f>
        <x:v>0</x:v>
      </x:c>
      <x:c r="K283" s="36" t="n">
        <x:f>IF(C283&lt;-G283,1,0)</x:f>
        <x:v>0</x:v>
      </x:c>
      <x:c r="L283" s="36" t="n">
        <x:f>IF(C283&lt;-H283,1,0)</x:f>
        <x:v>0</x:v>
      </x:c>
      <x:c r="M283" s="36" t="n">
        <x:f>IF(C283&lt;-I283,1,0)</x:f>
        <x:v>0</x:v>
      </x:c>
      <x:c r="N283" s="34" t="n">
        <x:f>-F283</x:f>
        <x:v>-2.0961724060442695</x:v>
      </x:c>
      <x:c r="O283" s="34" t="n">
        <x:f>-H283</x:f>
        <x:v>-1.9891193292184532</x:v>
      </x:c>
      <x:c r="P283" s="34" t="n">
        <x:f>-G283</x:f>
        <x:v>-2.964656636020553</x:v>
      </x:c>
      <x:c r="Q283" s="34" t="n">
        <x:f>-I283</x:f>
        <x:v>-3.321631128492273</x:v>
      </x:c>
      <x:c r="R283" s="36" t="n">
        <x:f>YEAR(A283)</x:f>
        <x:v>2022</x:v>
      </x:c>
    </x:row>
    <x:row r="284">
      <x:c r="A284" s="30" t="n">
        <x:v>44599</x:v>
      </x:c>
      <x:c r="B284" s="38" t="n">
        <x:v>4483.87</x:v>
      </x:c>
      <x:c r="C284" s="34" t="n">
        <x:f>(B284/B283-1)*100</x:f>
        <x:v>-0.3701786234065696</x:v>
      </x:c>
      <x:c r="D284" s="34" t="n">
        <x:f>Assumptions!$B$4*D283+(1-Assumptions!$B$4)*C283^2</x:f>
        <x:v>1.5425638868146416</x:v>
      </x:c>
      <x:c r="E284" s="34" t="n">
        <x:f>SQRT(D284)</x:f>
        <x:v>1.2419999544342348</x:v>
      </x:c>
      <x:c r="F284" s="34" t="n">
        <x:f>-Assumptions!$B$7*E284</x:f>
        <x:v>2.042908129724715</x:v>
      </x:c>
      <x:c r="G284" s="34" t="n">
        <x:f>-Assumptions!$B$8*E284</x:f>
        <x:v>2.889323953556903</x:v>
      </x:c>
      <x:c r="H284" s="34" t="n">
        <x:f>-Assumptions!$B$9*E284</x:f>
        <x:v>1.9385752989285037</x:v>
      </x:c>
      <x:c r="I284" s="34" t="n">
        <x:f>-Assumptions!$B$10*E284</x:f>
        <x:v>3.237227632983274</x:v>
      </x:c>
      <x:c r="J284" s="36" t="n">
        <x:f>IF(C284&lt;-F284,1,0)</x:f>
        <x:v>0</x:v>
      </x:c>
      <x:c r="K284" s="36" t="n">
        <x:f>IF(C284&lt;-G284,1,0)</x:f>
        <x:v>0</x:v>
      </x:c>
      <x:c r="L284" s="36" t="n">
        <x:f>IF(C284&lt;-H284,1,0)</x:f>
        <x:v>0</x:v>
      </x:c>
      <x:c r="M284" s="36" t="n">
        <x:f>IF(C284&lt;-I284,1,0)</x:f>
        <x:v>0</x:v>
      </x:c>
      <x:c r="N284" s="34" t="n">
        <x:f>-F284</x:f>
        <x:v>-2.042908129724715</x:v>
      </x:c>
      <x:c r="O284" s="34" t="n">
        <x:f>-H284</x:f>
        <x:v>-1.9385752989285037</x:v>
      </x:c>
      <x:c r="P284" s="34" t="n">
        <x:f>-G284</x:f>
        <x:v>-2.889323953556903</x:v>
      </x:c>
      <x:c r="Q284" s="34" t="n">
        <x:f>-I284</x:f>
        <x:v>-3.237227632983274</x:v>
      </x:c>
      <x:c r="R284" s="36" t="n">
        <x:f>YEAR(A284)</x:f>
        <x:v>2022</x:v>
      </x:c>
    </x:row>
    <x:row r="285">
      <x:c r="A285" s="30" t="n">
        <x:v>44600</x:v>
      </x:c>
      <x:c r="B285" s="38" t="n">
        <x:v>4521.54</x:v>
      </x:c>
      <x:c r="C285" s="34" t="n">
        <x:f>(B285/B284-1)*100</x:f>
        <x:v>0.8401224834796661</x:v>
      </x:c>
      <x:c r="D285" s="34" t="n">
        <x:f>Assumptions!$B$4*D284+(1-Assumptions!$B$4)*C284^2</x:f>
        <x:v>1.458231986399394</x:v>
      </x:c>
      <x:c r="E285" s="34" t="n">
        <x:f>SQRT(D285)</x:f>
        <x:v>1.2075727665028695</x:v>
      </x:c>
      <x:c r="F285" s="34" t="n">
        <x:f>-Assumptions!$B$7*E285</x:f>
        <x:v>1.9862804447900688</x:v>
      </x:c>
      <x:c r="G285" s="34" t="n">
        <x:f>-Assumptions!$B$8*E285</x:f>
        <x:v>2.8092343381035665</x:v>
      </x:c>
      <x:c r="H285" s="34" t="n">
        <x:f>-Assumptions!$B$9*E285</x:f>
        <x:v>1.8848396317917717</x:v>
      </x:c>
      <x:c r="I285" s="34" t="n">
        <x:f>-Assumptions!$B$10*E285</x:f>
        <x:v>3.147494421883365</x:v>
      </x:c>
      <x:c r="J285" s="36" t="n">
        <x:f>IF(C285&lt;-F285,1,0)</x:f>
        <x:v>0</x:v>
      </x:c>
      <x:c r="K285" s="36" t="n">
        <x:f>IF(C285&lt;-G285,1,0)</x:f>
        <x:v>0</x:v>
      </x:c>
      <x:c r="L285" s="36" t="n">
        <x:f>IF(C285&lt;-H285,1,0)</x:f>
        <x:v>0</x:v>
      </x:c>
      <x:c r="M285" s="36" t="n">
        <x:f>IF(C285&lt;-I285,1,0)</x:f>
        <x:v>0</x:v>
      </x:c>
      <x:c r="N285" s="34" t="n">
        <x:f>-F285</x:f>
        <x:v>-1.9862804447900688</x:v>
      </x:c>
      <x:c r="O285" s="34" t="n">
        <x:f>-H285</x:f>
        <x:v>-1.8848396317917717</x:v>
      </x:c>
      <x:c r="P285" s="34" t="n">
        <x:f>-G285</x:f>
        <x:v>-2.8092343381035665</x:v>
      </x:c>
      <x:c r="Q285" s="34" t="n">
        <x:f>-I285</x:f>
        <x:v>-3.147494421883365</x:v>
      </x:c>
      <x:c r="R285" s="36" t="n">
        <x:f>YEAR(A285)</x:f>
        <x:v>2022</x:v>
      </x:c>
    </x:row>
    <x:row r="286">
      <x:c r="A286" s="30" t="n">
        <x:v>44601</x:v>
      </x:c>
      <x:c r="B286" s="38" t="n">
        <x:v>4587.18</x:v>
      </x:c>
      <x:c r="C286" s="34" t="n">
        <x:f>(B286/B285-1)*100</x:f>
        <x:v>1.4517177775713597</x:v>
      </x:c>
      <x:c r="D286" s="34" t="n">
        <x:f>Assumptions!$B$4*D285+(1-Assumptions!$B$4)*C285^2</x:f>
        <x:v>1.4130864144503128</x:v>
      </x:c>
      <x:c r="E286" s="34" t="n">
        <x:f>SQRT(D286)</x:f>
        <x:v>1.1887331132135224</x:v>
      </x:c>
      <x:c r="F286" s="34" t="n">
        <x:f>-Assumptions!$B$7*E286</x:f>
        <x:v>1.955291972746578</x:v>
      </x:c>
      <x:c r="G286" s="34" t="n">
        <x:f>-Assumptions!$B$8*E286</x:f>
        <x:v>2.7654067507262274</x:v>
      </x:c>
      <x:c r="H286" s="34" t="n">
        <x:f>-Assumptions!$B$9*E286</x:f>
        <x:v>1.8554337639600436</x:v>
      </x:c>
      <x:c r="I286" s="34" t="n">
        <x:f>-Assumptions!$B$10*E286</x:f>
        <x:v>3.0983895519464895</x:v>
      </x:c>
      <x:c r="J286" s="36" t="n">
        <x:f>IF(C286&lt;-F286,1,0)</x:f>
        <x:v>0</x:v>
      </x:c>
      <x:c r="K286" s="36" t="n">
        <x:f>IF(C286&lt;-G286,1,0)</x:f>
        <x:v>0</x:v>
      </x:c>
      <x:c r="L286" s="36" t="n">
        <x:f>IF(C286&lt;-H286,1,0)</x:f>
        <x:v>0</x:v>
      </x:c>
      <x:c r="M286" s="36" t="n">
        <x:f>IF(C286&lt;-I286,1,0)</x:f>
        <x:v>0</x:v>
      </x:c>
      <x:c r="N286" s="34" t="n">
        <x:f>-F286</x:f>
        <x:v>-1.955291972746578</x:v>
      </x:c>
      <x:c r="O286" s="34" t="n">
        <x:f>-H286</x:f>
        <x:v>-1.8554337639600436</x:v>
      </x:c>
      <x:c r="P286" s="34" t="n">
        <x:f>-G286</x:f>
        <x:v>-2.7654067507262274</x:v>
      </x:c>
      <x:c r="Q286" s="34" t="n">
        <x:f>-I286</x:f>
        <x:v>-3.0983895519464895</x:v>
      </x:c>
      <x:c r="R286" s="36" t="n">
        <x:f>YEAR(A286)</x:f>
        <x:v>2022</x:v>
      </x:c>
    </x:row>
    <x:row r="287">
      <x:c r="A287" s="30" t="n">
        <x:v>44602</x:v>
      </x:c>
      <x:c r="B287" s="38" t="n">
        <x:v>4504.08</x:v>
      </x:c>
      <x:c r="C287" s="34" t="n">
        <x:f>(B287/B286-1)*100</x:f>
        <x:v>-1.8115705073705524</x:v>
      </x:c>
      <x:c r="D287" s="34" t="n">
        <x:f>Assumptions!$B$4*D286+(1-Assumptions!$B$4)*C286^2</x:f>
        <x:v>1.4547502999262976</x:v>
      </x:c>
      <x:c r="E287" s="34" t="n">
        <x:f>SQRT(D287)</x:f>
        <x:v>1.2061302997298002</x:v>
      </x:c>
      <x:c r="F287" s="34" t="n">
        <x:f>-Assumptions!$B$7*E287</x:f>
        <x:v>1.983907798086629</x:v>
      </x:c>
      <x:c r="G287" s="34" t="n">
        <x:f>-Assumptions!$B$8*E287</x:f>
        <x:v>2.8058786585926625</x:v>
      </x:c>
      <x:c r="H287" s="34" t="n">
        <x:f>-Assumptions!$B$9*E287</x:f>
        <x:v>1.882588157912233</x:v>
      </x:c>
      <x:c r="I287" s="34" t="n">
        <x:f>-Assumptions!$B$10*E287</x:f>
        <x:v>3.1437346847909695</x:v>
      </x:c>
      <x:c r="J287" s="36" t="n">
        <x:f>IF(C287&lt;-F287,1,0)</x:f>
        <x:v>0</x:v>
      </x:c>
      <x:c r="K287" s="36" t="n">
        <x:f>IF(C287&lt;-G287,1,0)</x:f>
        <x:v>0</x:v>
      </x:c>
      <x:c r="L287" s="36" t="n">
        <x:f>IF(C287&lt;-H287,1,0)</x:f>
        <x:v>0</x:v>
      </x:c>
      <x:c r="M287" s="36" t="n">
        <x:f>IF(C287&lt;-I287,1,0)</x:f>
        <x:v>0</x:v>
      </x:c>
      <x:c r="N287" s="34" t="n">
        <x:f>-F287</x:f>
        <x:v>-1.983907798086629</x:v>
      </x:c>
      <x:c r="O287" s="34" t="n">
        <x:f>-H287</x:f>
        <x:v>-1.882588157912233</x:v>
      </x:c>
      <x:c r="P287" s="34" t="n">
        <x:f>-G287</x:f>
        <x:v>-2.8058786585926625</x:v>
      </x:c>
      <x:c r="Q287" s="34" t="n">
        <x:f>-I287</x:f>
        <x:v>-3.1437346847909695</x:v>
      </x:c>
      <x:c r="R287" s="36" t="n">
        <x:f>YEAR(A287)</x:f>
        <x:v>2022</x:v>
      </x:c>
    </x:row>
    <x:row r="288">
      <x:c r="A288" s="30" t="n">
        <x:v>44603</x:v>
      </x:c>
      <x:c r="B288" s="38" t="n">
        <x:v>4418.64</x:v>
      </x:c>
      <x:c r="C288" s="34" t="n">
        <x:f>(B288/B287-1)*100</x:f>
        <x:v>-1.89694676826343</x:v>
      </x:c>
      <x:c r="D288" s="34" t="n">
        <x:f>Assumptions!$B$4*D287+(1-Assumptions!$B$4)*C287^2</x:f>
        <x:v>1.5643725441212077</x:v>
      </x:c>
      <x:c r="E288" s="34" t="n">
        <x:f>SQRT(D288)</x:f>
        <x:v>1.2507487933718775</x:v>
      </x:c>
      <x:c r="F288" s="34" t="n">
        <x:f>-Assumptions!$B$7*E288</x:f>
        <x:v>2.057298689182911</x:v>
      </x:c>
      <x:c r="G288" s="34" t="n">
        <x:f>-Assumptions!$B$8*E288</x:f>
        <x:v>2.9096767964198134</x:v>
      </x:c>
      <x:c r="H288" s="34" t="n">
        <x:f>-Assumptions!$B$9*E288</x:f>
        <x:v>1.9522309218601035</x:v>
      </x:c>
      <x:c r="I288" s="34" t="n">
        <x:f>-Assumptions!$B$10*E288</x:f>
        <x:v>3.260031162938602</x:v>
      </x:c>
      <x:c r="J288" s="36" t="n">
        <x:f>IF(C288&lt;-F288,1,0)</x:f>
        <x:v>0</x:v>
      </x:c>
      <x:c r="K288" s="36" t="n">
        <x:f>IF(C288&lt;-G288,1,0)</x:f>
        <x:v>0</x:v>
      </x:c>
      <x:c r="L288" s="36" t="n">
        <x:f>IF(C288&lt;-H288,1,0)</x:f>
        <x:v>0</x:v>
      </x:c>
      <x:c r="M288" s="36" t="n">
        <x:f>IF(C288&lt;-I288,1,0)</x:f>
        <x:v>0</x:v>
      </x:c>
      <x:c r="N288" s="34" t="n">
        <x:f>-F288</x:f>
        <x:v>-2.057298689182911</x:v>
      </x:c>
      <x:c r="O288" s="34" t="n">
        <x:f>-H288</x:f>
        <x:v>-1.9522309218601035</x:v>
      </x:c>
      <x:c r="P288" s="34" t="n">
        <x:f>-G288</x:f>
        <x:v>-2.9096767964198134</x:v>
      </x:c>
      <x:c r="Q288" s="34" t="n">
        <x:f>-I288</x:f>
        <x:v>-3.260031162938602</x:v>
      </x:c>
      <x:c r="R288" s="36" t="n">
        <x:f>YEAR(A288)</x:f>
        <x:v>2022</x:v>
      </x:c>
    </x:row>
    <x:row r="289">
      <x:c r="A289" s="30" t="n">
        <x:v>44606</x:v>
      </x:c>
      <x:c r="B289" s="38" t="n">
        <x:v>4401.67</x:v>
      </x:c>
      <x:c r="C289" s="34" t="n">
        <x:f>(B289/B288-1)*100</x:f>
        <x:v>-0.38405482229827426</x:v>
      </x:c>
      <x:c r="D289" s="34" t="n">
        <x:f>Assumptions!$B$4*D288+(1-Assumptions!$B$4)*C288^2</x:f>
        <x:v>1.6864146139714395</x:v>
      </x:c>
      <x:c r="E289" s="34" t="n">
        <x:f>SQRT(D289)</x:f>
        <x:v>1.298620273202078</x:v>
      </x:c>
      <x:c r="F289" s="34" t="n">
        <x:f>-Assumptions!$B$7*E289</x:f>
        <x:v>2.1360402664091507</x:v>
      </x:c>
      <x:c r="G289" s="34" t="n">
        <x:f>-Assumptions!$B$8*E289</x:f>
        <x:v>3.0210425117499895</x:v>
      </x:c>
      <x:c r="H289" s="34" t="n">
        <x:f>-Assumptions!$B$9*E289</x:f>
        <x:v>2.0269511084355165</x:v>
      </x:c>
      <x:c r="I289" s="34" t="n">
        <x:f>-Assumptions!$B$10*E289</x:f>
        <x:v>3.384806431073551</x:v>
      </x:c>
      <x:c r="J289" s="36" t="n">
        <x:f>IF(C289&lt;-F289,1,0)</x:f>
        <x:v>0</x:v>
      </x:c>
      <x:c r="K289" s="36" t="n">
        <x:f>IF(C289&lt;-G289,1,0)</x:f>
        <x:v>0</x:v>
      </x:c>
      <x:c r="L289" s="36" t="n">
        <x:f>IF(C289&lt;-H289,1,0)</x:f>
        <x:v>0</x:v>
      </x:c>
      <x:c r="M289" s="36" t="n">
        <x:f>IF(C289&lt;-I289,1,0)</x:f>
        <x:v>0</x:v>
      </x:c>
      <x:c r="N289" s="34" t="n">
        <x:f>-F289</x:f>
        <x:v>-2.1360402664091507</x:v>
      </x:c>
      <x:c r="O289" s="34" t="n">
        <x:f>-H289</x:f>
        <x:v>-2.0269511084355165</x:v>
      </x:c>
      <x:c r="P289" s="34" t="n">
        <x:f>-G289</x:f>
        <x:v>-3.0210425117499895</x:v>
      </x:c>
      <x:c r="Q289" s="34" t="n">
        <x:f>-I289</x:f>
        <x:v>-3.384806431073551</x:v>
      </x:c>
      <x:c r="R289" s="36" t="n">
        <x:f>YEAR(A289)</x:f>
        <x:v>2022</x:v>
      </x:c>
    </x:row>
    <x:row r="290">
      <x:c r="A290" s="30" t="n">
        <x:v>44607</x:v>
      </x:c>
      <x:c r="B290" s="38" t="n">
        <x:v>4471.07</x:v>
      </x:c>
      <x:c r="C290" s="34" t="n">
        <x:f>(B290/B289-1)*100</x:f>
        <x:v>1.5766743077059386</x:v>
      </x:c>
      <x:c r="D290" s="34" t="n">
        <x:f>Assumptions!$B$4*D289+(1-Assumptions!$B$4)*C289^2</x:f>
        <x:v>1.5940796235249868</x:v>
      </x:c>
      <x:c r="E290" s="34" t="n">
        <x:f>SQRT(D290)</x:f>
        <x:v>1.262568660915115</x:v>
      </x:c>
      <x:c r="F290" s="34" t="n">
        <x:f>-Assumptions!$B$7*E290</x:f>
        <x:v>2.076740641181491</x:v>
      </x:c>
      <x:c r="G290" s="34" t="n">
        <x:f>-Assumptions!$B$8*E290</x:f>
        <x:v>2.9371739201504683</x:v>
      </x:c>
      <x:c r="H290" s="34" t="n">
        <x:f>-Assumptions!$B$9*E290</x:f>
        <x:v>1.9706799589748953</x:v>
      </x:c>
      <x:c r="I290" s="34" t="n">
        <x:f>-Assumptions!$B$10*E290</x:f>
        <x:v>3.2908392170714222</x:v>
      </x:c>
      <x:c r="J290" s="36" t="n">
        <x:f>IF(C290&lt;-F290,1,0)</x:f>
        <x:v>0</x:v>
      </x:c>
      <x:c r="K290" s="36" t="n">
        <x:f>IF(C290&lt;-G290,1,0)</x:f>
        <x:v>0</x:v>
      </x:c>
      <x:c r="L290" s="36" t="n">
        <x:f>IF(C290&lt;-H290,1,0)</x:f>
        <x:v>0</x:v>
      </x:c>
      <x:c r="M290" s="36" t="n">
        <x:f>IF(C290&lt;-I290,1,0)</x:f>
        <x:v>0</x:v>
      </x:c>
      <x:c r="N290" s="34" t="n">
        <x:f>-F290</x:f>
        <x:v>-2.076740641181491</x:v>
      </x:c>
      <x:c r="O290" s="34" t="n">
        <x:f>-H290</x:f>
        <x:v>-1.9706799589748953</x:v>
      </x:c>
      <x:c r="P290" s="34" t="n">
        <x:f>-G290</x:f>
        <x:v>-2.9371739201504683</x:v>
      </x:c>
      <x:c r="Q290" s="34" t="n">
        <x:f>-I290</x:f>
        <x:v>-3.2908392170714222</x:v>
      </x:c>
      <x:c r="R290" s="36" t="n">
        <x:f>YEAR(A290)</x:f>
        <x:v>2022</x:v>
      </x:c>
    </x:row>
    <x:row r="291">
      <x:c r="A291" s="30" t="n">
        <x:v>44608</x:v>
      </x:c>
      <x:c r="B291" s="38" t="n">
        <x:v>4475.01</x:v>
      </x:c>
      <x:c r="C291" s="34" t="n">
        <x:f>(B291/B290-1)*100</x:f>
        <x:v>0.08812208263346832</x:v>
      </x:c>
      <x:c r="D291" s="34" t="n">
        <x:f>Assumptions!$B$4*D290+(1-Assumptions!$B$4)*C290^2</x:f>
        <x:v>1.6475889584682877</x:v>
      </x:c>
      <x:c r="E291" s="34" t="n">
        <x:f>SQRT(D291)</x:f>
        <x:v>1.2835844181308402</x:v>
      </x:c>
      <x:c r="F291" s="34" t="n">
        <x:f>-Assumptions!$B$7*E291</x:f>
        <x:v>2.1113084856609086</x:v>
      </x:c>
      <x:c r="G291" s="34" t="n">
        <x:f>-Assumptions!$B$8*E291</x:f>
        <x:v>2.986063882270629</x:v>
      </x:c>
      <x:c r="H291" s="34" t="n">
        <x:f>-Assumptions!$B$9*E291</x:f>
        <x:v>2.003482398042006</x:v>
      </x:c>
      <x:c r="I291" s="34" t="n">
        <x:f>-Assumptions!$B$10*E291</x:f>
        <x:v>3.3456160226130973</x:v>
      </x:c>
      <x:c r="J291" s="36" t="n">
        <x:f>IF(C291&lt;-F291,1,0)</x:f>
        <x:v>0</x:v>
      </x:c>
      <x:c r="K291" s="36" t="n">
        <x:f>IF(C291&lt;-G291,1,0)</x:f>
        <x:v>0</x:v>
      </x:c>
      <x:c r="L291" s="36" t="n">
        <x:f>IF(C291&lt;-H291,1,0)</x:f>
        <x:v>0</x:v>
      </x:c>
      <x:c r="M291" s="36" t="n">
        <x:f>IF(C291&lt;-I291,1,0)</x:f>
        <x:v>0</x:v>
      </x:c>
      <x:c r="N291" s="34" t="n">
        <x:f>-F291</x:f>
        <x:v>-2.1113084856609086</x:v>
      </x:c>
      <x:c r="O291" s="34" t="n">
        <x:f>-H291</x:f>
        <x:v>-2.003482398042006</x:v>
      </x:c>
      <x:c r="P291" s="34" t="n">
        <x:f>-G291</x:f>
        <x:v>-2.986063882270629</x:v>
      </x:c>
      <x:c r="Q291" s="34" t="n">
        <x:f>-I291</x:f>
        <x:v>-3.3456160226130973</x:v>
      </x:c>
      <x:c r="R291" s="36" t="n">
        <x:f>YEAR(A291)</x:f>
        <x:v>2022</x:v>
      </x:c>
    </x:row>
    <x:row r="292">
      <x:c r="A292" s="30" t="n">
        <x:v>44609</x:v>
      </x:c>
      <x:c r="B292" s="38" t="n">
        <x:v>4380.26</x:v>
      </x:c>
      <x:c r="C292" s="34" t="n">
        <x:f>(B292/B291-1)*100</x:f>
        <x:v>-2.1173137043269175</x:v>
      </x:c>
      <x:c r="D292" s="34" t="n">
        <x:f>Assumptions!$B$4*D291+(1-Assumptions!$B$4)*C291^2</x:f>
        <x:v>1.54919955104705</x:v>
      </x:c>
      <x:c r="E292" s="34" t="n">
        <x:f>SQRT(D292)</x:f>
        <x:v>1.244668450249724</x:v>
      </x:c>
      <x:c r="F292" s="34" t="n">
        <x:f>-Assumptions!$B$7*E292</x:f>
        <x:v>2.0472974147453273</x:v>
      </x:c>
      <x:c r="G292" s="34" t="n">
        <x:f>-Assumptions!$B$8*E292</x:f>
        <x:v>2.895531803124153</x:v>
      </x:c>
      <x:c r="H292" s="34" t="n">
        <x:f>-Assumptions!$B$9*E292</x:f>
        <x:v>1.9427404199131966</x:v>
      </x:c>
      <x:c r="I292" s="34" t="n">
        <x:f>-Assumptions!$B$10*E292</x:f>
        <x:v>3.2441829701083362</x:v>
      </x:c>
      <x:c r="J292" s="36" t="n">
        <x:f>IF(C292&lt;-F292,1,0)</x:f>
        <x:v>1</x:v>
      </x:c>
      <x:c r="K292" s="36" t="n">
        <x:f>IF(C292&lt;-G292,1,0)</x:f>
        <x:v>0</x:v>
      </x:c>
      <x:c r="L292" s="36" t="n">
        <x:f>IF(C292&lt;-H292,1,0)</x:f>
        <x:v>1</x:v>
      </x:c>
      <x:c r="M292" s="36" t="n">
        <x:f>IF(C292&lt;-I292,1,0)</x:f>
        <x:v>0</x:v>
      </x:c>
      <x:c r="N292" s="34" t="n">
        <x:f>-F292</x:f>
        <x:v>-2.0472974147453273</x:v>
      </x:c>
      <x:c r="O292" s="34" t="n">
        <x:f>-H292</x:f>
        <x:v>-1.9427404199131966</x:v>
      </x:c>
      <x:c r="P292" s="34" t="n">
        <x:f>-G292</x:f>
        <x:v>-2.895531803124153</x:v>
      </x:c>
      <x:c r="Q292" s="34" t="n">
        <x:f>-I292</x:f>
        <x:v>-3.2441829701083362</x:v>
      </x:c>
      <x:c r="R292" s="36" t="n">
        <x:f>YEAR(A292)</x:f>
        <x:v>2022</x:v>
      </x:c>
    </x:row>
    <x:row r="293">
      <x:c r="A293" s="30" t="n">
        <x:v>44610</x:v>
      </x:c>
      <x:c r="B293" s="38" t="n">
        <x:v>4348.87</x:v>
      </x:c>
      <x:c r="C293" s="34" t="n">
        <x:f>(B293/B292-1)*100</x:f>
        <x:v>-0.7166241273349194</x:v>
      </x:c>
      <x:c r="D293" s="34" t="n">
        <x:f>Assumptions!$B$4*D292+(1-Assumptions!$B$4)*C292^2</x:f>
        <x:v>1.7252286173360616</x:v>
      </x:c>
      <x:c r="E293" s="34" t="n">
        <x:f>SQRT(D293)</x:f>
        <x:v>1.3134795839053082</x:v>
      </x:c>
      <x:c r="F293" s="34" t="n">
        <x:f>-Assumptions!$B$7*E293</x:f>
        <x:v>2.1604816575133574</x:v>
      </x:c>
      <x:c r="G293" s="34" t="n">
        <x:f>-Assumptions!$B$8*E293</x:f>
        <x:v>3.055610437614161</x:v>
      </x:c>
      <x:c r="H293" s="34" t="n">
        <x:f>-Assumptions!$B$9*E293</x:f>
        <x:v>2.0501442595991235</x:v>
      </x:c>
      <x:c r="I293" s="34" t="n">
        <x:f>-Assumptions!$B$10*E293</x:f>
        <x:v>3.423536683070616</x:v>
      </x:c>
      <x:c r="J293" s="36" t="n">
        <x:f>IF(C293&lt;-F293,1,0)</x:f>
        <x:v>0</x:v>
      </x:c>
      <x:c r="K293" s="36" t="n">
        <x:f>IF(C293&lt;-G293,1,0)</x:f>
        <x:v>0</x:v>
      </x:c>
      <x:c r="L293" s="36" t="n">
        <x:f>IF(C293&lt;-H293,1,0)</x:f>
        <x:v>0</x:v>
      </x:c>
      <x:c r="M293" s="36" t="n">
        <x:f>IF(C293&lt;-I293,1,0)</x:f>
        <x:v>0</x:v>
      </x:c>
      <x:c r="N293" s="34" t="n">
        <x:f>-F293</x:f>
        <x:v>-2.1604816575133574</x:v>
      </x:c>
      <x:c r="O293" s="34" t="n">
        <x:f>-H293</x:f>
        <x:v>-2.0501442595991235</x:v>
      </x:c>
      <x:c r="P293" s="34" t="n">
        <x:f>-G293</x:f>
        <x:v>-3.055610437614161</x:v>
      </x:c>
      <x:c r="Q293" s="34" t="n">
        <x:f>-I293</x:f>
        <x:v>-3.423536683070616</x:v>
      </x:c>
      <x:c r="R293" s="36" t="n">
        <x:f>YEAR(A293)</x:f>
        <x:v>2022</x:v>
      </x:c>
    </x:row>
    <x:row r="294">
      <x:c r="A294" s="30" t="n">
        <x:v>44614</x:v>
      </x:c>
      <x:c r="B294" s="38" t="n">
        <x:v>4304.76</x:v>
      </x:c>
      <x:c r="C294" s="34" t="n">
        <x:f>(B294/B293-1)*100</x:f>
        <x:v>-1.0142864698185927</x:v>
      </x:c>
      <x:c r="D294" s="34" t="n">
        <x:f>Assumptions!$B$4*D293+(1-Assumptions!$B$4)*C293^2</x:f>
        <x:v>1.6525279086886098</x:v>
      </x:c>
      <x:c r="E294" s="34" t="n">
        <x:f>SQRT(D294)</x:f>
        <x:v>1.2855068683941793</x:v>
      </x:c>
      <x:c r="F294" s="34" t="n">
        <x:f>-Assumptions!$B$7*E294</x:f>
        <x:v>2.1144706349491953</x:v>
      </x:c>
      <x:c r="G294" s="34" t="n">
        <x:f>-Assumptions!$B$8*E294</x:f>
        <x:v>2.9905361703536975</x:v>
      </x:c>
      <x:c r="H294" s="34" t="n">
        <x:f>-Assumptions!$B$9*E294</x:f>
        <x:v>2.00648305402482</x:v>
      </x:c>
      <x:c r="I294" s="34" t="n">
        <x:f>-Assumptions!$B$10*E294</x:f>
        <x:v>3.350626819186236</x:v>
      </x:c>
      <x:c r="J294" s="36" t="n">
        <x:f>IF(C294&lt;-F294,1,0)</x:f>
        <x:v>0</x:v>
      </x:c>
      <x:c r="K294" s="36" t="n">
        <x:f>IF(C294&lt;-G294,1,0)</x:f>
        <x:v>0</x:v>
      </x:c>
      <x:c r="L294" s="36" t="n">
        <x:f>IF(C294&lt;-H294,1,0)</x:f>
        <x:v>0</x:v>
      </x:c>
      <x:c r="M294" s="36" t="n">
        <x:f>IF(C294&lt;-I294,1,0)</x:f>
        <x:v>0</x:v>
      </x:c>
      <x:c r="N294" s="34" t="n">
        <x:f>-F294</x:f>
        <x:v>-2.1144706349491953</x:v>
      </x:c>
      <x:c r="O294" s="34" t="n">
        <x:f>-H294</x:f>
        <x:v>-2.00648305402482</x:v>
      </x:c>
      <x:c r="P294" s="34" t="n">
        <x:f>-G294</x:f>
        <x:v>-2.9905361703536975</x:v>
      </x:c>
      <x:c r="Q294" s="34" t="n">
        <x:f>-I294</x:f>
        <x:v>-3.350626819186236</x:v>
      </x:c>
      <x:c r="R294" s="36" t="n">
        <x:f>YEAR(A294)</x:f>
        <x:v>2022</x:v>
      </x:c>
    </x:row>
    <x:row r="295">
      <x:c r="A295" s="30" t="n">
        <x:v>44615</x:v>
      </x:c>
      <x:c r="B295" s="38" t="n">
        <x:v>4225.5</x:v>
      </x:c>
      <x:c r="C295" s="34" t="n">
        <x:f>(B295/B294-1)*100</x:f>
        <x:v>-1.8412176288573612</x:v>
      </x:c>
      <x:c r="D295" s="34" t="n">
        <x:f>Assumptions!$B$4*D294+(1-Assumptions!$B$4)*C294^2</x:f>
        <x:v>1.6151028567387171</x:v>
      </x:c>
      <x:c r="E295" s="34" t="n">
        <x:f>SQRT(D295)</x:f>
        <x:v>1.270866970512145</x:v>
      </x:c>
      <x:c r="F295" s="34" t="n">
        <x:f>-Assumptions!$B$7*E295</x:f>
        <x:v>2.090390145819732</x:v>
      </x:c>
      <x:c r="G295" s="34" t="n">
        <x:f>-Assumptions!$B$8*E295</x:f>
        <x:v>2.9564786750396514</x:v>
      </x:c>
      <x:c r="H295" s="34" t="n">
        <x:f>-Assumptions!$B$9*E295</x:f>
        <x:v>1.9836323733048875</x:v>
      </x:c>
      <x:c r="I295" s="34" t="n">
        <x:f>-Assumptions!$B$10*E295</x:f>
        <x:v>3.312468458714022</x:v>
      </x:c>
      <x:c r="J295" s="36" t="n">
        <x:f>IF(C295&lt;-F295,1,0)</x:f>
        <x:v>0</x:v>
      </x:c>
      <x:c r="K295" s="36" t="n">
        <x:f>IF(C295&lt;-G295,1,0)</x:f>
        <x:v>0</x:v>
      </x:c>
      <x:c r="L295" s="36" t="n">
        <x:f>IF(C295&lt;-H295,1,0)</x:f>
        <x:v>0</x:v>
      </x:c>
      <x:c r="M295" s="36" t="n">
        <x:f>IF(C295&lt;-I295,1,0)</x:f>
        <x:v>0</x:v>
      </x:c>
      <x:c r="N295" s="34" t="n">
        <x:f>-F295</x:f>
        <x:v>-2.090390145819732</x:v>
      </x:c>
      <x:c r="O295" s="34" t="n">
        <x:f>-H295</x:f>
        <x:v>-1.9836323733048875</x:v>
      </x:c>
      <x:c r="P295" s="34" t="n">
        <x:f>-G295</x:f>
        <x:v>-2.9564786750396514</x:v>
      </x:c>
      <x:c r="Q295" s="34" t="n">
        <x:f>-I295</x:f>
        <x:v>-3.312468458714022</x:v>
      </x:c>
      <x:c r="R295" s="36" t="n">
        <x:f>YEAR(A295)</x:f>
        <x:v>2022</x:v>
      </x:c>
    </x:row>
    <x:row r="296">
      <x:c r="A296" s="30" t="n">
        <x:v>44616</x:v>
      </x:c>
      <x:c r="B296" s="38" t="n">
        <x:v>4288.7</x:v>
      </x:c>
      <x:c r="C296" s="34" t="n">
        <x:f>(B296/B295-1)*100</x:f>
        <x:v>1.4956809844988816</x:v>
      </x:c>
      <x:c r="D296" s="34" t="n">
        <x:f>Assumptions!$B$4*D295+(1-Assumptions!$B$4)*C295^2</x:f>
        <x:v>1.7216016267433016</x:v>
      </x:c>
      <x:c r="E296" s="34" t="n">
        <x:f>SQRT(D296)</x:f>
        <x:v>1.3120981772502016</x:v>
      </x:c>
      <x:c r="F296" s="34" t="n">
        <x:f>-Assumptions!$B$7*E296</x:f>
        <x:v>2.1582094457664107</x:v>
      </x:c>
      <x:c r="G296" s="34" t="n">
        <x:f>-Assumptions!$B$8*E296</x:f>
        <x:v>3.0523968051788684</x:v>
      </x:c>
      <x:c r="H296" s="34" t="n">
        <x:f>-Assumptions!$B$9*E296</x:f>
        <x:v>2.0479880913884854</x:v>
      </x:c>
      <x:c r="I296" s="34" t="n">
        <x:f>-Assumptions!$B$10*E296</x:f>
        <x:v>3.419936096951162</x:v>
      </x:c>
      <x:c r="J296" s="36" t="n">
        <x:f>IF(C296&lt;-F296,1,0)</x:f>
        <x:v>0</x:v>
      </x:c>
      <x:c r="K296" s="36" t="n">
        <x:f>IF(C296&lt;-G296,1,0)</x:f>
        <x:v>0</x:v>
      </x:c>
      <x:c r="L296" s="36" t="n">
        <x:f>IF(C296&lt;-H296,1,0)</x:f>
        <x:v>0</x:v>
      </x:c>
      <x:c r="M296" s="36" t="n">
        <x:f>IF(C296&lt;-I296,1,0)</x:f>
        <x:v>0</x:v>
      </x:c>
      <x:c r="N296" s="34" t="n">
        <x:f>-F296</x:f>
        <x:v>-2.1582094457664107</x:v>
      </x:c>
      <x:c r="O296" s="34" t="n">
        <x:f>-H296</x:f>
        <x:v>-2.0479880913884854</x:v>
      </x:c>
      <x:c r="P296" s="34" t="n">
        <x:f>-G296</x:f>
        <x:v>-3.0523968051788684</x:v>
      </x:c>
      <x:c r="Q296" s="34" t="n">
        <x:f>-I296</x:f>
        <x:v>-3.419936096951162</x:v>
      </x:c>
      <x:c r="R296" s="36" t="n">
        <x:f>YEAR(A296)</x:f>
        <x:v>2022</x:v>
      </x:c>
    </x:row>
    <x:row r="297">
      <x:c r="A297" s="30" t="n">
        <x:v>44617</x:v>
      </x:c>
      <x:c r="B297" s="38" t="n">
        <x:v>4384.65</x:v>
      </x:c>
      <x:c r="C297" s="34" t="n">
        <x:f>(B297/B296-1)*100</x:f>
        <x:v>2.2372746986266234</x:v>
      </x:c>
      <x:c r="D297" s="34" t="n">
        <x:f>Assumptions!$B$4*D296+(1-Assumptions!$B$4)*C296^2</x:f>
        <x:v>1.752529225582196</x:v>
      </x:c>
      <x:c r="E297" s="34" t="n">
        <x:f>SQRT(D297)</x:f>
        <x:v>1.323831267791404</x:v>
      </x:c>
      <x:c r="F297" s="34" t="n">
        <x:f>-Assumptions!$B$7*E297</x:f>
        <x:v>2.1775086622984574</x:v>
      </x:c>
      <x:c r="G297" s="34" t="n">
        <x:f>-Assumptions!$B$8*E297</x:f>
        <x:v>3.0796920554153226</x:v>
      </x:c>
      <x:c r="H297" s="34" t="n">
        <x:f>-Assumptions!$B$9*E297</x:f>
        <x:v>2.066301682642704</x:v>
      </x:c>
      <x:c r="I297" s="34" t="n">
        <x:f>-Assumptions!$B$10*E297</x:f>
        <x:v>3.450517969989617</x:v>
      </x:c>
      <x:c r="J297" s="36" t="n">
        <x:f>IF(C297&lt;-F297,1,0)</x:f>
        <x:v>0</x:v>
      </x:c>
      <x:c r="K297" s="36" t="n">
        <x:f>IF(C297&lt;-G297,1,0)</x:f>
        <x:v>0</x:v>
      </x:c>
      <x:c r="L297" s="36" t="n">
        <x:f>IF(C297&lt;-H297,1,0)</x:f>
        <x:v>0</x:v>
      </x:c>
      <x:c r="M297" s="36" t="n">
        <x:f>IF(C297&lt;-I297,1,0)</x:f>
        <x:v>0</x:v>
      </x:c>
      <x:c r="N297" s="34" t="n">
        <x:f>-F297</x:f>
        <x:v>-2.1775086622984574</x:v>
      </x:c>
      <x:c r="O297" s="34" t="n">
        <x:f>-H297</x:f>
        <x:v>-2.066301682642704</x:v>
      </x:c>
      <x:c r="P297" s="34" t="n">
        <x:f>-G297</x:f>
        <x:v>-3.0796920554153226</x:v>
      </x:c>
      <x:c r="Q297" s="34" t="n">
        <x:f>-I297</x:f>
        <x:v>-3.450517969989617</x:v>
      </x:c>
      <x:c r="R297" s="36" t="n">
        <x:f>YEAR(A297)</x:f>
        <x:v>2022</x:v>
      </x:c>
    </x:row>
    <x:row r="298">
      <x:c r="A298" s="30" t="n">
        <x:v>44620</x:v>
      </x:c>
      <x:c r="B298" s="38" t="n">
        <x:v>4373.94</x:v>
      </x:c>
      <x:c r="C298" s="34" t="n">
        <x:f>(B298/B297-1)*100</x:f>
        <x:v>-0.2442612295166069</x:v>
      </x:c>
      <x:c r="D298" s="34" t="n">
        <x:f>Assumptions!$B$4*D297+(1-Assumptions!$B$4)*C297^2</x:f>
        <x:v>1.9477013566741554</x:v>
      </x:c>
      <x:c r="E298" s="34" t="n">
        <x:f>SQRT(D298)</x:f>
        <x:v>1.39560071534596</x:v>
      </x:c>
      <x:c r="F298" s="34" t="n">
        <x:f>-Assumptions!$B$7*E298</x:f>
        <x:v>2.2955588984128723</x:v>
      </x:c>
      <x:c r="G298" s="34" t="n">
        <x:f>-Assumptions!$B$8*E298</x:f>
        <x:v>3.24665275715495</x:v>
      </x:c>
      <x:c r="H298" s="34" t="n">
        <x:f>-Assumptions!$B$9*E298</x:f>
        <x:v>2.1783230057919343</x:v>
      </x:c>
      <x:c r="I298" s="34" t="n">
        <x:f>-Assumptions!$B$10*E298</x:f>
        <x:v>3.637582420352973</x:v>
      </x:c>
      <x:c r="J298" s="36" t="n">
        <x:f>IF(C298&lt;-F298,1,0)</x:f>
        <x:v>0</x:v>
      </x:c>
      <x:c r="K298" s="36" t="n">
        <x:f>IF(C298&lt;-G298,1,0)</x:f>
        <x:v>0</x:v>
      </x:c>
      <x:c r="L298" s="36" t="n">
        <x:f>IF(C298&lt;-H298,1,0)</x:f>
        <x:v>0</x:v>
      </x:c>
      <x:c r="M298" s="36" t="n">
        <x:f>IF(C298&lt;-I298,1,0)</x:f>
        <x:v>0</x:v>
      </x:c>
      <x:c r="N298" s="34" t="n">
        <x:f>-F298</x:f>
        <x:v>-2.2955588984128723</x:v>
      </x:c>
      <x:c r="O298" s="34" t="n">
        <x:f>-H298</x:f>
        <x:v>-2.1783230057919343</x:v>
      </x:c>
      <x:c r="P298" s="34" t="n">
        <x:f>-G298</x:f>
        <x:v>-3.24665275715495</x:v>
      </x:c>
      <x:c r="Q298" s="34" t="n">
        <x:f>-I298</x:f>
        <x:v>-3.637582420352973</x:v>
      </x:c>
      <x:c r="R298" s="36" t="n">
        <x:f>YEAR(A298)</x:f>
        <x:v>2022</x:v>
      </x:c>
    </x:row>
    <x:row r="299">
      <x:c r="A299" s="30" t="n">
        <x:v>44621</x:v>
      </x:c>
      <x:c r="B299" s="38" t="n">
        <x:v>4306.26</x:v>
      </x:c>
      <x:c r="C299" s="34" t="n">
        <x:f>(B299/B298-1)*100</x:f>
        <x:v>-1.5473463284818578</x:v>
      </x:c>
      <x:c r="D299" s="34" t="n">
        <x:f>Assumptions!$B$4*D298+(1-Assumptions!$B$4)*C298^2</x:f>
        <x:v>1.8344190881684037</x:v>
      </x:c>
      <x:c r="E299" s="34" t="n">
        <x:f>SQRT(D299)</x:f>
        <x:v>1.3544072829722984</x:v>
      </x:c>
      <x:c r="F299" s="34" t="n">
        <x:f>-Assumptions!$B$7*E299</x:f>
        <x:v>2.227801731766475</x:v>
      </x:c>
      <x:c r="G299" s="34" t="n">
        <x:f>-Assumptions!$B$8*E299</x:f>
        <x:v>3.1508225033280373</x:v>
      </x:c>
      <x:c r="H299" s="34" t="n">
        <x:f>-Assumptions!$B$9*E299</x:f>
        <x:v>2.1140262478149676</x:v>
      </x:c>
      <x:c r="I299" s="34" t="n">
        <x:f>-Assumptions!$B$10*E299</x:f>
        <x:v>3.5302132396204415</x:v>
      </x:c>
      <x:c r="J299" s="36" t="n">
        <x:f>IF(C299&lt;-F299,1,0)</x:f>
        <x:v>0</x:v>
      </x:c>
      <x:c r="K299" s="36" t="n">
        <x:f>IF(C299&lt;-G299,1,0)</x:f>
        <x:v>0</x:v>
      </x:c>
      <x:c r="L299" s="36" t="n">
        <x:f>IF(C299&lt;-H299,1,0)</x:f>
        <x:v>0</x:v>
      </x:c>
      <x:c r="M299" s="36" t="n">
        <x:f>IF(C299&lt;-I299,1,0)</x:f>
        <x:v>0</x:v>
      </x:c>
      <x:c r="N299" s="34" t="n">
        <x:f>-F299</x:f>
        <x:v>-2.227801731766475</x:v>
      </x:c>
      <x:c r="O299" s="34" t="n">
        <x:f>-H299</x:f>
        <x:v>-2.1140262478149676</x:v>
      </x:c>
      <x:c r="P299" s="34" t="n">
        <x:f>-G299</x:f>
        <x:v>-3.1508225033280373</x:v>
      </x:c>
      <x:c r="Q299" s="34" t="n">
        <x:f>-I299</x:f>
        <x:v>-3.5302132396204415</x:v>
      </x:c>
      <x:c r="R299" s="36" t="n">
        <x:f>YEAR(A299)</x:f>
        <x:v>2022</x:v>
      </x:c>
    </x:row>
    <x:row r="300">
      <x:c r="A300" s="30" t="n">
        <x:v>44622</x:v>
      </x:c>
      <x:c r="B300" s="38" t="n">
        <x:v>4386.54</x:v>
      </x:c>
      <x:c r="C300" s="34" t="n">
        <x:f>(B300/B299-1)*100</x:f>
        <x:v>1.8642627244987553</x:v>
      </x:c>
      <x:c r="D300" s="34" t="n">
        <x:f>Assumptions!$B$4*D299+(1-Assumptions!$B$4)*C299^2</x:f>
        <x:v>1.8680107824942767</x:v>
      </x:c>
      <x:c r="E300" s="34" t="n">
        <x:f>SQRT(D300)</x:f>
        <x:v>1.3667519096362282</x:v>
      </x:c>
      <x:c r="F300" s="34" t="n">
        <x:f>-Assumptions!$B$7*E300</x:f>
        <x:v>2.2481068357080014</x:v>
      </x:c>
      <x:c r="G300" s="34" t="n">
        <x:f>-Assumptions!$B$8*E300</x:f>
        <x:v>3.179540399323498</x:v>
      </x:c>
      <x:c r="H300" s="34" t="n">
        <x:f>-Assumptions!$B$9*E300</x:f>
        <x:v>2.133294355063884</x:v>
      </x:c>
      <x:c r="I300" s="34" t="n">
        <x:f>-Assumptions!$B$10*E300</x:f>
        <x:v>3.5623890592834457</x:v>
      </x:c>
      <x:c r="J300" s="36" t="n">
        <x:f>IF(C300&lt;-F300,1,0)</x:f>
        <x:v>0</x:v>
      </x:c>
      <x:c r="K300" s="36" t="n">
        <x:f>IF(C300&lt;-G300,1,0)</x:f>
        <x:v>0</x:v>
      </x:c>
      <x:c r="L300" s="36" t="n">
        <x:f>IF(C300&lt;-H300,1,0)</x:f>
        <x:v>0</x:v>
      </x:c>
      <x:c r="M300" s="36" t="n">
        <x:f>IF(C300&lt;-I300,1,0)</x:f>
        <x:v>0</x:v>
      </x:c>
      <x:c r="N300" s="34" t="n">
        <x:f>-F300</x:f>
        <x:v>-2.2481068357080014</x:v>
      </x:c>
      <x:c r="O300" s="34" t="n">
        <x:f>-H300</x:f>
        <x:v>-2.133294355063884</x:v>
      </x:c>
      <x:c r="P300" s="34" t="n">
        <x:f>-G300</x:f>
        <x:v>-3.179540399323498</x:v>
      </x:c>
      <x:c r="Q300" s="34" t="n">
        <x:f>-I300</x:f>
        <x:v>-3.5623890592834457</x:v>
      </x:c>
      <x:c r="R300" s="36" t="n">
        <x:f>YEAR(A300)</x:f>
        <x:v>2022</x:v>
      </x:c>
    </x:row>
    <x:row r="301">
      <x:c r="A301" s="30" t="n">
        <x:v>44623</x:v>
      </x:c>
      <x:c r="B301" s="38" t="n">
        <x:v>4363.49</x:v>
      </x:c>
      <x:c r="C301" s="34" t="n">
        <x:f>(B301/B300-1)*100</x:f>
        <x:v>-0.5254711002293466</x:v>
      </x:c>
      <x:c r="D301" s="34" t="n">
        <x:f>Assumptions!$B$4*D300+(1-Assumptions!$B$4)*C300^2</x:f>
        <x:v>1.9644586659019514</x:v>
      </x:c>
      <x:c r="E301" s="34" t="n">
        <x:f>SQRT(D301)</x:f>
        <x:v>1.4015914761091948</x:v>
      </x:c>
      <x:c r="F301" s="34" t="n">
        <x:f>-Assumptions!$B$7*E301</x:f>
        <x:v>2.3054128229824777</x:v>
      </x:c>
      <x:c r="G301" s="34" t="n">
        <x:f>-Assumptions!$B$8*E301</x:f>
        <x:v>3.2605893507203887</x:v>
      </x:c>
      <x:c r="H301" s="34" t="n">
        <x:f>-Assumptions!$B$9*E301</x:f>
        <x:v>2.1876736831377217</x:v>
      </x:c>
      <x:c r="I301" s="34" t="n">
        <x:f>-Assumptions!$B$10*E301</x:f>
        <x:v>3.65319712002836</x:v>
      </x:c>
      <x:c r="J301" s="36" t="n">
        <x:f>IF(C301&lt;-F301,1,0)</x:f>
        <x:v>0</x:v>
      </x:c>
      <x:c r="K301" s="36" t="n">
        <x:f>IF(C301&lt;-G301,1,0)</x:f>
        <x:v>0</x:v>
      </x:c>
      <x:c r="L301" s="36" t="n">
        <x:f>IF(C301&lt;-H301,1,0)</x:f>
        <x:v>0</x:v>
      </x:c>
      <x:c r="M301" s="36" t="n">
        <x:f>IF(C301&lt;-I301,1,0)</x:f>
        <x:v>0</x:v>
      </x:c>
      <x:c r="N301" s="34" t="n">
        <x:f>-F301</x:f>
        <x:v>-2.3054128229824777</x:v>
      </x:c>
      <x:c r="O301" s="34" t="n">
        <x:f>-H301</x:f>
        <x:v>-2.1876736831377217</x:v>
      </x:c>
      <x:c r="P301" s="34" t="n">
        <x:f>-G301</x:f>
        <x:v>-3.2605893507203887</x:v>
      </x:c>
      <x:c r="Q301" s="34" t="n">
        <x:f>-I301</x:f>
        <x:v>-3.65319712002836</x:v>
      </x:c>
      <x:c r="R301" s="36" t="n">
        <x:f>YEAR(A301)</x:f>
        <x:v>2022</x:v>
      </x:c>
    </x:row>
    <x:row r="302">
      <x:c r="A302" s="30" t="n">
        <x:v>44624</x:v>
      </x:c>
      <x:c r="B302" s="38" t="n">
        <x:v>4328.87</x:v>
      </x:c>
      <x:c r="C302" s="34" t="n">
        <x:f>(B302/B301-1)*100</x:f>
        <x:v>-0.793401612012401</x:v>
      </x:c>
      <x:c r="D302" s="34" t="n">
        <x:f>Assumptions!$B$4*D301+(1-Assumptions!$B$4)*C301^2</x:f>
        <x:v>1.8631583385784085</x:v>
      </x:c>
      <x:c r="E302" s="34" t="n">
        <x:f>SQRT(D302)</x:f>
        <x:v>1.3649755816784448</x:v>
      </x:c>
      <x:c r="F302" s="34" t="n">
        <x:f>-Assumptions!$B$7*E302</x:f>
        <x:v>2.2451850362239862</x:v>
      </x:c>
      <x:c r="G302" s="34" t="n">
        <x:f>-Assumptions!$B$8*E302</x:f>
        <x:v>3.1754080425553095</x:v>
      </x:c>
      <x:c r="H302" s="34" t="n">
        <x:f>-Assumptions!$B$9*E302</x:f>
        <x:v>2.1305217740428777</x:v>
      </x:c>
      <x:c r="I302" s="34" t="n">
        <x:f>-Assumptions!$B$10*E302</x:f>
        <x:v>3.557759125176245</x:v>
      </x:c>
      <x:c r="J302" s="36" t="n">
        <x:f>IF(C302&lt;-F302,1,0)</x:f>
        <x:v>0</x:v>
      </x:c>
      <x:c r="K302" s="36" t="n">
        <x:f>IF(C302&lt;-G302,1,0)</x:f>
        <x:v>0</x:v>
      </x:c>
      <x:c r="L302" s="36" t="n">
        <x:f>IF(C302&lt;-H302,1,0)</x:f>
        <x:v>0</x:v>
      </x:c>
      <x:c r="M302" s="36" t="n">
        <x:f>IF(C302&lt;-I302,1,0)</x:f>
        <x:v>0</x:v>
      </x:c>
      <x:c r="N302" s="34" t="n">
        <x:f>-F302</x:f>
        <x:v>-2.2451850362239862</x:v>
      </x:c>
      <x:c r="O302" s="34" t="n">
        <x:f>-H302</x:f>
        <x:v>-2.1305217740428777</x:v>
      </x:c>
      <x:c r="P302" s="34" t="n">
        <x:f>-G302</x:f>
        <x:v>-3.1754080425553095</x:v>
      </x:c>
      <x:c r="Q302" s="34" t="n">
        <x:f>-I302</x:f>
        <x:v>-3.557759125176245</x:v>
      </x:c>
      <x:c r="R302" s="36" t="n">
        <x:f>YEAR(A302)</x:f>
        <x:v>2022</x:v>
      </x:c>
    </x:row>
    <x:row r="303">
      <x:c r="A303" s="30" t="n">
        <x:v>44627</x:v>
      </x:c>
      <x:c r="B303" s="38" t="n">
        <x:v>4201.09</x:v>
      </x:c>
      <x:c r="C303" s="34" t="n">
        <x:f>(B303/B302-1)*100</x:f>
        <x:v>-2.951809594651711</x:v>
      </x:c>
      <x:c r="D303" s="34" t="n">
        <x:f>Assumptions!$B$4*D302+(1-Assumptions!$B$4)*C302^2</x:f>
        <x:v>1.7891380053403365</x:v>
      </x:c>
      <x:c r="E303" s="34" t="n">
        <x:f>SQRT(D303)</x:f>
        <x:v>1.3375866347045848</x:v>
      </x:c>
      <x:c r="F303" s="34" t="n">
        <x:f>-Assumptions!$B$7*E303</x:f>
        <x:v>2.200134227455651</x:v>
      </x:c>
      <x:c r="G303" s="34" t="n">
        <x:f>-Assumptions!$B$8*E303</x:f>
        <x:v>3.111691823990453</x:v>
      </x:c>
      <x:c r="H303" s="34" t="n">
        <x:f>-Assumptions!$B$9*E303</x:f>
        <x:v>2.0877717434348866</x:v>
      </x:c>
      <x:c r="I303" s="34" t="n">
        <x:f>-Assumptions!$B$10*E303</x:f>
        <x:v>3.4863708327165384</x:v>
      </x:c>
      <x:c r="J303" s="36" t="n">
        <x:f>IF(C303&lt;-F303,1,0)</x:f>
        <x:v>1</x:v>
      </x:c>
      <x:c r="K303" s="36" t="n">
        <x:f>IF(C303&lt;-G303,1,0)</x:f>
        <x:v>0</x:v>
      </x:c>
      <x:c r="L303" s="36" t="n">
        <x:f>IF(C303&lt;-H303,1,0)</x:f>
        <x:v>1</x:v>
      </x:c>
      <x:c r="M303" s="36" t="n">
        <x:f>IF(C303&lt;-I303,1,0)</x:f>
        <x:v>0</x:v>
      </x:c>
      <x:c r="N303" s="34" t="n">
        <x:f>-F303</x:f>
        <x:v>-2.200134227455651</x:v>
      </x:c>
      <x:c r="O303" s="34" t="n">
        <x:f>-H303</x:f>
        <x:v>-2.0877717434348866</x:v>
      </x:c>
      <x:c r="P303" s="34" t="n">
        <x:f>-G303</x:f>
        <x:v>-3.111691823990453</x:v>
      </x:c>
      <x:c r="Q303" s="34" t="n">
        <x:f>-I303</x:f>
        <x:v>-3.4863708327165384</x:v>
      </x:c>
      <x:c r="R303" s="36" t="n">
        <x:f>YEAR(A303)</x:f>
        <x:v>2022</x:v>
      </x:c>
    </x:row>
    <x:row r="304">
      <x:c r="A304" s="30" t="n">
        <x:v>44628</x:v>
      </x:c>
      <x:c r="B304" s="38" t="n">
        <x:v>4170.7</x:v>
      </x:c>
      <x:c r="C304" s="34" t="n">
        <x:f>(B304/B303-1)*100</x:f>
        <x:v>-0.7233836932796112</x:v>
      </x:c>
      <x:c r="D304" s="34" t="n">
        <x:f>Assumptions!$B$4*D303+(1-Assumptions!$B$4)*C303^2</x:f>
        <x:v>2.2045805180045908</x:v>
      </x:c>
      <x:c r="E304" s="34" t="n">
        <x:f>SQRT(D304)</x:f>
        <x:v>1.4847829868383429</x:v>
      </x:c>
      <x:c r="F304" s="34" t="n">
        <x:f>-Assumptions!$B$7*E304</x:f>
        <x:v>2.442250681136889</x:v>
      </x:c>
      <x:c r="G304" s="34" t="n">
        <x:f>-Assumptions!$B$8*E304</x:f>
        <x:v>3.454121744843388</x:v>
      </x:c>
      <x:c r="H304" s="34" t="n">
        <x:f>-Assumptions!$B$9*E304</x:f>
        <x:v>2.317523130558625</x:v>
      </x:c>
      <x:c r="I304" s="34" t="n">
        <x:f>-Assumptions!$B$10*E304</x:f>
        <x:v>3.870032761930377</x:v>
      </x:c>
      <x:c r="J304" s="36" t="n">
        <x:f>IF(C304&lt;-F304,1,0)</x:f>
        <x:v>0</x:v>
      </x:c>
      <x:c r="K304" s="36" t="n">
        <x:f>IF(C304&lt;-G304,1,0)</x:f>
        <x:v>0</x:v>
      </x:c>
      <x:c r="L304" s="36" t="n">
        <x:f>IF(C304&lt;-H304,1,0)</x:f>
        <x:v>0</x:v>
      </x:c>
      <x:c r="M304" s="36" t="n">
        <x:f>IF(C304&lt;-I304,1,0)</x:f>
        <x:v>0</x:v>
      </x:c>
      <x:c r="N304" s="34" t="n">
        <x:f>-F304</x:f>
        <x:v>-2.442250681136889</x:v>
      </x:c>
      <x:c r="O304" s="34" t="n">
        <x:f>-H304</x:f>
        <x:v>-2.317523130558625</x:v>
      </x:c>
      <x:c r="P304" s="34" t="n">
        <x:f>-G304</x:f>
        <x:v>-3.454121744843388</x:v>
      </x:c>
      <x:c r="Q304" s="34" t="n">
        <x:f>-I304</x:f>
        <x:v>-3.870032761930377</x:v>
      </x:c>
      <x:c r="R304" s="36" t="n">
        <x:f>YEAR(A304)</x:f>
        <x:v>2022</x:v>
      </x:c>
    </x:row>
    <x:row r="305">
      <x:c r="A305" s="30" t="n">
        <x:v>44629</x:v>
      </x:c>
      <x:c r="B305" s="38" t="n">
        <x:v>4277.88</x:v>
      </x:c>
      <x:c r="C305" s="34" t="n">
        <x:f>(B305/B304-1)*100</x:f>
        <x:v>2.569832402234651</x:v>
      </x:c>
      <x:c r="D305" s="34" t="n">
        <x:f>Assumptions!$B$4*D304+(1-Assumptions!$B$4)*C304^2</x:f>
        <x:v>2.103702724986486</x:v>
      </x:c>
      <x:c r="E305" s="34" t="n">
        <x:f>SQRT(D305)</x:f>
        <x:v>1.4504146734594512</x:v>
      </x:c>
      <x:c r="F305" s="34" t="n">
        <x:f>-Assumptions!$B$7*E305</x:f>
        <x:v>2.3857198362234144</x:v>
      </x:c>
      <x:c r="G305" s="34" t="n">
        <x:f>-Assumptions!$B$8*E305</x:f>
        <x:v>3.374169092080034</x:v>
      </x:c>
      <x:c r="H305" s="34" t="n">
        <x:f>-Assumptions!$B$9*E305</x:f>
        <x:v>2.2638793577514806</x:v>
      </x:c>
      <x:c r="I305" s="34" t="n">
        <x:f>-Assumptions!$B$10*E305</x:f>
        <x:v>3.7804530052065872</x:v>
      </x:c>
      <x:c r="J305" s="36" t="n">
        <x:f>IF(C305&lt;-F305,1,0)</x:f>
        <x:v>0</x:v>
      </x:c>
      <x:c r="K305" s="36" t="n">
        <x:f>IF(C305&lt;-G305,1,0)</x:f>
        <x:v>0</x:v>
      </x:c>
      <x:c r="L305" s="36" t="n">
        <x:f>IF(C305&lt;-H305,1,0)</x:f>
        <x:v>0</x:v>
      </x:c>
      <x:c r="M305" s="36" t="n">
        <x:f>IF(C305&lt;-I305,1,0)</x:f>
        <x:v>0</x:v>
      </x:c>
      <x:c r="N305" s="34" t="n">
        <x:f>-F305</x:f>
        <x:v>-2.3857198362234144</x:v>
      </x:c>
      <x:c r="O305" s="34" t="n">
        <x:f>-H305</x:f>
        <x:v>-2.2638793577514806</x:v>
      </x:c>
      <x:c r="P305" s="34" t="n">
        <x:f>-G305</x:f>
        <x:v>-3.374169092080034</x:v>
      </x:c>
      <x:c r="Q305" s="34" t="n">
        <x:f>-I305</x:f>
        <x:v>-3.7804530052065872</x:v>
      </x:c>
      <x:c r="R305" s="36" t="n">
        <x:f>YEAR(A305)</x:f>
        <x:v>2022</x:v>
      </x:c>
    </x:row>
    <x:row r="306">
      <x:c r="A306" s="30" t="n">
        <x:v>44630</x:v>
      </x:c>
      <x:c r="B306" s="38" t="n">
        <x:v>4259.52</x:v>
      </x:c>
      <x:c r="C306" s="34" t="n">
        <x:f>(B306/B305-1)*100</x:f>
        <x:v>-0.42918454935622075</x:v>
      </x:c>
      <x:c r="D306" s="34" t="n">
        <x:f>Assumptions!$B$4*D305+(1-Assumptions!$B$4)*C305^2</x:f>
        <x:v>2.3737228760218043</x:v>
      </x:c>
      <x:c r="E306" s="34" t="n">
        <x:f>SQRT(D306)</x:f>
        <x:v>1.5406890912905835</x:v>
      </x:c>
      <x:c r="F306" s="34" t="n">
        <x:f>-Assumptions!$B$7*E306</x:f>
        <x:v>2.534208039813885</x:v>
      </x:c>
      <x:c r="G306" s="34" t="n">
        <x:f>-Assumptions!$B$8*E306</x:f>
        <x:v>3.584178792081763</x:v>
      </x:c>
      <x:c r="H306" s="34" t="n">
        <x:f>-Assumptions!$B$9*E306</x:f>
        <x:v>2.404784158840868</x:v>
      </x:c>
      <x:c r="I306" s="34" t="n">
        <x:f>-Assumptions!$B$10*E306</x:f>
        <x:v>4.0157499864271236</x:v>
      </x:c>
      <x:c r="J306" s="36" t="n">
        <x:f>IF(C306&lt;-F306,1,0)</x:f>
        <x:v>0</x:v>
      </x:c>
      <x:c r="K306" s="36" t="n">
        <x:f>IF(C306&lt;-G306,1,0)</x:f>
        <x:v>0</x:v>
      </x:c>
      <x:c r="L306" s="36" t="n">
        <x:f>IF(C306&lt;-H306,1,0)</x:f>
        <x:v>0</x:v>
      </x:c>
      <x:c r="M306" s="36" t="n">
        <x:f>IF(C306&lt;-I306,1,0)</x:f>
        <x:v>0</x:v>
      </x:c>
      <x:c r="N306" s="34" t="n">
        <x:f>-F306</x:f>
        <x:v>-2.534208039813885</x:v>
      </x:c>
      <x:c r="O306" s="34" t="n">
        <x:f>-H306</x:f>
        <x:v>-2.404784158840868</x:v>
      </x:c>
      <x:c r="P306" s="34" t="n">
        <x:f>-G306</x:f>
        <x:v>-3.584178792081763</x:v>
      </x:c>
      <x:c r="Q306" s="34" t="n">
        <x:f>-I306</x:f>
        <x:v>-4.0157499864271236</x:v>
      </x:c>
      <x:c r="R306" s="36" t="n">
        <x:f>YEAR(A306)</x:f>
        <x:v>2022</x:v>
      </x:c>
    </x:row>
    <x:row r="307">
      <x:c r="A307" s="30" t="n">
        <x:v>44631</x:v>
      </x:c>
      <x:c r="B307" s="38" t="n">
        <x:v>4204.31</x:v>
      </x:c>
      <x:c r="C307" s="34" t="n">
        <x:f>(B307/B306-1)*100</x:f>
        <x:v>-1.2961554353542182</x:v>
      </x:c>
      <x:c r="D307" s="34" t="n">
        <x:f>Assumptions!$B$4*D306+(1-Assumptions!$B$4)*C306^2</x:f>
        <x:v>2.242351466104862</x:v>
      </x:c>
      <x:c r="E307" s="34" t="n">
        <x:f>SQRT(D307)</x:f>
        <x:v>1.4974483183418592</x:v>
      </x:c>
      <x:c r="F307" s="34" t="n">
        <x:f>-Assumptions!$B$7*E307</x:f>
        <x:v>2.4630832975969907</x:v>
      </x:c>
      <x:c r="G307" s="34" t="n">
        <x:f>-Assumptions!$B$8*E307</x:f>
        <x:v>3.4835857118606155</x:v>
      </x:c>
      <x:c r="H307" s="34" t="n">
        <x:f>-Assumptions!$B$9*E307</x:f>
        <x:v>2.3372918098712114</x:v>
      </x:c>
      <x:c r="I307" s="34" t="n">
        <x:f>-Assumptions!$B$10*E307</x:f>
        <x:v>3.9030444870739207</x:v>
      </x:c>
      <x:c r="J307" s="36" t="n">
        <x:f>IF(C307&lt;-F307,1,0)</x:f>
        <x:v>0</x:v>
      </x:c>
      <x:c r="K307" s="36" t="n">
        <x:f>IF(C307&lt;-G307,1,0)</x:f>
        <x:v>0</x:v>
      </x:c>
      <x:c r="L307" s="36" t="n">
        <x:f>IF(C307&lt;-H307,1,0)</x:f>
        <x:v>0</x:v>
      </x:c>
      <x:c r="M307" s="36" t="n">
        <x:f>IF(C307&lt;-I307,1,0)</x:f>
        <x:v>0</x:v>
      </x:c>
      <x:c r="N307" s="34" t="n">
        <x:f>-F307</x:f>
        <x:v>-2.4630832975969907</x:v>
      </x:c>
      <x:c r="O307" s="34" t="n">
        <x:f>-H307</x:f>
        <x:v>-2.3372918098712114</x:v>
      </x:c>
      <x:c r="P307" s="34" t="n">
        <x:f>-G307</x:f>
        <x:v>-3.4835857118606155</x:v>
      </x:c>
      <x:c r="Q307" s="34" t="n">
        <x:f>-I307</x:f>
        <x:v>-3.9030444870739207</x:v>
      </x:c>
      <x:c r="R307" s="36" t="n">
        <x:f>YEAR(A307)</x:f>
        <x:v>2022</x:v>
      </x:c>
    </x:row>
    <x:row r="308">
      <x:c r="A308" s="30" t="n">
        <x:v>44634</x:v>
      </x:c>
      <x:c r="B308" s="38" t="n">
        <x:v>4173.11</x:v>
      </x:c>
      <x:c r="C308" s="34" t="n">
        <x:f>(B308/B307-1)*100</x:f>
        <x:v>-0.742095611408311</x:v>
      </x:c>
      <x:c r="D308" s="34" t="n">
        <x:f>Assumptions!$B$4*D307+(1-Assumptions!$B$4)*C307^2</x:f>
        <x:v>2.208611512894467</x:v>
      </x:c>
      <x:c r="E308" s="34" t="n">
        <x:f>SQRT(D308)</x:f>
        <x:v>1.48613980260757</x:v>
      </x:c>
      <x:c r="F308" s="34" t="n">
        <x:f>-Assumptions!$B$7*E308</x:f>
        <x:v>2.4444824444760074</x:v>
      </x:c>
      <x:c r="G308" s="34" t="n">
        <x:f>-Assumptions!$B$8*E308</x:f>
        <x:v>3.457278170323595</x:v>
      </x:c>
      <x:c r="H308" s="34" t="n">
        <x:f>-Assumptions!$B$9*E308</x:f>
        <x:v>2.3196409160915707</x:v>
      </x:c>
      <x:c r="I308" s="34" t="n">
        <x:f>-Assumptions!$B$10*E308</x:f>
        <x:v>3.8735692528016754</x:v>
      </x:c>
      <x:c r="J308" s="36" t="n">
        <x:f>IF(C308&lt;-F308,1,0)</x:f>
        <x:v>0</x:v>
      </x:c>
      <x:c r="K308" s="36" t="n">
        <x:f>IF(C308&lt;-G308,1,0)</x:f>
        <x:v>0</x:v>
      </x:c>
      <x:c r="L308" s="36" t="n">
        <x:f>IF(C308&lt;-H308,1,0)</x:f>
        <x:v>0</x:v>
      </x:c>
      <x:c r="M308" s="36" t="n">
        <x:f>IF(C308&lt;-I308,1,0)</x:f>
        <x:v>0</x:v>
      </x:c>
      <x:c r="N308" s="34" t="n">
        <x:f>-F308</x:f>
        <x:v>-2.4444824444760074</x:v>
      </x:c>
      <x:c r="O308" s="34" t="n">
        <x:f>-H308</x:f>
        <x:v>-2.3196409160915707</x:v>
      </x:c>
      <x:c r="P308" s="34" t="n">
        <x:f>-G308</x:f>
        <x:v>-3.457278170323595</x:v>
      </x:c>
      <x:c r="Q308" s="34" t="n">
        <x:f>-I308</x:f>
        <x:v>-3.8735692528016754</x:v>
      </x:c>
      <x:c r="R308" s="36" t="n">
        <x:f>YEAR(A308)</x:f>
        <x:v>2022</x:v>
      </x:c>
    </x:row>
    <x:row r="309">
      <x:c r="A309" s="30" t="n">
        <x:v>44635</x:v>
      </x:c>
      <x:c r="B309" s="38" t="n">
        <x:v>4262.45</x:v>
      </x:c>
      <x:c r="C309" s="34" t="n">
        <x:f>(B309/B308-1)*100</x:f>
        <x:v>2.1408493905025416</x:v>
      </x:c>
      <x:c r="D309" s="34" t="n">
        <x:f>Assumptions!$B$4*D308+(1-Assumptions!$B$4)*C308^2</x:f>
        <x:v>2.1091371759090873</x:v>
      </x:c>
      <x:c r="E309" s="34" t="n">
        <x:f>SQRT(D309)</x:f>
        <x:v>1.4522868779649176</x:v>
      </x:c>
      <x:c r="F309" s="34" t="n">
        <x:f>-Assumptions!$B$7*E309</x:f>
        <x:v>2.388799338594626</x:v>
      </x:c>
      <x:c r="G309" s="34" t="n">
        <x:f>-Assumptions!$B$8*E309</x:f>
        <x:v>3.3785244910510954</x:v>
      </x:c>
      <x:c r="H309" s="34" t="n">
        <x:f>-Assumptions!$B$9*E309</x:f>
        <x:v>2.2668015876564676</x:v>
      </x:c>
      <x:c r="I309" s="34" t="n">
        <x:f>-Assumptions!$B$10*E309</x:f>
        <x:v>3.7853328380423723</x:v>
      </x:c>
      <x:c r="J309" s="36" t="n">
        <x:f>IF(C309&lt;-F309,1,0)</x:f>
        <x:v>0</x:v>
      </x:c>
      <x:c r="K309" s="36" t="n">
        <x:f>IF(C309&lt;-G309,1,0)</x:f>
        <x:v>0</x:v>
      </x:c>
      <x:c r="L309" s="36" t="n">
        <x:f>IF(C309&lt;-H309,1,0)</x:f>
        <x:v>0</x:v>
      </x:c>
      <x:c r="M309" s="36" t="n">
        <x:f>IF(C309&lt;-I309,1,0)</x:f>
        <x:v>0</x:v>
      </x:c>
      <x:c r="N309" s="34" t="n">
        <x:f>-F309</x:f>
        <x:v>-2.388799338594626</x:v>
      </x:c>
      <x:c r="O309" s="34" t="n">
        <x:f>-H309</x:f>
        <x:v>-2.2668015876564676</x:v>
      </x:c>
      <x:c r="P309" s="34" t="n">
        <x:f>-G309</x:f>
        <x:v>-3.3785244910510954</x:v>
      </x:c>
      <x:c r="Q309" s="34" t="n">
        <x:f>-I309</x:f>
        <x:v>-3.7853328380423723</x:v>
      </x:c>
      <x:c r="R309" s="36" t="n">
        <x:f>YEAR(A309)</x:f>
        <x:v>2022</x:v>
      </x:c>
    </x:row>
    <x:row r="310">
      <x:c r="A310" s="30" t="n">
        <x:v>44636</x:v>
      </x:c>
      <x:c r="B310" s="38" t="n">
        <x:v>4357.86</x:v>
      </x:c>
      <x:c r="C310" s="34" t="n">
        <x:f>(B310/B309-1)*100</x:f>
        <x:v>2.2383840279651235</x:v>
      </x:c>
      <x:c r="D310" s="34" t="n">
        <x:f>Assumptions!$B$4*D309+(1-Assumptions!$B$4)*C309^2</x:f>
        <x:v>2.2575831121234486</x:v>
      </x:c>
      <x:c r="E310" s="34" t="n">
        <x:f>SQRT(D310)</x:f>
        <x:v>1.502525577859974</x:v>
      </x:c>
      <x:c r="F310" s="34" t="n">
        <x:f>-Assumptions!$B$7*E310</x:f>
        <x:v>2.471434646330336</x:v>
      </x:c>
      <x:c r="G310" s="34" t="n">
        <x:f>-Assumptions!$B$8*E310</x:f>
        <x:v>3.4953971837465354</x:v>
      </x:c>
      <x:c r="H310" s="34" t="n">
        <x:f>-Assumptions!$B$9*E310</x:f>
        <x:v>2.3452166490412343</x:v>
      </x:c>
      <x:c r="I310" s="34" t="n">
        <x:f>-Assumptions!$B$10*E310</x:f>
        <x:v>3.916278179034365</x:v>
      </x:c>
      <x:c r="J310" s="36" t="n">
        <x:f>IF(C310&lt;-F310,1,0)</x:f>
        <x:v>0</x:v>
      </x:c>
      <x:c r="K310" s="36" t="n">
        <x:f>IF(C310&lt;-G310,1,0)</x:f>
        <x:v>0</x:v>
      </x:c>
      <x:c r="L310" s="36" t="n">
        <x:f>IF(C310&lt;-H310,1,0)</x:f>
        <x:v>0</x:v>
      </x:c>
      <x:c r="M310" s="36" t="n">
        <x:f>IF(C310&lt;-I310,1,0)</x:f>
        <x:v>0</x:v>
      </x:c>
      <x:c r="N310" s="34" t="n">
        <x:f>-F310</x:f>
        <x:v>-2.471434646330336</x:v>
      </x:c>
      <x:c r="O310" s="34" t="n">
        <x:f>-H310</x:f>
        <x:v>-2.3452166490412343</x:v>
      </x:c>
      <x:c r="P310" s="34" t="n">
        <x:f>-G310</x:f>
        <x:v>-3.4953971837465354</x:v>
      </x:c>
      <x:c r="Q310" s="34" t="n">
        <x:f>-I310</x:f>
        <x:v>-3.916278179034365</x:v>
      </x:c>
      <x:c r="R310" s="36" t="n">
        <x:f>YEAR(A310)</x:f>
        <x:v>2022</x:v>
      </x:c>
    </x:row>
    <x:row r="311">
      <x:c r="A311" s="30" t="n">
        <x:v>44637</x:v>
      </x:c>
      <x:c r="B311" s="38" t="n">
        <x:v>4411.67</x:v>
      </x:c>
      <x:c r="C311" s="34" t="n">
        <x:f>(B311/B310-1)*100</x:f>
        <x:v>1.2347803738532281</x:v>
      </x:c>
      <x:c r="D311" s="34" t="n">
        <x:f>Assumptions!$B$4*D310+(1-Assumptions!$B$4)*C310^2</x:f>
        <x:v>2.422749908795004</x:v>
      </x:c>
      <x:c r="E311" s="34" t="n">
        <x:f>SQRT(D311)</x:f>
        <x:v>1.5565185218284439</x:v>
      </x:c>
      <x:c r="F311" s="34" t="n">
        <x:f>-Assumptions!$B$7*E311</x:f>
        <x:v>2.560245136046661</x:v>
      </x:c>
      <x:c r="G311" s="34" t="n">
        <x:f>-Assumptions!$B$8*E311</x:f>
        <x:v>3.6210035541607914</x:v>
      </x:c>
      <x:c r="H311" s="34" t="n">
        <x:f>-Assumptions!$B$9*E311</x:f>
        <x:v>2.4294915212906347</x:v>
      </x:c>
      <x:c r="I311" s="34" t="n">
        <x:f>-Assumptions!$B$10*E311</x:f>
        <x:v>4.057008820429975</x:v>
      </x:c>
      <x:c r="J311" s="36" t="n">
        <x:f>IF(C311&lt;-F311,1,0)</x:f>
        <x:v>0</x:v>
      </x:c>
      <x:c r="K311" s="36" t="n">
        <x:f>IF(C311&lt;-G311,1,0)</x:f>
        <x:v>0</x:v>
      </x:c>
      <x:c r="L311" s="36" t="n">
        <x:f>IF(C311&lt;-H311,1,0)</x:f>
        <x:v>0</x:v>
      </x:c>
      <x:c r="M311" s="36" t="n">
        <x:f>IF(C311&lt;-I311,1,0)</x:f>
        <x:v>0</x:v>
      </x:c>
      <x:c r="N311" s="34" t="n">
        <x:f>-F311</x:f>
        <x:v>-2.560245136046661</x:v>
      </x:c>
      <x:c r="O311" s="34" t="n">
        <x:f>-H311</x:f>
        <x:v>-2.4294915212906347</x:v>
      </x:c>
      <x:c r="P311" s="34" t="n">
        <x:f>-G311</x:f>
        <x:v>-3.6210035541607914</x:v>
      </x:c>
      <x:c r="Q311" s="34" t="n">
        <x:f>-I311</x:f>
        <x:v>-4.057008820429975</x:v>
      </x:c>
      <x:c r="R311" s="36" t="n">
        <x:f>YEAR(A311)</x:f>
        <x:v>2022</x:v>
      </x:c>
    </x:row>
    <x:row r="312">
      <x:c r="A312" s="30" t="n">
        <x:v>44638</x:v>
      </x:c>
      <x:c r="B312" s="38" t="n">
        <x:v>4463.12</x:v>
      </x:c>
      <x:c r="C312" s="34" t="n">
        <x:f>(B312/B311-1)*100</x:f>
        <x:v>1.1662250349640857</x:v>
      </x:c>
      <x:c r="D312" s="34" t="n">
        <x:f>Assumptions!$B$4*D311+(1-Assumptions!$B$4)*C311^2</x:f>
        <x:v>2.3688658685664907</x:v>
      </x:c>
      <x:c r="E312" s="34" t="n">
        <x:f>SQRT(D312)</x:f>
        <x:v>1.5391120389908237</x:v>
      </x:c>
      <x:c r="F312" s="34" t="n">
        <x:f>-Assumptions!$B$7*E312</x:f>
        <x:v>2.531614019618733</x:v>
      </x:c>
      <x:c r="G312" s="34" t="n">
        <x:f>-Assumptions!$B$8*E312</x:f>
        <x:v>3.5805100198169657</x:v>
      </x:c>
      <x:c r="H312" s="34" t="n">
        <x:f>-Assumptions!$B$9*E312</x:f>
        <x:v>2.4023226171777483</x:v>
      </x:c>
      <x:c r="I312" s="34" t="n">
        <x:f>-Assumptions!$B$10*E312</x:f>
        <x:v>4.011639457062597</x:v>
      </x:c>
      <x:c r="J312" s="36" t="n">
        <x:f>IF(C312&lt;-F312,1,0)</x:f>
        <x:v>0</x:v>
      </x:c>
      <x:c r="K312" s="36" t="n">
        <x:f>IF(C312&lt;-G312,1,0)</x:f>
        <x:v>0</x:v>
      </x:c>
      <x:c r="L312" s="36" t="n">
        <x:f>IF(C312&lt;-H312,1,0)</x:f>
        <x:v>0</x:v>
      </x:c>
      <x:c r="M312" s="36" t="n">
        <x:f>IF(C312&lt;-I312,1,0)</x:f>
        <x:v>0</x:v>
      </x:c>
      <x:c r="N312" s="34" t="n">
        <x:f>-F312</x:f>
        <x:v>-2.531614019618733</x:v>
      </x:c>
      <x:c r="O312" s="34" t="n">
        <x:f>-H312</x:f>
        <x:v>-2.4023226171777483</x:v>
      </x:c>
      <x:c r="P312" s="34" t="n">
        <x:f>-G312</x:f>
        <x:v>-3.5805100198169657</x:v>
      </x:c>
      <x:c r="Q312" s="34" t="n">
        <x:f>-I312</x:f>
        <x:v>-4.011639457062597</x:v>
      </x:c>
      <x:c r="R312" s="36" t="n">
        <x:f>YEAR(A312)</x:f>
        <x:v>2022</x:v>
      </x:c>
    </x:row>
    <x:row r="313">
      <x:c r="A313" s="30" t="n">
        <x:v>44641</x:v>
      </x:c>
      <x:c r="B313" s="38" t="n">
        <x:v>4461.18</x:v>
      </x:c>
      <x:c r="C313" s="34" t="n">
        <x:f>(B313/B312-1)*100</x:f>
        <x:v>-0.043467350194470455</x:v>
      </x:c>
      <x:c r="D313" s="34" t="n">
        <x:f>Assumptions!$B$4*D312+(1-Assumptions!$B$4)*C312^2</x:f>
        <x:v>2.3083387663831205</x:v>
      </x:c>
      <x:c r="E313" s="34" t="n">
        <x:f>SQRT(D313)</x:f>
        <x:v>1.519321811330016</x:v>
      </x:c>
      <x:c r="F313" s="34" t="n">
        <x:f>-Assumptions!$B$7*E313</x:f>
        <x:v>2.499061991872658</x:v>
      </x:c>
      <x:c r="G313" s="34" t="n">
        <x:f>-Assumptions!$B$8*E313</x:f>
        <x:v>3.5344710657714615</x:v>
      </x:c>
      <x:c r="H313" s="34" t="n">
        <x:f>-Assumptions!$B$9*E313</x:f>
        <x:v>2.3714330455908557</x:v>
      </x:c>
      <x:c r="I313" s="34" t="n">
        <x:f>-Assumptions!$B$10*E313</x:f>
        <x:v>3.960056949657611</x:v>
      </x:c>
      <x:c r="J313" s="36" t="n">
        <x:f>IF(C313&lt;-F313,1,0)</x:f>
        <x:v>0</x:v>
      </x:c>
      <x:c r="K313" s="36" t="n">
        <x:f>IF(C313&lt;-G313,1,0)</x:f>
        <x:v>0</x:v>
      </x:c>
      <x:c r="L313" s="36" t="n">
        <x:f>IF(C313&lt;-H313,1,0)</x:f>
        <x:v>0</x:v>
      </x:c>
      <x:c r="M313" s="36" t="n">
        <x:f>IF(C313&lt;-I313,1,0)</x:f>
        <x:v>0</x:v>
      </x:c>
      <x:c r="N313" s="34" t="n">
        <x:f>-F313</x:f>
        <x:v>-2.499061991872658</x:v>
      </x:c>
      <x:c r="O313" s="34" t="n">
        <x:f>-H313</x:f>
        <x:v>-2.3714330455908557</x:v>
      </x:c>
      <x:c r="P313" s="34" t="n">
        <x:f>-G313</x:f>
        <x:v>-3.5344710657714615</x:v>
      </x:c>
      <x:c r="Q313" s="34" t="n">
        <x:f>-I313</x:f>
        <x:v>-3.960056949657611</x:v>
      </x:c>
      <x:c r="R313" s="36" t="n">
        <x:f>YEAR(A313)</x:f>
        <x:v>2022</x:v>
      </x:c>
    </x:row>
    <x:row r="314">
      <x:c r="A314" s="30" t="n">
        <x:v>44642</x:v>
      </x:c>
      <x:c r="B314" s="38" t="n">
        <x:v>4511.61</x:v>
      </x:c>
      <x:c r="C314" s="34" t="n">
        <x:f>(B314/B313-1)*100</x:f>
        <x:v>1.1304184094790948</x:v>
      </x:c>
      <x:c r="D314" s="34" t="n">
        <x:f>Assumptions!$B$4*D313+(1-Assumptions!$B$4)*C313^2</x:f>
        <x:v>2.1699518050321087</x:v>
      </x:c>
      <x:c r="E314" s="34" t="n">
        <x:f>SQRT(D314)</x:f>
        <x:v>1.47307562773678</x:v>
      </x:c>
      <x:c r="F314" s="34" t="n">
        <x:f>-Assumptions!$B$7*E314</x:f>
        <x:v>2.4229937890566604</x:v>
      </x:c>
      <x:c r="G314" s="34" t="n">
        <x:f>-Assumptions!$B$8*E314</x:f>
        <x:v>3.4268863548868347</x:v>
      </x:c>
      <x:c r="H314" s="34" t="n">
        <x:f>-Assumptions!$B$9*E314</x:f>
        <x:v>2.299249702215132</x:v>
      </x:c>
      <x:c r="I314" s="34" t="n">
        <x:f>-Assumptions!$B$10*E314</x:f>
        <x:v>3.8395179569519002</x:v>
      </x:c>
      <x:c r="J314" s="36" t="n">
        <x:f>IF(C314&lt;-F314,1,0)</x:f>
        <x:v>0</x:v>
      </x:c>
      <x:c r="K314" s="36" t="n">
        <x:f>IF(C314&lt;-G314,1,0)</x:f>
        <x:v>0</x:v>
      </x:c>
      <x:c r="L314" s="36" t="n">
        <x:f>IF(C314&lt;-H314,1,0)</x:f>
        <x:v>0</x:v>
      </x:c>
      <x:c r="M314" s="36" t="n">
        <x:f>IF(C314&lt;-I314,1,0)</x:f>
        <x:v>0</x:v>
      </x:c>
      <x:c r="N314" s="34" t="n">
        <x:f>-F314</x:f>
        <x:v>-2.4229937890566604</x:v>
      </x:c>
      <x:c r="O314" s="34" t="n">
        <x:f>-H314</x:f>
        <x:v>-2.299249702215132</x:v>
      </x:c>
      <x:c r="P314" s="34" t="n">
        <x:f>-G314</x:f>
        <x:v>-3.4268863548868347</x:v>
      </x:c>
      <x:c r="Q314" s="34" t="n">
        <x:f>-I314</x:f>
        <x:v>-3.8395179569519002</x:v>
      </x:c>
      <x:c r="R314" s="36" t="n">
        <x:f>YEAR(A314)</x:f>
        <x:v>2022</x:v>
      </x:c>
    </x:row>
    <x:row r="315">
      <x:c r="A315" s="30" t="n">
        <x:v>44643</x:v>
      </x:c>
      <x:c r="B315" s="38" t="n">
        <x:v>4456.24</x:v>
      </x:c>
      <x:c r="C315" s="34" t="n">
        <x:f>(B315/B314-1)*100</x:f>
        <x:v>-1.2272780670315009</x:v>
      </x:c>
      <x:c r="D315" s="34" t="n">
        <x:f>Assumptions!$B$4*D314+(1-Assumptions!$B$4)*C314^2</x:f>
        <x:v>2.116425443559537</x:v>
      </x:c>
      <x:c r="E315" s="34" t="n">
        <x:f>SQRT(D315)</x:f>
        <x:v>1.4547939522693711</x:v>
      </x:c>
      <x:c r="F315" s="34" t="n">
        <x:f>-Assumptions!$B$7*E315</x:f>
        <x:v>2.392923108857343</x:v>
      </x:c>
      <x:c r="G315" s="34" t="n">
        <x:f>-Assumptions!$B$8*E315</x:f>
        <x:v>3.3843568180293233</x:v>
      </x:c>
      <x:c r="H315" s="34" t="n">
        <x:f>-Assumptions!$B$9*E315</x:f>
        <x:v>2.2707147539185435</x:v>
      </x:c>
      <x:c r="I315" s="34" t="n">
        <x:f>-Assumptions!$B$10*E315</x:f>
        <x:v>3.7918674358797904</x:v>
      </x:c>
      <x:c r="J315" s="36" t="n">
        <x:f>IF(C315&lt;-F315,1,0)</x:f>
        <x:v>0</x:v>
      </x:c>
      <x:c r="K315" s="36" t="n">
        <x:f>IF(C315&lt;-G315,1,0)</x:f>
        <x:v>0</x:v>
      </x:c>
      <x:c r="L315" s="36" t="n">
        <x:f>IF(C315&lt;-H315,1,0)</x:f>
        <x:v>0</x:v>
      </x:c>
      <x:c r="M315" s="36" t="n">
        <x:f>IF(C315&lt;-I315,1,0)</x:f>
        <x:v>0</x:v>
      </x:c>
      <x:c r="N315" s="34" t="n">
        <x:f>-F315</x:f>
        <x:v>-2.392923108857343</x:v>
      </x:c>
      <x:c r="O315" s="34" t="n">
        <x:f>-H315</x:f>
        <x:v>-2.2707147539185435</x:v>
      </x:c>
      <x:c r="P315" s="34" t="n">
        <x:f>-G315</x:f>
        <x:v>-3.3843568180293233</x:v>
      </x:c>
      <x:c r="Q315" s="34" t="n">
        <x:f>-I315</x:f>
        <x:v>-3.7918674358797904</x:v>
      </x:c>
      <x:c r="R315" s="36" t="n">
        <x:f>YEAR(A315)</x:f>
        <x:v>2022</x:v>
      </x:c>
    </x:row>
    <x:row r="316">
      <x:c r="A316" s="30" t="n">
        <x:v>44644</x:v>
      </x:c>
      <x:c r="B316" s="38" t="n">
        <x:v>4520.16</x:v>
      </x:c>
      <x:c r="C316" s="34" t="n">
        <x:f>(B316/B315-1)*100</x:f>
        <x:v>1.4343931206577842</x:v>
      </x:c>
      <x:c r="D316" s="34" t="n">
        <x:f>Assumptions!$B$4*D315+(1-Assumptions!$B$4)*C315^2</x:f>
        <x:v>2.0798126041749594</x:v>
      </x:c>
      <x:c r="E316" s="34" t="n">
        <x:f>SQRT(D316)</x:f>
        <x:v>1.4421555409091487</x:v>
      </x:c>
      <x:c r="F316" s="34" t="n">
        <x:f>-Assumptions!$B$7*E316</x:f>
        <x:v>2.3721347720925765</x:v>
      </x:c>
      <x:c r="G316" s="34" t="n">
        <x:f>-Assumptions!$B$8*E316</x:f>
        <x:v>3.354955476630216</x:v>
      </x:c>
      <x:c r="H316" s="34" t="n">
        <x:f>-Assumptions!$B$9*E316</x:f>
        <x:v>2.250988092904465</x:v>
      </x:c>
      <x:c r="I316" s="34" t="n">
        <x:f>-Assumptions!$B$10*E316</x:f>
        <x:v>3.7589258771089935</x:v>
      </x:c>
      <x:c r="J316" s="36" t="n">
        <x:f>IF(C316&lt;-F316,1,0)</x:f>
        <x:v>0</x:v>
      </x:c>
      <x:c r="K316" s="36" t="n">
        <x:f>IF(C316&lt;-G316,1,0)</x:f>
        <x:v>0</x:v>
      </x:c>
      <x:c r="L316" s="36" t="n">
        <x:f>IF(C316&lt;-H316,1,0)</x:f>
        <x:v>0</x:v>
      </x:c>
      <x:c r="M316" s="36" t="n">
        <x:f>IF(C316&lt;-I316,1,0)</x:f>
        <x:v>0</x:v>
      </x:c>
      <x:c r="N316" s="34" t="n">
        <x:f>-F316</x:f>
        <x:v>-2.3721347720925765</x:v>
      </x:c>
      <x:c r="O316" s="34" t="n">
        <x:f>-H316</x:f>
        <x:v>-2.250988092904465</x:v>
      </x:c>
      <x:c r="P316" s="34" t="n">
        <x:f>-G316</x:f>
        <x:v>-3.354955476630216</x:v>
      </x:c>
      <x:c r="Q316" s="34" t="n">
        <x:f>-I316</x:f>
        <x:v>-3.7589258771089935</x:v>
      </x:c>
      <x:c r="R316" s="36" t="n">
        <x:f>YEAR(A316)</x:f>
        <x:v>2022</x:v>
      </x:c>
    </x:row>
    <x:row r="317">
      <x:c r="A317" s="30" t="n">
        <x:v>44645</x:v>
      </x:c>
      <x:c r="B317" s="38" t="n">
        <x:v>4543.06</x:v>
      </x:c>
      <x:c r="C317" s="34" t="n">
        <x:f>(B317/B316-1)*100</x:f>
        <x:v>0.5066192347173759</x:v>
      </x:c>
      <x:c r="D317" s="34" t="n">
        <x:f>Assumptions!$B$4*D316+(1-Assumptions!$B$4)*C316^2</x:f>
        <x:v>2.0784728653998843</x:v>
      </x:c>
      <x:c r="E317" s="34" t="n">
        <x:f>SQRT(D317)</x:f>
        <x:v>1.441690974307561</x:v>
      </x:c>
      <x:c r="F317" s="34" t="n">
        <x:f>-Assumptions!$B$7*E317</x:f>
        <x:v>2.3713706280329943</x:v>
      </x:c>
      <x:c r="G317" s="34" t="n">
        <x:f>-Assumptions!$B$8*E317</x:f>
        <x:v>3.3538747331042624</x:v>
      </x:c>
      <x:c r="H317" s="34" t="n">
        <x:f>-Assumptions!$B$9*E317</x:f>
        <x:v>2.250262974247794</x:v>
      </x:c>
      <x:c r="I317" s="34" t="n">
        <x:f>-Assumptions!$B$10*E317</x:f>
        <x:v>3.7577150011869365</x:v>
      </x:c>
      <x:c r="J317" s="36" t="n">
        <x:f>IF(C317&lt;-F317,1,0)</x:f>
        <x:v>0</x:v>
      </x:c>
      <x:c r="K317" s="36" t="n">
        <x:f>IF(C317&lt;-G317,1,0)</x:f>
        <x:v>0</x:v>
      </x:c>
      <x:c r="L317" s="36" t="n">
        <x:f>IF(C317&lt;-H317,1,0)</x:f>
        <x:v>0</x:v>
      </x:c>
      <x:c r="M317" s="36" t="n">
        <x:f>IF(C317&lt;-I317,1,0)</x:f>
        <x:v>0</x:v>
      </x:c>
      <x:c r="N317" s="34" t="n">
        <x:f>-F317</x:f>
        <x:v>-2.3713706280329943</x:v>
      </x:c>
      <x:c r="O317" s="34" t="n">
        <x:f>-H317</x:f>
        <x:v>-2.250262974247794</x:v>
      </x:c>
      <x:c r="P317" s="34" t="n">
        <x:f>-G317</x:f>
        <x:v>-3.3538747331042624</x:v>
      </x:c>
      <x:c r="Q317" s="34" t="n">
        <x:f>-I317</x:f>
        <x:v>-3.7577150011869365</x:v>
      </x:c>
      <x:c r="R317" s="36" t="n">
        <x:f>YEAR(A317)</x:f>
        <x:v>2022</x:v>
      </x:c>
    </x:row>
    <x:row r="318">
      <x:c r="A318" s="30" t="n">
        <x:v>44648</x:v>
      </x:c>
      <x:c r="B318" s="38" t="n">
        <x:v>4575.52</x:v>
      </x:c>
      <x:c r="C318" s="34" t="n">
        <x:f>(B318/B317-1)*100</x:f>
        <x:v>0.7144963967017803</x:v>
      </x:c>
      <x:c r="D318" s="34" t="n">
        <x:f>Assumptions!$B$4*D317+(1-Assumptions!$B$4)*C317^2</x:f>
        <x:v>1.9691642764150283</x:v>
      </x:c>
      <x:c r="E318" s="34" t="n">
        <x:f>SQRT(D318)</x:f>
        <x:v>1.4032691389804839</x:v>
      </x:c>
      <x:c r="F318" s="34" t="n">
        <x:f>-Assumptions!$B$7*E318</x:f>
        <x:v>2.3081723328411194</x:v>
      </x:c>
      <x:c r="G318" s="34" t="n">
        <x:f>-Assumptions!$B$8*E318</x:f>
        <x:v>3.264492178174369</x:v>
      </x:c>
      <x:c r="H318" s="34" t="n">
        <x:f>-Assumptions!$B$9*E318</x:f>
        <x:v>2.190292262784685</x:v>
      </x:c>
      <x:c r="I318" s="34" t="n">
        <x:f>-Assumptions!$B$10*E318</x:f>
        <x:v>3.657569887182157</x:v>
      </x:c>
      <x:c r="J318" s="36" t="n">
        <x:f>IF(C318&lt;-F318,1,0)</x:f>
        <x:v>0</x:v>
      </x:c>
      <x:c r="K318" s="36" t="n">
        <x:f>IF(C318&lt;-G318,1,0)</x:f>
        <x:v>0</x:v>
      </x:c>
      <x:c r="L318" s="36" t="n">
        <x:f>IF(C318&lt;-H318,1,0)</x:f>
        <x:v>0</x:v>
      </x:c>
      <x:c r="M318" s="36" t="n">
        <x:f>IF(C318&lt;-I318,1,0)</x:f>
        <x:v>0</x:v>
      </x:c>
      <x:c r="N318" s="34" t="n">
        <x:f>-F318</x:f>
        <x:v>-2.3081723328411194</x:v>
      </x:c>
      <x:c r="O318" s="34" t="n">
        <x:f>-H318</x:f>
        <x:v>-2.190292262784685</x:v>
      </x:c>
      <x:c r="P318" s="34" t="n">
        <x:f>-G318</x:f>
        <x:v>-3.264492178174369</x:v>
      </x:c>
      <x:c r="Q318" s="34" t="n">
        <x:f>-I318</x:f>
        <x:v>-3.657569887182157</x:v>
      </x:c>
      <x:c r="R318" s="36" t="n">
        <x:f>YEAR(A318)</x:f>
        <x:v>2022</x:v>
      </x:c>
    </x:row>
    <x:row r="319">
      <x:c r="A319" s="30" t="n">
        <x:v>44649</x:v>
      </x:c>
      <x:c r="B319" s="38" t="n">
        <x:v>4631.6</x:v>
      </x:c>
      <x:c r="C319" s="34" t="n">
        <x:f>(B319/B318-1)*100</x:f>
        <x:v>1.2256530405287291</x:v>
      </x:c>
      <x:c r="D319" s="34" t="n">
        <x:f>Assumptions!$B$4*D318+(1-Assumptions!$B$4)*C318^2</x:f>
        <x:v>1.8816447258841162</x:v>
      </x:c>
      <x:c r="E319" s="34" t="n">
        <x:f>SQRT(D319)</x:f>
        <x:v>1.3717305587775306</x:v>
      </x:c>
      <x:c r="F319" s="34" t="n">
        <x:f>-Assumptions!$B$7*E319</x:f>
        <x:v>2.2562959848053916</x:v>
      </x:c>
      <x:c r="G319" s="34" t="n">
        <x:f>-Assumptions!$B$8*E319</x:f>
        <x:v>3.1911224691689624</x:v>
      </x:c>
      <x:c r="H319" s="34" t="n">
        <x:f>-Assumptions!$B$9*E319</x:f>
        <x:v>2.141065278253456</x:v>
      </x:c>
      <x:c r="I319" s="34" t="n">
        <x:f>-Assumptions!$B$10*E319</x:f>
        <x:v>3.5753657268892787</x:v>
      </x:c>
      <x:c r="J319" s="36" t="n">
        <x:f>IF(C319&lt;-F319,1,0)</x:f>
        <x:v>0</x:v>
      </x:c>
      <x:c r="K319" s="36" t="n">
        <x:f>IF(C319&lt;-G319,1,0)</x:f>
        <x:v>0</x:v>
      </x:c>
      <x:c r="L319" s="36" t="n">
        <x:f>IF(C319&lt;-H319,1,0)</x:f>
        <x:v>0</x:v>
      </x:c>
      <x:c r="M319" s="36" t="n">
        <x:f>IF(C319&lt;-I319,1,0)</x:f>
        <x:v>0</x:v>
      </x:c>
      <x:c r="N319" s="34" t="n">
        <x:f>-F319</x:f>
        <x:v>-2.2562959848053916</x:v>
      </x:c>
      <x:c r="O319" s="34" t="n">
        <x:f>-H319</x:f>
        <x:v>-2.141065278253456</x:v>
      </x:c>
      <x:c r="P319" s="34" t="n">
        <x:f>-G319</x:f>
        <x:v>-3.1911224691689624</x:v>
      </x:c>
      <x:c r="Q319" s="34" t="n">
        <x:f>-I319</x:f>
        <x:v>-3.5753657268892787</x:v>
      </x:c>
      <x:c r="R319" s="36" t="n">
        <x:f>YEAR(A319)</x:f>
        <x:v>2022</x:v>
      </x:c>
    </x:row>
    <x:row r="320">
      <x:c r="A320" s="30" t="n">
        <x:v>44650</x:v>
      </x:c>
      <x:c r="B320" s="38" t="n">
        <x:v>4602.45</x:v>
      </x:c>
      <x:c r="C320" s="34" t="n">
        <x:f>(B320/B319-1)*100</x:f>
        <x:v>-0.6293721392175655</x:v>
      </x:c>
      <x:c r="D320" s="34" t="n">
        <x:f>Assumptions!$B$4*D319+(1-Assumptions!$B$4)*C319^2</x:f>
        <x:v>1.8588795648765084</x:v>
      </x:c>
      <x:c r="E320" s="34" t="n">
        <x:f>SQRT(D320)</x:f>
        <x:v>1.3634073363732895</x:v>
      </x:c>
      <x:c r="F320" s="34" t="n">
        <x:f>-Assumptions!$B$7*E320</x:f>
        <x:v>2.2426055022458518</x:v>
      </x:c>
      <x:c r="G320" s="34" t="n">
        <x:f>-Assumptions!$B$8*E320</x:f>
        <x:v>3.1717597584236867</x:v>
      </x:c>
      <x:c r="H320" s="34" t="n">
        <x:f>-Assumptions!$B$9*E320</x:f>
        <x:v>2.128073978774947</x:v>
      </x:c>
      <x:c r="I320" s="34" t="n">
        <x:f>-Assumptions!$B$10*E320</x:f>
        <x:v>3.5536715509223007</x:v>
      </x:c>
      <x:c r="J320" s="36" t="n">
        <x:f>IF(C320&lt;-F320,1,0)</x:f>
        <x:v>0</x:v>
      </x:c>
      <x:c r="K320" s="36" t="n">
        <x:f>IF(C320&lt;-G320,1,0)</x:f>
        <x:v>0</x:v>
      </x:c>
      <x:c r="L320" s="36" t="n">
        <x:f>IF(C320&lt;-H320,1,0)</x:f>
        <x:v>0</x:v>
      </x:c>
      <x:c r="M320" s="36" t="n">
        <x:f>IF(C320&lt;-I320,1,0)</x:f>
        <x:v>0</x:v>
      </x:c>
      <x:c r="N320" s="34" t="n">
        <x:f>-F320</x:f>
        <x:v>-2.2426055022458518</x:v>
      </x:c>
      <x:c r="O320" s="34" t="n">
        <x:f>-H320</x:f>
        <x:v>-2.128073978774947</x:v>
      </x:c>
      <x:c r="P320" s="34" t="n">
        <x:f>-G320</x:f>
        <x:v>-3.1717597584236867</x:v>
      </x:c>
      <x:c r="Q320" s="34" t="n">
        <x:f>-I320</x:f>
        <x:v>-3.5536715509223007</x:v>
      </x:c>
      <x:c r="R320" s="36" t="n">
        <x:f>YEAR(A320)</x:f>
        <x:v>2022</x:v>
      </x:c>
    </x:row>
    <x:row r="321">
      <x:c r="A321" s="30" t="n">
        <x:v>44651</x:v>
      </x:c>
      <x:c r="B321" s="38" t="n">
        <x:v>4530.41</x:v>
      </x:c>
      <x:c r="C321" s="34" t="n">
        <x:f>(B321/B320-1)*100</x:f>
        <x:v>-1.5652532890091164</x:v>
      </x:c>
      <x:c r="D321" s="34" t="n">
        <x:f>Assumptions!$B$4*D320+(1-Assumptions!$B$4)*C320^2</x:f>
        <x:v>1.7711133483613155</x:v>
      </x:c>
      <x:c r="E321" s="34" t="n">
        <x:f>SQRT(D321)</x:f>
        <x:v>1.330831825724541</x:v>
      </x:c>
      <x:c r="F321" s="34" t="n">
        <x:f>-Assumptions!$B$7*E321</x:f>
        <x:v>2.189023555405462</x:v>
      </x:c>
      <x:c r="G321" s="34" t="n">
        <x:f>-Assumptions!$B$8*E321</x:f>
        <x:v>3.0959777884801762</x:v>
      </x:c>
      <x:c r="H321" s="34" t="n">
        <x:f>-Assumptions!$B$9*E321</x:f>
        <x:v>2.07722850163287</x:v>
      </x:c>
      <x:c r="I321" s="34" t="n">
        <x:f>-Assumptions!$B$10*E321</x:f>
        <x:v>3.468764669199663</x:v>
      </x:c>
      <x:c r="J321" s="36" t="n">
        <x:f>IF(C321&lt;-F321,1,0)</x:f>
        <x:v>0</x:v>
      </x:c>
      <x:c r="K321" s="36" t="n">
        <x:f>IF(C321&lt;-G321,1,0)</x:f>
        <x:v>0</x:v>
      </x:c>
      <x:c r="L321" s="36" t="n">
        <x:f>IF(C321&lt;-H321,1,0)</x:f>
        <x:v>0</x:v>
      </x:c>
      <x:c r="M321" s="36" t="n">
        <x:f>IF(C321&lt;-I321,1,0)</x:f>
        <x:v>0</x:v>
      </x:c>
      <x:c r="N321" s="34" t="n">
        <x:f>-F321</x:f>
        <x:v>-2.189023555405462</x:v>
      </x:c>
      <x:c r="O321" s="34" t="n">
        <x:f>-H321</x:f>
        <x:v>-2.07722850163287</x:v>
      </x:c>
      <x:c r="P321" s="34" t="n">
        <x:f>-G321</x:f>
        <x:v>-3.0959777884801762</x:v>
      </x:c>
      <x:c r="Q321" s="34" t="n">
        <x:f>-I321</x:f>
        <x:v>-3.468764669199663</x:v>
      </x:c>
      <x:c r="R321" s="36" t="n">
        <x:f>YEAR(A321)</x:f>
        <x:v>2022</x:v>
      </x:c>
    </x:row>
    <x:row r="322">
      <x:c r="A322" s="30" t="n">
        <x:v>44652</x:v>
      </x:c>
      <x:c r="B322" s="38" t="n">
        <x:v>4545.86</x:v>
      </x:c>
      <x:c r="C322" s="34" t="n">
        <x:f>(B322/B321-1)*100</x:f>
        <x:v>0.34102873691344016</x:v>
      </x:c>
      <x:c r="D322" s="34" t="n">
        <x:f>Assumptions!$B$4*D321+(1-Assumptions!$B$4)*C321^2</x:f>
        <x:v>1.811847618984868</x:v>
      </x:c>
      <x:c r="E322" s="34" t="n">
        <x:f>SQRT(D322)</x:f>
        <x:v>1.346048891751287</x:v>
      </x:c>
      <x:c r="F322" s="34" t="n">
        <x:f>-Assumptions!$B$7*E322</x:f>
        <x:v>2.214053401651115</x:v>
      </x:c>
      <x:c r="G322" s="34" t="n">
        <x:f>-Assumptions!$B$8*E322</x:f>
        <x:v>3.1313779776806356</x:v>
      </x:c>
      <x:c r="H322" s="34" t="n">
        <x:f>-Assumptions!$B$9*E322</x:f>
        <x:v>2.100980055098145</x:v>
      </x:c>
      <x:c r="I322" s="34" t="n">
        <x:f>-Assumptions!$B$10*E322</x:f>
        <x:v>3.5084273974138136</x:v>
      </x:c>
      <x:c r="J322" s="36" t="n">
        <x:f>IF(C322&lt;-F322,1,0)</x:f>
        <x:v>0</x:v>
      </x:c>
      <x:c r="K322" s="36" t="n">
        <x:f>IF(C322&lt;-G322,1,0)</x:f>
        <x:v>0</x:v>
      </x:c>
      <x:c r="L322" s="36" t="n">
        <x:f>IF(C322&lt;-H322,1,0)</x:f>
        <x:v>0</x:v>
      </x:c>
      <x:c r="M322" s="36" t="n">
        <x:f>IF(C322&lt;-I322,1,0)</x:f>
        <x:v>0</x:v>
      </x:c>
      <x:c r="N322" s="34" t="n">
        <x:f>-F322</x:f>
        <x:v>-2.214053401651115</x:v>
      </x:c>
      <x:c r="O322" s="34" t="n">
        <x:f>-H322</x:f>
        <x:v>-2.100980055098145</x:v>
      </x:c>
      <x:c r="P322" s="34" t="n">
        <x:f>-G322</x:f>
        <x:v>-3.1313779776806356</x:v>
      </x:c>
      <x:c r="Q322" s="34" t="n">
        <x:f>-I322</x:f>
        <x:v>-3.5084273974138136</x:v>
      </x:c>
      <x:c r="R322" s="36" t="n">
        <x:f>YEAR(A322)</x:f>
        <x:v>2022</x:v>
      </x:c>
    </x:row>
    <x:row r="323">
      <x:c r="A323" s="30" t="n">
        <x:v>44655</x:v>
      </x:c>
      <x:c r="B323" s="38" t="n">
        <x:v>4582.64</x:v>
      </x:c>
      <x:c r="C323" s="34" t="n">
        <x:f>(B323/B322-1)*100</x:f>
        <x:v>0.80908782936564</x:v>
      </x:c>
      <x:c r="D323" s="34" t="n">
        <x:f>Assumptions!$B$4*D322+(1-Assumptions!$B$4)*C322^2</x:f>
        <x:v>1.7101147978098223</x:v>
      </x:c>
      <x:c r="E323" s="34" t="n">
        <x:f>SQRT(D323)</x:f>
        <x:v>1.3077135763651848</x:v>
      </x:c>
      <x:c r="F323" s="34" t="n">
        <x:f>-Assumptions!$B$7*E323</x:f>
        <x:v>2.150997419097956</x:v>
      </x:c>
      <x:c r="G323" s="34" t="n">
        <x:f>-Assumptions!$B$8*E323</x:f>
        <x:v>3.042196698231492</x:v>
      </x:c>
      <x:c r="H323" s="34" t="n">
        <x:f>-Assumptions!$B$9*E323</x:f>
        <x:v>2.041144388261922</x:v>
      </x:c>
      <x:c r="I323" s="34" t="n">
        <x:f>-Assumptions!$B$10*E323</x:f>
        <x:v>3.408507794483112</x:v>
      </x:c>
      <x:c r="J323" s="36" t="n">
        <x:f>IF(C323&lt;-F323,1,0)</x:f>
        <x:v>0</x:v>
      </x:c>
      <x:c r="K323" s="36" t="n">
        <x:f>IF(C323&lt;-G323,1,0)</x:f>
        <x:v>0</x:v>
      </x:c>
      <x:c r="L323" s="36" t="n">
        <x:f>IF(C323&lt;-H323,1,0)</x:f>
        <x:v>0</x:v>
      </x:c>
      <x:c r="M323" s="36" t="n">
        <x:f>IF(C323&lt;-I323,1,0)</x:f>
        <x:v>0</x:v>
      </x:c>
      <x:c r="N323" s="34" t="n">
        <x:f>-F323</x:f>
        <x:v>-2.150997419097956</x:v>
      </x:c>
      <x:c r="O323" s="34" t="n">
        <x:f>-H323</x:f>
        <x:v>-2.041144388261922</x:v>
      </x:c>
      <x:c r="P323" s="34" t="n">
        <x:f>-G323</x:f>
        <x:v>-3.042196698231492</x:v>
      </x:c>
      <x:c r="Q323" s="34" t="n">
        <x:f>-I323</x:f>
        <x:v>-3.408507794483112</x:v>
      </x:c>
      <x:c r="R323" s="36" t="n">
        <x:f>YEAR(A323)</x:f>
        <x:v>2022</x:v>
      </x:c>
    </x:row>
    <x:row r="324">
      <x:c r="A324" s="30" t="n">
        <x:v>44656</x:v>
      </x:c>
      <x:c r="B324" s="38" t="n">
        <x:v>4525.12</x:v>
      </x:c>
      <x:c r="C324" s="34" t="n">
        <x:f>(B324/B323-1)*100</x:f>
        <x:v>-1.2551716914267819</x:v>
      </x:c>
      <x:c r="D324" s="34" t="n">
        <x:f>Assumptions!$B$4*D323+(1-Assumptions!$B$4)*C323^2</x:f>
        <x:v>1.646785296878889</x:v>
      </x:c>
      <x:c r="E324" s="34" t="n">
        <x:f>SQRT(D324)</x:f>
        <x:v>1.283271326290309</x:v>
      </x:c>
      <x:c r="F324" s="34" t="n">
        <x:f>-Assumptions!$B$7*E324</x:f>
        <x:v>2.110793495411442</x:v>
      </x:c>
      <x:c r="G324" s="34" t="n">
        <x:f>-Assumptions!$B$8*E324</x:f>
        <x:v>2.9853355217330297</x:v>
      </x:c>
      <x:c r="H324" s="34" t="n">
        <x:f>-Assumptions!$B$9*E324</x:f>
        <x:v>2.002993708725889</x:v>
      </x:c>
      <x:c r="I324" s="34" t="n">
        <x:f>-Assumptions!$B$10*E324</x:f>
        <x:v>3.344799960137241</x:v>
      </x:c>
      <x:c r="J324" s="36" t="n">
        <x:f>IF(C324&lt;-F324,1,0)</x:f>
        <x:v>0</x:v>
      </x:c>
      <x:c r="K324" s="36" t="n">
        <x:f>IF(C324&lt;-G324,1,0)</x:f>
        <x:v>0</x:v>
      </x:c>
      <x:c r="L324" s="36" t="n">
        <x:f>IF(C324&lt;-H324,1,0)</x:f>
        <x:v>0</x:v>
      </x:c>
      <x:c r="M324" s="36" t="n">
        <x:f>IF(C324&lt;-I324,1,0)</x:f>
        <x:v>0</x:v>
      </x:c>
      <x:c r="N324" s="34" t="n">
        <x:f>-F324</x:f>
        <x:v>-2.110793495411442</x:v>
      </x:c>
      <x:c r="O324" s="34" t="n">
        <x:f>-H324</x:f>
        <x:v>-2.002993708725889</x:v>
      </x:c>
      <x:c r="P324" s="34" t="n">
        <x:f>-G324</x:f>
        <x:v>-2.9853355217330297</x:v>
      </x:c>
      <x:c r="Q324" s="34" t="n">
        <x:f>-I324</x:f>
        <x:v>-3.344799960137241</x:v>
      </x:c>
      <x:c r="R324" s="36" t="n">
        <x:f>YEAR(A324)</x:f>
        <x:v>2022</x:v>
      </x:c>
    </x:row>
    <x:row r="325">
      <x:c r="A325" s="30" t="n">
        <x:v>44657</x:v>
      </x:c>
      <x:c r="B325" s="38" t="n">
        <x:v>4481.15</x:v>
      </x:c>
      <x:c r="C325" s="34" t="n">
        <x:f>(B325/B324-1)*100</x:f>
        <x:v>-0.9716869386889204</x:v>
      </x:c>
      <x:c r="D325" s="34" t="n">
        <x:f>Assumptions!$B$4*D324+(1-Assumptions!$B$4)*C324^2</x:f>
        <x:v>1.6425055375637057</x:v>
      </x:c>
      <x:c r="E325" s="34" t="n">
        <x:f>SQRT(D325)</x:f>
        <x:v>1.2816027222051714</x:v>
      </x:c>
      <x:c r="F325" s="34" t="n">
        <x:f>-Assumptions!$B$7*E325</x:f>
        <x:v>2.108048885930057</x:v>
      </x:c>
      <x:c r="G325" s="34" t="n">
        <x:f>-Assumptions!$B$8*E325</x:f>
        <x:v>2.981453768166954</x:v>
      </x:c>
      <x:c r="H325" s="34" t="n">
        <x:f>-Assumptions!$B$9*E325</x:f>
        <x:v>2.000389268482884</x:v>
      </x:c>
      <x:c r="I325" s="34" t="n">
        <x:f>-Assumptions!$B$10*E325</x:f>
        <x:v>3.34045080437952</x:v>
      </x:c>
      <x:c r="J325" s="36" t="n">
        <x:f>IF(C325&lt;-F325,1,0)</x:f>
        <x:v>0</x:v>
      </x:c>
      <x:c r="K325" s="36" t="n">
        <x:f>IF(C325&lt;-G325,1,0)</x:f>
        <x:v>0</x:v>
      </x:c>
      <x:c r="L325" s="36" t="n">
        <x:f>IF(C325&lt;-H325,1,0)</x:f>
        <x:v>0</x:v>
      </x:c>
      <x:c r="M325" s="36" t="n">
        <x:f>IF(C325&lt;-I325,1,0)</x:f>
        <x:v>0</x:v>
      </x:c>
      <x:c r="N325" s="34" t="n">
        <x:f>-F325</x:f>
        <x:v>-2.108048885930057</x:v>
      </x:c>
      <x:c r="O325" s="34" t="n">
        <x:f>-H325</x:f>
        <x:v>-2.000389268482884</x:v>
      </x:c>
      <x:c r="P325" s="34" t="n">
        <x:f>-G325</x:f>
        <x:v>-2.981453768166954</x:v>
      </x:c>
      <x:c r="Q325" s="34" t="n">
        <x:f>-I325</x:f>
        <x:v>-3.34045080437952</x:v>
      </x:c>
      <x:c r="R325" s="36" t="n">
        <x:f>YEAR(A325)</x:f>
        <x:v>2022</x:v>
      </x:c>
    </x:row>
    <x:row r="326">
      <x:c r="A326" s="30" t="n">
        <x:v>44658</x:v>
      </x:c>
      <x:c r="B326" s="38" t="n">
        <x:v>4500.21</x:v>
      </x:c>
      <x:c r="C326" s="34" t="n">
        <x:f>(B326/B325-1)*100</x:f>
        <x:v>0.42533724601945266</x:v>
      </x:c>
      <x:c r="D326" s="34" t="n">
        <x:f>Assumptions!$B$4*D325+(1-Assumptions!$B$4)*C325^2</x:f>
        <x:v>1.600605735719002</x:v>
      </x:c>
      <x:c r="E326" s="34" t="n">
        <x:f>SQRT(D326)</x:f>
        <x:v>1.2651504794762567</x:v>
      </x:c>
      <x:c r="F326" s="34" t="n">
        <x:f>-Assumptions!$B$7*E326</x:f>
        <x:v>2.0809873548059157</x:v>
      </x:c>
      <x:c r="G326" s="34" t="n">
        <x:f>-Assumptions!$B$8*E326</x:f>
        <x:v>2.9431801282713397</x:v>
      </x:c>
      <x:c r="H326" s="34" t="n">
        <x:f>-Assumptions!$B$9*E326</x:f>
        <x:v>1.9747097897901664</x:v>
      </x:c>
      <x:c r="I326" s="34" t="n">
        <x:f>-Assumptions!$B$10*E326</x:f>
        <x:v>3.297568633090833</x:v>
      </x:c>
      <x:c r="J326" s="36" t="n">
        <x:f>IF(C326&lt;-F326,1,0)</x:f>
        <x:v>0</x:v>
      </x:c>
      <x:c r="K326" s="36" t="n">
        <x:f>IF(C326&lt;-G326,1,0)</x:f>
        <x:v>0</x:v>
      </x:c>
      <x:c r="L326" s="36" t="n">
        <x:f>IF(C326&lt;-H326,1,0)</x:f>
        <x:v>0</x:v>
      </x:c>
      <x:c r="M326" s="36" t="n">
        <x:f>IF(C326&lt;-I326,1,0)</x:f>
        <x:v>0</x:v>
      </x:c>
      <x:c r="N326" s="34" t="n">
        <x:f>-F326</x:f>
        <x:v>-2.0809873548059157</x:v>
      </x:c>
      <x:c r="O326" s="34" t="n">
        <x:f>-H326</x:f>
        <x:v>-1.9747097897901664</x:v>
      </x:c>
      <x:c r="P326" s="34" t="n">
        <x:f>-G326</x:f>
        <x:v>-2.9431801282713397</x:v>
      </x:c>
      <x:c r="Q326" s="34" t="n">
        <x:f>-I326</x:f>
        <x:v>-3.297568633090833</x:v>
      </x:c>
      <x:c r="R326" s="36" t="n">
        <x:f>YEAR(A326)</x:f>
        <x:v>2022</x:v>
      </x:c>
    </x:row>
    <x:row r="327">
      <x:c r="A327" s="30" t="n">
        <x:v>44659</x:v>
      </x:c>
      <x:c r="B327" s="38" t="n">
        <x:v>4488.28</x:v>
      </x:c>
      <x:c r="C327" s="34" t="n">
        <x:f>(B327/B326-1)*100</x:f>
        <x:v>-0.26509873983658894</x:v>
      </x:c>
      <x:c r="D327" s="34" t="n">
        <x:f>Assumptions!$B$4*D326+(1-Assumptions!$B$4)*C326^2</x:f>
        <x:v>1.5154240979469464</x:v>
      </x:c>
      <x:c r="E327" s="34" t="n">
        <x:f>SQRT(D327)</x:f>
        <x:v>1.2310256284687766</x:v>
      </x:c>
      <x:c r="F327" s="34" t="n">
        <x:f>-Assumptions!$B$7*E327</x:f>
        <x:v>2.0248569698570833</x:v>
      </x:c>
      <x:c r="G327" s="34" t="n">
        <x:f>-Assumptions!$B$8*E327</x:f>
        <x:v>2.863793853678128</x:v>
      </x:c>
      <x:c r="H327" s="34" t="n">
        <x:f>-Assumptions!$B$9*E327</x:f>
        <x:v>1.921446025160762</x:v>
      </x:c>
      <x:c r="I327" s="34" t="n">
        <x:f>-Assumptions!$B$10*E327</x:f>
        <x:v>3.2086234521683634</x:v>
      </x:c>
      <x:c r="J327" s="36" t="n">
        <x:f>IF(C327&lt;-F327,1,0)</x:f>
        <x:v>0</x:v>
      </x:c>
      <x:c r="K327" s="36" t="n">
        <x:f>IF(C327&lt;-G327,1,0)</x:f>
        <x:v>0</x:v>
      </x:c>
      <x:c r="L327" s="36" t="n">
        <x:f>IF(C327&lt;-H327,1,0)</x:f>
        <x:v>0</x:v>
      </x:c>
      <x:c r="M327" s="36" t="n">
        <x:f>IF(C327&lt;-I327,1,0)</x:f>
        <x:v>0</x:v>
      </x:c>
      <x:c r="N327" s="34" t="n">
        <x:f>-F327</x:f>
        <x:v>-2.0248569698570833</x:v>
      </x:c>
      <x:c r="O327" s="34" t="n">
        <x:f>-H327</x:f>
        <x:v>-1.921446025160762</x:v>
      </x:c>
      <x:c r="P327" s="34" t="n">
        <x:f>-G327</x:f>
        <x:v>-2.863793853678128</x:v>
      </x:c>
      <x:c r="Q327" s="34" t="n">
        <x:f>-I327</x:f>
        <x:v>-3.2086234521683634</x:v>
      </x:c>
      <x:c r="R327" s="36" t="n">
        <x:f>YEAR(A327)</x:f>
        <x:v>2022</x:v>
      </x:c>
    </x:row>
    <x:row r="328">
      <x:c r="A328" s="30" t="n">
        <x:v>44662</x:v>
      </x:c>
      <x:c r="B328" s="38" t="n">
        <x:v>4412.53</x:v>
      </x:c>
      <x:c r="C328" s="34" t="n">
        <x:f>(B328/B327-1)*100</x:f>
        <x:v>-1.6877289295676778</x:v>
      </x:c>
      <x:c r="D328" s="34" t="n">
        <x:f>Assumptions!$B$4*D327+(1-Assumptions!$B$4)*C327^2</x:f>
        <x:v>1.4287152925819064</x:v>
      </x:c>
      <x:c r="E328" s="34" t="n">
        <x:f>SQRT(D328)</x:f>
        <x:v>1.1952887904527116</x:v>
      </x:c>
      <x:c r="F328" s="34" t="n">
        <x:f>-Assumptions!$B$7*E328</x:f>
        <x:v>1.9660751022305818</x:v>
      </x:c>
      <x:c r="G328" s="34" t="n">
        <x:f>-Assumptions!$B$8*E328</x:f>
        <x:v>2.780657536534513</x:v>
      </x:c>
      <x:c r="H328" s="34" t="n">
        <x:f>-Assumptions!$B$9*E328</x:f>
        <x:v>1.8656661910372485</x:v>
      </x:c>
      <x:c r="I328" s="34" t="n">
        <x:f>-Assumptions!$B$10*E328</x:f>
        <x:v>3.1154766858355485</x:v>
      </x:c>
      <x:c r="J328" s="36" t="n">
        <x:f>IF(C328&lt;-F328,1,0)</x:f>
        <x:v>0</x:v>
      </x:c>
      <x:c r="K328" s="36" t="n">
        <x:f>IF(C328&lt;-G328,1,0)</x:f>
        <x:v>0</x:v>
      </x:c>
      <x:c r="L328" s="36" t="n">
        <x:f>IF(C328&lt;-H328,1,0)</x:f>
        <x:v>0</x:v>
      </x:c>
      <x:c r="M328" s="36" t="n">
        <x:f>IF(C328&lt;-I328,1,0)</x:f>
        <x:v>0</x:v>
      </x:c>
      <x:c r="N328" s="34" t="n">
        <x:f>-F328</x:f>
        <x:v>-1.9660751022305818</x:v>
      </x:c>
      <x:c r="O328" s="34" t="n">
        <x:f>-H328</x:f>
        <x:v>-1.8656661910372485</x:v>
      </x:c>
      <x:c r="P328" s="34" t="n">
        <x:f>-G328</x:f>
        <x:v>-2.780657536534513</x:v>
      </x:c>
      <x:c r="Q328" s="34" t="n">
        <x:f>-I328</x:f>
        <x:v>-3.1154766858355485</x:v>
      </x:c>
      <x:c r="R328" s="36" t="n">
        <x:f>YEAR(A328)</x:f>
        <x:v>2022</x:v>
      </x:c>
    </x:row>
    <x:row r="329">
      <x:c r="A329" s="30" t="n">
        <x:v>44663</x:v>
      </x:c>
      <x:c r="B329" s="38" t="n">
        <x:v>4397.45</x:v>
      </x:c>
      <x:c r="C329" s="34" t="n">
        <x:f>(B329/B328-1)*100</x:f>
        <x:v>-0.3417540503973915</x:v>
      </x:c>
      <x:c r="D329" s="34" t="n">
        <x:f>Assumptions!$B$4*D328+(1-Assumptions!$B$4)*C328^2</x:f>
        <x:v>1.5138981114089716</x:v>
      </x:c>
      <x:c r="E329" s="34" t="n">
        <x:f>SQRT(D329)</x:f>
        <x:v>1.230405669447671</x:v>
      </x:c>
      <x:c r="F329" s="34" t="n">
        <x:f>-Assumptions!$B$7*E329</x:f>
        <x:v>2.0238372280126566</x:v>
      </x:c>
      <x:c r="G329" s="34" t="n">
        <x:f>-Assumptions!$B$8*E329</x:f>
        <x:v>2.8623516133273865</x:v>
      </x:c>
      <x:c r="H329" s="34" t="n">
        <x:f>-Assumptions!$B$9*E329</x:f>
        <x:v>1.9204783622873678</x:v>
      </x:c>
      <x:c r="I329" s="34" t="n">
        <x:f>-Assumptions!$B$10*E329</x:f>
        <x:v>3.2070075515660528</x:v>
      </x:c>
      <x:c r="J329" s="36" t="n">
        <x:f>IF(C329&lt;-F329,1,0)</x:f>
        <x:v>0</x:v>
      </x:c>
      <x:c r="K329" s="36" t="n">
        <x:f>IF(C329&lt;-G329,1,0)</x:f>
        <x:v>0</x:v>
      </x:c>
      <x:c r="L329" s="36" t="n">
        <x:f>IF(C329&lt;-H329,1,0)</x:f>
        <x:v>0</x:v>
      </x:c>
      <x:c r="M329" s="36" t="n">
        <x:f>IF(C329&lt;-I329,1,0)</x:f>
        <x:v>0</x:v>
      </x:c>
      <x:c r="N329" s="34" t="n">
        <x:f>-F329</x:f>
        <x:v>-2.0238372280126566</x:v>
      </x:c>
      <x:c r="O329" s="34" t="n">
        <x:f>-H329</x:f>
        <x:v>-1.9204783622873678</x:v>
      </x:c>
      <x:c r="P329" s="34" t="n">
        <x:f>-G329</x:f>
        <x:v>-2.8623516133273865</x:v>
      </x:c>
      <x:c r="Q329" s="34" t="n">
        <x:f>-I329</x:f>
        <x:v>-3.2070075515660528</x:v>
      </x:c>
      <x:c r="R329" s="36" t="n">
        <x:f>YEAR(A329)</x:f>
        <x:v>2022</x:v>
      </x:c>
    </x:row>
    <x:row r="330">
      <x:c r="A330" s="30" t="n">
        <x:v>44664</x:v>
      </x:c>
      <x:c r="B330" s="38" t="n">
        <x:v>4446.59</x:v>
      </x:c>
      <x:c r="C330" s="34" t="n">
        <x:f>(B330/B329-1)*100</x:f>
        <x:v>1.1174658040455254</x:v>
      </x:c>
      <x:c r="D330" s="34" t="n">
        <x:f>Assumptions!$B$4*D329+(1-Assumptions!$B$4)*C329^2</x:f>
        <x:v>1.4300719745822146</x:v>
      </x:c>
      <x:c r="E330" s="34" t="n">
        <x:f>SQRT(D330)</x:f>
        <x:v>1.1958561680161266</x:v>
      </x:c>
      <x:c r="F330" s="34" t="n">
        <x:f>-Assumptions!$B$7*E330</x:f>
        <x:v>1.9670083552736157</x:v>
      </x:c>
      <x:c r="G330" s="34" t="n">
        <x:f>-Assumptions!$B$8*E330</x:f>
        <x:v>2.781977454122942</x:v>
      </x:c>
      <x:c r="H330" s="34" t="n">
        <x:f>-Assumptions!$B$9*E330</x:f>
        <x:v>1.866551782156375</x:v>
      </x:c>
      <x:c r="I330" s="34" t="n">
        <x:f>-Assumptions!$B$10*E330</x:f>
        <x:v>3.116955534784024</x:v>
      </x:c>
      <x:c r="J330" s="36" t="n">
        <x:f>IF(C330&lt;-F330,1,0)</x:f>
        <x:v>0</x:v>
      </x:c>
      <x:c r="K330" s="36" t="n">
        <x:f>IF(C330&lt;-G330,1,0)</x:f>
        <x:v>0</x:v>
      </x:c>
      <x:c r="L330" s="36" t="n">
        <x:f>IF(C330&lt;-H330,1,0)</x:f>
        <x:v>0</x:v>
      </x:c>
      <x:c r="M330" s="36" t="n">
        <x:f>IF(C330&lt;-I330,1,0)</x:f>
        <x:v>0</x:v>
      </x:c>
      <x:c r="N330" s="34" t="n">
        <x:f>-F330</x:f>
        <x:v>-1.9670083552736157</x:v>
      </x:c>
      <x:c r="O330" s="34" t="n">
        <x:f>-H330</x:f>
        <x:v>-1.866551782156375</x:v>
      </x:c>
      <x:c r="P330" s="34" t="n">
        <x:f>-G330</x:f>
        <x:v>-2.781977454122942</x:v>
      </x:c>
      <x:c r="Q330" s="34" t="n">
        <x:f>-I330</x:f>
        <x:v>-3.116955534784024</x:v>
      </x:c>
      <x:c r="R330" s="36" t="n">
        <x:f>YEAR(A330)</x:f>
        <x:v>2022</x:v>
      </x:c>
    </x:row>
    <x:row r="331">
      <x:c r="A331" s="30" t="n">
        <x:v>44665</x:v>
      </x:c>
      <x:c r="B331" s="38" t="n">
        <x:v>4392.59</x:v>
      </x:c>
      <x:c r="C331" s="34" t="n">
        <x:f>(B331/B330-1)*100</x:f>
        <x:v>-1.2144137417661627</x:v>
      </x:c>
      <x:c r="D331" s="34" t="n">
        <x:f>Assumptions!$B$4*D330+(1-Assumptions!$B$4)*C330^2</x:f>
        <x:v>1.4191914454999486</x:v>
      </x:c>
      <x:c r="E331" s="34" t="n">
        <x:f>SQRT(D331)</x:f>
        <x:v>1.191298218541415</x:v>
      </x:c>
      <x:c r="F331" s="34" t="n">
        <x:f>-Assumptions!$B$7*E331</x:f>
        <x:v>1.9595111955486748</x:v>
      </x:c>
      <x:c r="G331" s="34" t="n">
        <x:f>-Assumptions!$B$8*E331</x:f>
        <x:v>2.771374078052461</x:v>
      </x:c>
      <x:c r="H331" s="34" t="n">
        <x:f>-Assumptions!$B$9*E331</x:f>
        <x:v>1.859437507929638</x:v>
      </x:c>
      <x:c r="I331" s="34" t="n">
        <x:f>-Assumptions!$B$10*E331</x:f>
        <x:v>3.105075405532329</x:v>
      </x:c>
      <x:c r="J331" s="36" t="n">
        <x:f>IF(C331&lt;-F331,1,0)</x:f>
        <x:v>0</x:v>
      </x:c>
      <x:c r="K331" s="36" t="n">
        <x:f>IF(C331&lt;-G331,1,0)</x:f>
        <x:v>0</x:v>
      </x:c>
      <x:c r="L331" s="36" t="n">
        <x:f>IF(C331&lt;-H331,1,0)</x:f>
        <x:v>0</x:v>
      </x:c>
      <x:c r="M331" s="36" t="n">
        <x:f>IF(C331&lt;-I331,1,0)</x:f>
        <x:v>0</x:v>
      </x:c>
      <x:c r="N331" s="34" t="n">
        <x:f>-F331</x:f>
        <x:v>-1.9595111955486748</x:v>
      </x:c>
      <x:c r="O331" s="34" t="n">
        <x:f>-H331</x:f>
        <x:v>-1.859437507929638</x:v>
      </x:c>
      <x:c r="P331" s="34" t="n">
        <x:f>-G331</x:f>
        <x:v>-2.771374078052461</x:v>
      </x:c>
      <x:c r="Q331" s="34" t="n">
        <x:f>-I331</x:f>
        <x:v>-3.105075405532329</x:v>
      </x:c>
      <x:c r="R331" s="36" t="n">
        <x:f>YEAR(A331)</x:f>
        <x:v>2022</x:v>
      </x:c>
    </x:row>
    <x:row r="332">
      <x:c r="A332" s="30" t="n">
        <x:v>44669</x:v>
      </x:c>
      <x:c r="B332" s="38" t="n">
        <x:v>4391.69</x:v>
      </x:c>
      <x:c r="C332" s="34" t="n">
        <x:f>(B332/B331-1)*100</x:f>
        <x:v>-0.0204890508788802</x:v>
      </x:c>
      <x:c r="D332" s="34" t="n">
        <x:f>Assumptions!$B$4*D331+(1-Assumptions!$B$4)*C331^2</x:f>
        <x:v>1.4225280029413812</x:v>
      </x:c>
      <x:c r="E332" s="34" t="n">
        <x:f>SQRT(D332)</x:f>
        <x:v>1.1926977835736012</x:v>
      </x:c>
      <x:c r="F332" s="34" t="n">
        <x:f>-Assumptions!$B$7*E332</x:f>
        <x:v>1.9618132751680208</x:v>
      </x:c>
      <x:c r="G332" s="34" t="n">
        <x:f>-Assumptions!$B$8*E332</x:f>
        <x:v>2.7746299531896694</x:v>
      </x:c>
      <x:c r="H332" s="34" t="n">
        <x:f>-Assumptions!$B$9*E332</x:f>
        <x:v>1.861622018638317</x:v>
      </x:c>
      <x:c r="I332" s="34" t="n">
        <x:f>-Assumptions!$B$10*E332</x:f>
        <x:v>3.1087233208000993</x:v>
      </x:c>
      <x:c r="J332" s="36" t="n">
        <x:f>IF(C332&lt;-F332,1,0)</x:f>
        <x:v>0</x:v>
      </x:c>
      <x:c r="K332" s="36" t="n">
        <x:f>IF(C332&lt;-G332,1,0)</x:f>
        <x:v>0</x:v>
      </x:c>
      <x:c r="L332" s="36" t="n">
        <x:f>IF(C332&lt;-H332,1,0)</x:f>
        <x:v>0</x:v>
      </x:c>
      <x:c r="M332" s="36" t="n">
        <x:f>IF(C332&lt;-I332,1,0)</x:f>
        <x:v>0</x:v>
      </x:c>
      <x:c r="N332" s="34" t="n">
        <x:f>-F332</x:f>
        <x:v>-1.9618132751680208</x:v>
      </x:c>
      <x:c r="O332" s="34" t="n">
        <x:f>-H332</x:f>
        <x:v>-1.861622018638317</x:v>
      </x:c>
      <x:c r="P332" s="34" t="n">
        <x:f>-G332</x:f>
        <x:v>-2.7746299531896694</x:v>
      </x:c>
      <x:c r="Q332" s="34" t="n">
        <x:f>-I332</x:f>
        <x:v>-3.1087233208000993</x:v>
      </x:c>
      <x:c r="R332" s="36" t="n">
        <x:f>YEAR(A332)</x:f>
        <x:v>2022</x:v>
      </x:c>
    </x:row>
    <x:row r="333">
      <x:c r="A333" s="30" t="n">
        <x:v>44670</x:v>
      </x:c>
      <x:c r="B333" s="38" t="n">
        <x:v>4462.21</x:v>
      </x:c>
      <x:c r="C333" s="34" t="n">
        <x:f>(B333/B332-1)*100</x:f>
        <x:v>1.6057599693967584</x:v>
      </x:c>
      <x:c r="D333" s="34" t="n">
        <x:f>Assumptions!$B$4*D332+(1-Assumptions!$B$4)*C332^2</x:f>
        <x:v>1.3372015108372532</x:v>
      </x:c>
      <x:c r="E333" s="34" t="n">
        <x:f>SQRT(D333)</x:f>
        <x:v>1.156374295302889</x:v>
      </x:c>
      <x:c r="F333" s="34" t="n">
        <x:f>-Assumptions!$B$7*E333</x:f>
        <x:v>1.9020664537424106</x:v>
      </x:c>
      <x:c r="G333" s="34" t="n">
        <x:f>-Assumptions!$B$8*E333</x:f>
        <x:v>2.690128883473351</x:v>
      </x:c>
      <x:c r="H333" s="34" t="n">
        <x:f>-Assumptions!$B$9*E333</x:f>
        <x:v>1.8049265116206872</x:v>
      </x:c>
      <x:c r="I333" s="34" t="n">
        <x:f>-Assumptions!$B$10*E333</x:f>
        <x:v>3.01404747195125</x:v>
      </x:c>
      <x:c r="J333" s="36" t="n">
        <x:f>IF(C333&lt;-F333,1,0)</x:f>
        <x:v>0</x:v>
      </x:c>
      <x:c r="K333" s="36" t="n">
        <x:f>IF(C333&lt;-G333,1,0)</x:f>
        <x:v>0</x:v>
      </x:c>
      <x:c r="L333" s="36" t="n">
        <x:f>IF(C333&lt;-H333,1,0)</x:f>
        <x:v>0</x:v>
      </x:c>
      <x:c r="M333" s="36" t="n">
        <x:f>IF(C333&lt;-I333,1,0)</x:f>
        <x:v>0</x:v>
      </x:c>
      <x:c r="N333" s="34" t="n">
        <x:f>-F333</x:f>
        <x:v>-1.9020664537424106</x:v>
      </x:c>
      <x:c r="O333" s="34" t="n">
        <x:f>-H333</x:f>
        <x:v>-1.8049265116206872</x:v>
      </x:c>
      <x:c r="P333" s="34" t="n">
        <x:f>-G333</x:f>
        <x:v>-2.690128883473351</x:v>
      </x:c>
      <x:c r="Q333" s="34" t="n">
        <x:f>-I333</x:f>
        <x:v>-3.01404747195125</x:v>
      </x:c>
      <x:c r="R333" s="36" t="n">
        <x:f>YEAR(A333)</x:f>
        <x:v>2022</x:v>
      </x:c>
    </x:row>
    <x:row r="334">
      <x:c r="A334" s="30" t="n">
        <x:v>44671</x:v>
      </x:c>
      <x:c r="B334" s="38" t="n">
        <x:v>4459.45</x:v>
      </x:c>
      <x:c r="C334" s="34" t="n">
        <x:f>(B334/B333-1)*100</x:f>
        <x:v>-0.06185275905885579</x:v>
      </x:c>
      <x:c r="D334" s="34" t="n">
        <x:f>Assumptions!$B$4*D333+(1-Assumptions!$B$4)*C333^2</x:f>
        <x:v>1.4116773249460428</x:v>
      </x:c>
      <x:c r="E334" s="34" t="n">
        <x:f>SQRT(D334)</x:f>
        <x:v>1.1881402799947667</x:v>
      </x:c>
      <x:c r="F334" s="34" t="n">
        <x:f>-Assumptions!$B$7*E334</x:f>
        <x:v>1.9543168488765306</x:v>
      </x:c>
      <x:c r="G334" s="34" t="n">
        <x:f>-Assumptions!$B$8*E334</x:f>
        <x:v>2.764027614428114</x:v>
      </x:c>
      <x:c r="H334" s="34" t="n">
        <x:f>-Assumptions!$B$9*E334</x:f>
        <x:v>1.8545084403880412</x:v>
      </x:c>
      <x:c r="I334" s="34" t="n">
        <x:f>-Assumptions!$B$10*E334</x:f>
        <x:v>3.0968443537597627</x:v>
      </x:c>
      <x:c r="J334" s="36" t="n">
        <x:f>IF(C334&lt;-F334,1,0)</x:f>
        <x:v>0</x:v>
      </x:c>
      <x:c r="K334" s="36" t="n">
        <x:f>IF(C334&lt;-G334,1,0)</x:f>
        <x:v>0</x:v>
      </x:c>
      <x:c r="L334" s="36" t="n">
        <x:f>IF(C334&lt;-H334,1,0)</x:f>
        <x:v>0</x:v>
      </x:c>
      <x:c r="M334" s="36" t="n">
        <x:f>IF(C334&lt;-I334,1,0)</x:f>
        <x:v>0</x:v>
      </x:c>
      <x:c r="N334" s="34" t="n">
        <x:f>-F334</x:f>
        <x:v>-1.9543168488765306</x:v>
      </x:c>
      <x:c r="O334" s="34" t="n">
        <x:f>-H334</x:f>
        <x:v>-1.8545084403880412</x:v>
      </x:c>
      <x:c r="P334" s="34" t="n">
        <x:f>-G334</x:f>
        <x:v>-2.764027614428114</x:v>
      </x:c>
      <x:c r="Q334" s="34" t="n">
        <x:f>-I334</x:f>
        <x:v>-3.0968443537597627</x:v>
      </x:c>
      <x:c r="R334" s="36" t="n">
        <x:f>YEAR(A334)</x:f>
        <x:v>2022</x:v>
      </x:c>
    </x:row>
    <x:row r="335">
      <x:c r="A335" s="30" t="n">
        <x:v>44672</x:v>
      </x:c>
      <x:c r="B335" s="38" t="n">
        <x:v>4393.66</x:v>
      </x:c>
      <x:c r="C335" s="34" t="n">
        <x:f>(B335/B334-1)*100</x:f>
        <x:v>-1.475294038502506</x:v>
      </x:c>
      <x:c r="D335" s="34" t="n">
        <x:f>Assumptions!$B$4*D334+(1-Assumptions!$B$4)*C334^2</x:f>
        <x:v>1.3272062312774717</x:v>
      </x:c>
      <x:c r="E335" s="34" t="n">
        <x:f>SQRT(D335)</x:f>
        <x:v>1.1520443703596974</x:v>
      </x:c>
      <x:c r="F335" s="34" t="n">
        <x:f>-Assumptions!$B$7*E335</x:f>
        <x:v>1.8949443609951742</x:v>
      </x:c>
      <x:c r="G335" s="34" t="n">
        <x:f>-Assumptions!$B$8*E335</x:f>
        <x:v>2.6800559717870005</x:v>
      </x:c>
      <x:c r="H335" s="34" t="n">
        <x:f>-Assumptions!$B$9*E335</x:f>
        <x:v>1.798168149423396</x:v>
      </x:c>
      <x:c r="I335" s="34" t="n">
        <x:f>-Assumptions!$B$10*E335</x:f>
        <x:v>3.0027616803336254</x:v>
      </x:c>
      <x:c r="J335" s="36" t="n">
        <x:f>IF(C335&lt;-F335,1,0)</x:f>
        <x:v>0</x:v>
      </x:c>
      <x:c r="K335" s="36" t="n">
        <x:f>IF(C335&lt;-G335,1,0)</x:f>
        <x:v>0</x:v>
      </x:c>
      <x:c r="L335" s="36" t="n">
        <x:f>IF(C335&lt;-H335,1,0)</x:f>
        <x:v>0</x:v>
      </x:c>
      <x:c r="M335" s="36" t="n">
        <x:f>IF(C335&lt;-I335,1,0)</x:f>
        <x:v>0</x:v>
      </x:c>
      <x:c r="N335" s="34" t="n">
        <x:f>-F335</x:f>
        <x:v>-1.8949443609951742</x:v>
      </x:c>
      <x:c r="O335" s="34" t="n">
        <x:f>-H335</x:f>
        <x:v>-1.798168149423396</x:v>
      </x:c>
      <x:c r="P335" s="34" t="n">
        <x:f>-G335</x:f>
        <x:v>-2.6800559717870005</x:v>
      </x:c>
      <x:c r="Q335" s="34" t="n">
        <x:f>-I335</x:f>
        <x:v>-3.0027616803336254</x:v>
      </x:c>
      <x:c r="R335" s="36" t="n">
        <x:f>YEAR(A335)</x:f>
        <x:v>2022</x:v>
      </x:c>
    </x:row>
    <x:row r="336">
      <x:c r="A336" s="30" t="n">
        <x:v>44673</x:v>
      </x:c>
      <x:c r="B336" s="38" t="n">
        <x:v>4271.78</x:v>
      </x:c>
      <x:c r="C336" s="34" t="n">
        <x:f>(B336/B335-1)*100</x:f>
        <x:v>-2.773997077607282</x:v>
      </x:c>
      <x:c r="D336" s="34" t="n">
        <x:f>Assumptions!$B$4*D335+(1-Assumptions!$B$4)*C335^2</x:f>
        <x:v>1.3781634074032854</x:v>
      </x:c>
      <x:c r="E336" s="34" t="n">
        <x:f>SQRT(D336)</x:f>
        <x:v>1.1739520464666713</x:v>
      </x:c>
      <x:c r="F336" s="34" t="n">
        <x:f>-Assumptions!$B$7*E336</x:f>
        <x:v>1.9309792814978082</x:v>
      </x:c>
      <x:c r="G336" s="34" t="n">
        <x:f>-Assumptions!$B$8*E336</x:f>
        <x:v>2.7310208475236344</x:v>
      </x:c>
      <x:c r="H336" s="34" t="n">
        <x:f>-Assumptions!$B$9*E336</x:f>
        <x:v>1.832362739854965</x:v>
      </x:c>
      <x:c r="I336" s="34" t="n">
        <x:f>-Assumptions!$B$10*E336</x:f>
        <x:v>3.0598632399711616</x:v>
      </x:c>
      <x:c r="J336" s="36" t="n">
        <x:f>IF(C336&lt;-F336,1,0)</x:f>
        <x:v>1</x:v>
      </x:c>
      <x:c r="K336" s="36" t="n">
        <x:f>IF(C336&lt;-G336,1,0)</x:f>
        <x:v>1</x:v>
      </x:c>
      <x:c r="L336" s="36" t="n">
        <x:f>IF(C336&lt;-H336,1,0)</x:f>
        <x:v>1</x:v>
      </x:c>
      <x:c r="M336" s="36" t="n">
        <x:f>IF(C336&lt;-I336,1,0)</x:f>
        <x:v>0</x:v>
      </x:c>
      <x:c r="N336" s="34" t="n">
        <x:f>-F336</x:f>
        <x:v>-1.9309792814978082</x:v>
      </x:c>
      <x:c r="O336" s="34" t="n">
        <x:f>-H336</x:f>
        <x:v>-1.832362739854965</x:v>
      </x:c>
      <x:c r="P336" s="34" t="n">
        <x:f>-G336</x:f>
        <x:v>-2.7310208475236344</x:v>
      </x:c>
      <x:c r="Q336" s="34" t="n">
        <x:f>-I336</x:f>
        <x:v>-3.0598632399711616</x:v>
      </x:c>
      <x:c r="R336" s="36" t="n">
        <x:f>YEAR(A336)</x:f>
        <x:v>2022</x:v>
      </x:c>
    </x:row>
    <x:row r="337">
      <x:c r="A337" s="30" t="n">
        <x:v>44676</x:v>
      </x:c>
      <x:c r="B337" s="38" t="n">
        <x:v>4296.12</x:v>
      </x:c>
      <x:c r="C337" s="34" t="n">
        <x:f>(B337/B336-1)*100</x:f>
        <x:v>0.5697858972138148</x:v>
      </x:c>
      <x:c r="D337" s="34" t="n">
        <x:f>Assumptions!$B$4*D336+(1-Assumptions!$B$4)*C336^2</x:f>
        <x:v>1.757177190153513</x:v>
      </x:c>
      <x:c r="E337" s="34" t="n">
        <x:f>SQRT(D337)</x:f>
        <x:v>1.3255856027256456</x:v>
      </x:c>
      <x:c r="F337" s="34" t="n">
        <x:f>-Assumptions!$B$7*E337</x:f>
        <x:v>2.180394286477932</x:v>
      </x:c>
      <x:c r="G337" s="34" t="n">
        <x:f>-Assumptions!$B$8*E337</x:f>
        <x:v>3.0837732487599516</x:v>
      </x:c>
      <x:c r="H337" s="34" t="n">
        <x:f>-Assumptions!$B$9*E337</x:f>
        <x:v>2.0690399358587577</x:v>
      </x:c>
      <x:c r="I337" s="34" t="n">
        <x:f>-Assumptions!$B$10*E337</x:f>
        <x:v>3.4550905800822016</x:v>
      </x:c>
      <x:c r="J337" s="36" t="n">
        <x:f>IF(C337&lt;-F337,1,0)</x:f>
        <x:v>0</x:v>
      </x:c>
      <x:c r="K337" s="36" t="n">
        <x:f>IF(C337&lt;-G337,1,0)</x:f>
        <x:v>0</x:v>
      </x:c>
      <x:c r="L337" s="36" t="n">
        <x:f>IF(C337&lt;-H337,1,0)</x:f>
        <x:v>0</x:v>
      </x:c>
      <x:c r="M337" s="36" t="n">
        <x:f>IF(C337&lt;-I337,1,0)</x:f>
        <x:v>0</x:v>
      </x:c>
      <x:c r="N337" s="34" t="n">
        <x:f>-F337</x:f>
        <x:v>-2.180394286477932</x:v>
      </x:c>
      <x:c r="O337" s="34" t="n">
        <x:f>-H337</x:f>
        <x:v>-2.0690399358587577</x:v>
      </x:c>
      <x:c r="P337" s="34" t="n">
        <x:f>-G337</x:f>
        <x:v>-3.0837732487599516</x:v>
      </x:c>
      <x:c r="Q337" s="34" t="n">
        <x:f>-I337</x:f>
        <x:v>-3.4550905800822016</x:v>
      </x:c>
      <x:c r="R337" s="36" t="n">
        <x:f>YEAR(A337)</x:f>
        <x:v>2022</x:v>
      </x:c>
    </x:row>
    <x:row r="338">
      <x:c r="A338" s="30" t="n">
        <x:v>44677</x:v>
      </x:c>
      <x:c r="B338" s="38" t="n">
        <x:v>4175.2</x:v>
      </x:c>
      <x:c r="C338" s="34" t="n">
        <x:f>(B338/B337-1)*100</x:f>
        <x:v>-2.814632738377887</x:v>
      </x:c>
      <x:c r="D338" s="34" t="n">
        <x:f>Assumptions!$B$4*D337+(1-Assumptions!$B$4)*C337^2</x:f>
        <x:v>1.6712259168641272</x:v>
      </x:c>
      <x:c r="E338" s="34" t="n">
        <x:f>SQRT(D338)</x:f>
        <x:v>1.2927590327915435</x:v>
      </x:c>
      <x:c r="F338" s="34" t="n">
        <x:f>-Assumptions!$B$7*E338</x:f>
        <x:v>2.126399383861448</x:v>
      </x:c>
      <x:c r="G338" s="34" t="n">
        <x:f>-Assumptions!$B$8*E338</x:f>
        <x:v>3.0074072275817003</x:v>
      </x:c>
      <x:c r="H338" s="34" t="n">
        <x:f>-Assumptions!$B$9*E338</x:f>
        <x:v>2.017802592897833</x:v>
      </x:c>
      <x:c r="I338" s="34" t="n">
        <x:f>-Assumptions!$B$10*E338</x:f>
        <x:v>3.369529321478822</x:v>
      </x:c>
      <x:c r="J338" s="36" t="n">
        <x:f>IF(C338&lt;-F338,1,0)</x:f>
        <x:v>1</x:v>
      </x:c>
      <x:c r="K338" s="36" t="n">
        <x:f>IF(C338&lt;-G338,1,0)</x:f>
        <x:v>0</x:v>
      </x:c>
      <x:c r="L338" s="36" t="n">
        <x:f>IF(C338&lt;-H338,1,0)</x:f>
        <x:v>1</x:v>
      </x:c>
      <x:c r="M338" s="36" t="n">
        <x:f>IF(C338&lt;-I338,1,0)</x:f>
        <x:v>0</x:v>
      </x:c>
      <x:c r="N338" s="34" t="n">
        <x:f>-F338</x:f>
        <x:v>-2.126399383861448</x:v>
      </x:c>
      <x:c r="O338" s="34" t="n">
        <x:f>-H338</x:f>
        <x:v>-2.017802592897833</x:v>
      </x:c>
      <x:c r="P338" s="34" t="n">
        <x:f>-G338</x:f>
        <x:v>-3.0074072275817003</x:v>
      </x:c>
      <x:c r="Q338" s="34" t="n">
        <x:f>-I338</x:f>
        <x:v>-3.369529321478822</x:v>
      </x:c>
      <x:c r="R338" s="36" t="n">
        <x:f>YEAR(A338)</x:f>
        <x:v>2022</x:v>
      </x:c>
    </x:row>
    <x:row r="339">
      <x:c r="A339" s="30" t="n">
        <x:v>44678</x:v>
      </x:c>
      <x:c r="B339" s="38" t="n">
        <x:v>4183.96</x:v>
      </x:c>
      <x:c r="C339" s="34" t="n">
        <x:f>(B339/B338-1)*100</x:f>
        <x:v>0.20981030848821192</x:v>
      </x:c>
      <x:c r="D339" s="34" t="n">
        <x:f>Assumptions!$B$4*D338+(1-Assumptions!$B$4)*C338^2</x:f>
        <x:v>2.046281808969196</x:v>
      </x:c>
      <x:c r="E339" s="34" t="n">
        <x:f>SQRT(D339)</x:f>
        <x:v>1.4304830683965455</x:v>
      </x:c>
      <x:c r="F339" s="34" t="n">
        <x:f>-Assumptions!$B$7*E339</x:f>
        <x:v>2.3529352633447296</x:v>
      </x:c>
      <x:c r="G339" s="34" t="n">
        <x:f>-Assumptions!$B$8*E339</x:f>
        <x:v>3.3278012450157215</x:v>
      </x:c>
      <x:c r="H339" s="34" t="n">
        <x:f>-Assumptions!$B$9*E339</x:f>
        <x:v>2.232769117284082</x:v>
      </x:c>
      <x:c r="I339" s="34" t="n">
        <x:f>-Assumptions!$B$10*E339</x:f>
        <x:v>3.7285020027536606</x:v>
      </x:c>
      <x:c r="J339" s="36" t="n">
        <x:f>IF(C339&lt;-F339,1,0)</x:f>
        <x:v>0</x:v>
      </x:c>
      <x:c r="K339" s="36" t="n">
        <x:f>IF(C339&lt;-G339,1,0)</x:f>
        <x:v>0</x:v>
      </x:c>
      <x:c r="L339" s="36" t="n">
        <x:f>IF(C339&lt;-H339,1,0)</x:f>
        <x:v>0</x:v>
      </x:c>
      <x:c r="M339" s="36" t="n">
        <x:f>IF(C339&lt;-I339,1,0)</x:f>
        <x:v>0</x:v>
      </x:c>
      <x:c r="N339" s="34" t="n">
        <x:f>-F339</x:f>
        <x:v>-2.3529352633447296</x:v>
      </x:c>
      <x:c r="O339" s="34" t="n">
        <x:f>-H339</x:f>
        <x:v>-2.232769117284082</x:v>
      </x:c>
      <x:c r="P339" s="34" t="n">
        <x:f>-G339</x:f>
        <x:v>-3.3278012450157215</x:v>
      </x:c>
      <x:c r="Q339" s="34" t="n">
        <x:f>-I339</x:f>
        <x:v>-3.7285020027536606</x:v>
      </x:c>
      <x:c r="R339" s="36" t="n">
        <x:f>YEAR(A339)</x:f>
        <x:v>2022</x:v>
      </x:c>
    </x:row>
    <x:row r="340">
      <x:c r="A340" s="30" t="n">
        <x:v>44679</x:v>
      </x:c>
      <x:c r="B340" s="38" t="n">
        <x:v>4287.5</x:v>
      </x:c>
      <x:c r="C340" s="34" t="n">
        <x:f>(B340/B339-1)*100</x:f>
        <x:v>2.474689050564538</x:v>
      </x:c>
      <x:c r="D340" s="34" t="n">
        <x:f>Assumptions!$B$4*D339+(1-Assumptions!$B$4)*C339^2</x:f>
        <x:v>1.9261461223639194</x:v>
      </x:c>
      <x:c r="E340" s="34" t="n">
        <x:f>SQRT(D340)</x:f>
        <x:v>1.3878566649203798</x:v>
      </x:c>
      <x:c r="F340" s="34" t="n">
        <x:f>-Assumptions!$B$7*E340</x:f>
        <x:v>2.2828210689830617</x:v>
      </x:c>
      <x:c r="G340" s="34" t="n">
        <x:f>-Assumptions!$B$8*E340</x:f>
        <x:v>3.2286374019109365</x:v>
      </x:c>
      <x:c r="H340" s="34" t="n">
        <x:f>-Assumptions!$B$9*E340</x:f>
        <x:v>2.166235706742455</x:v>
      </x:c>
      <x:c r="I340" s="34" t="n">
        <x:f>-Assumptions!$B$10*E340</x:f>
        <x:v>3.6173978350481177</x:v>
      </x:c>
      <x:c r="J340" s="36" t="n">
        <x:f>IF(C340&lt;-F340,1,0)</x:f>
        <x:v>0</x:v>
      </x:c>
      <x:c r="K340" s="36" t="n">
        <x:f>IF(C340&lt;-G340,1,0)</x:f>
        <x:v>0</x:v>
      </x:c>
      <x:c r="L340" s="36" t="n">
        <x:f>IF(C340&lt;-H340,1,0)</x:f>
        <x:v>0</x:v>
      </x:c>
      <x:c r="M340" s="36" t="n">
        <x:f>IF(C340&lt;-I340,1,0)</x:f>
        <x:v>0</x:v>
      </x:c>
      <x:c r="N340" s="34" t="n">
        <x:f>-F340</x:f>
        <x:v>-2.2828210689830617</x:v>
      </x:c>
      <x:c r="O340" s="34" t="n">
        <x:f>-H340</x:f>
        <x:v>-2.166235706742455</x:v>
      </x:c>
      <x:c r="P340" s="34" t="n">
        <x:f>-G340</x:f>
        <x:v>-3.2286374019109365</x:v>
      </x:c>
      <x:c r="Q340" s="34" t="n">
        <x:f>-I340</x:f>
        <x:v>-3.6173978350481177</x:v>
      </x:c>
      <x:c r="R340" s="36" t="n">
        <x:f>YEAR(A340)</x:f>
        <x:v>2022</x:v>
      </x:c>
    </x:row>
    <x:row r="341">
      <x:c r="A341" s="30" t="n">
        <x:v>44680</x:v>
      </x:c>
      <x:c r="B341" s="38" t="n">
        <x:v>4131.93</x:v>
      </x:c>
      <x:c r="C341" s="34" t="n">
        <x:f>(B341/B340-1)*100</x:f>
        <x:v>-3.6284548104956182</x:v>
      </x:c>
      <x:c r="D341" s="34" t="n">
        <x:f>Assumptions!$B$4*D340+(1-Assumptions!$B$4)*C340^2</x:f>
        <x:v>2.178022508841125</x:v>
      </x:c>
      <x:c r="E341" s="34" t="n">
        <x:f>SQRT(D341)</x:f>
        <x:v>1.4758124910845298</x:v>
      </x:c>
      <x:c r="F341" s="34" t="n">
        <x:f>-Assumptions!$B$7*E341</x:f>
        <x:v>2.427495528660677</x:v>
      </x:c>
      <x:c r="G341" s="34" t="n">
        <x:f>-Assumptions!$B$8*E341</x:f>
        <x:v>3.4332532511174128</x:v>
      </x:c>
      <x:c r="H341" s="34" t="n">
        <x:f>-Assumptions!$B$9*E341</x:f>
        <x:v>2.303521534644391</x:v>
      </x:c>
      <x:c r="I341" s="34" t="n">
        <x:f>-Assumptions!$B$10*E341</x:f>
        <x:v>3.84665149155905</x:v>
      </x:c>
      <x:c r="J341" s="36" t="n">
        <x:f>IF(C341&lt;-F341,1,0)</x:f>
        <x:v>1</x:v>
      </x:c>
      <x:c r="K341" s="36" t="n">
        <x:f>IF(C341&lt;-G341,1,0)</x:f>
        <x:v>1</x:v>
      </x:c>
      <x:c r="L341" s="36" t="n">
        <x:f>IF(C341&lt;-H341,1,0)</x:f>
        <x:v>1</x:v>
      </x:c>
      <x:c r="M341" s="36" t="n">
        <x:f>IF(C341&lt;-I341,1,0)</x:f>
        <x:v>0</x:v>
      </x:c>
      <x:c r="N341" s="34" t="n">
        <x:f>-F341</x:f>
        <x:v>-2.427495528660677</x:v>
      </x:c>
      <x:c r="O341" s="34" t="n">
        <x:f>-H341</x:f>
        <x:v>-2.303521534644391</x:v>
      </x:c>
      <x:c r="P341" s="34" t="n">
        <x:f>-G341</x:f>
        <x:v>-3.4332532511174128</x:v>
      </x:c>
      <x:c r="Q341" s="34" t="n">
        <x:f>-I341</x:f>
        <x:v>-3.84665149155905</x:v>
      </x:c>
      <x:c r="R341" s="36" t="n">
        <x:f>YEAR(A341)</x:f>
        <x:v>2022</x:v>
      </x:c>
    </x:row>
    <x:row r="342">
      <x:c r="A342" s="30" t="n">
        <x:v>44683</x:v>
      </x:c>
      <x:c r="B342" s="38" t="n">
        <x:v>4155.38</x:v>
      </x:c>
      <x:c r="C342" s="34" t="n">
        <x:f>(B342/B341-1)*100</x:f>
        <x:v>0.5675313957399952</x:v>
      </x:c>
      <x:c r="D342" s="34" t="n">
        <x:f>Assumptions!$B$4*D341+(1-Assumptions!$B$4)*C341^2</x:f>
        <x:v>2.837282217019186</x:v>
      </x:c>
      <x:c r="E342" s="34" t="n">
        <x:f>SQRT(D342)</x:f>
        <x:v>1.6844234078815177</x:v>
      </x:c>
      <x:c r="F342" s="34" t="n">
        <x:f>-Assumptions!$B$7*E342</x:f>
        <x:v>2.7706299517758746</x:v>
      </x:c>
      <x:c r="G342" s="34" t="n">
        <x:f>-Assumptions!$B$8*E342</x:f>
        <x:v>3.918554813909796</x:v>
      </x:c>
      <x:c r="H342" s="34" t="n">
        <x:f>-Assumptions!$B$9*E342</x:f>
        <x:v>2.6291318287073153</x:v>
      </x:c>
      <x:c r="I342" s="34" t="n">
        <x:f>-Assumptions!$B$10*E342</x:f>
        <x:v>4.390388246126655</x:v>
      </x:c>
      <x:c r="J342" s="36" t="n">
        <x:f>IF(C342&lt;-F342,1,0)</x:f>
        <x:v>0</x:v>
      </x:c>
      <x:c r="K342" s="36" t="n">
        <x:f>IF(C342&lt;-G342,1,0)</x:f>
        <x:v>0</x:v>
      </x:c>
      <x:c r="L342" s="36" t="n">
        <x:f>IF(C342&lt;-H342,1,0)</x:f>
        <x:v>0</x:v>
      </x:c>
      <x:c r="M342" s="36" t="n">
        <x:f>IF(C342&lt;-I342,1,0)</x:f>
        <x:v>0</x:v>
      </x:c>
      <x:c r="N342" s="34" t="n">
        <x:f>-F342</x:f>
        <x:v>-2.7706299517758746</x:v>
      </x:c>
      <x:c r="O342" s="34" t="n">
        <x:f>-H342</x:f>
        <x:v>-2.6291318287073153</x:v>
      </x:c>
      <x:c r="P342" s="34" t="n">
        <x:f>-G342</x:f>
        <x:v>-3.918554813909796</x:v>
      </x:c>
      <x:c r="Q342" s="34" t="n">
        <x:f>-I342</x:f>
        <x:v>-4.390388246126655</x:v>
      </x:c>
      <x:c r="R342" s="36" t="n">
        <x:f>YEAR(A342)</x:f>
        <x:v>2022</x:v>
      </x:c>
    </x:row>
    <x:row r="343">
      <x:c r="A343" s="30" t="n">
        <x:v>44684</x:v>
      </x:c>
      <x:c r="B343" s="38" t="n">
        <x:v>4175.48</x:v>
      </x:c>
      <x:c r="C343" s="34" t="n">
        <x:f>(B343/B342-1)*100</x:f>
        <x:v>0.4837102743912469</x:v>
      </x:c>
      <x:c r="D343" s="34" t="n">
        <x:f>Assumptions!$B$4*D342+(1-Assumptions!$B$4)*C342^2</x:f>
        <x:v>2.6863707971070694</x:v>
      </x:c>
      <x:c r="E343" s="34" t="n">
        <x:f>SQRT(D343)</x:f>
        <x:v>1.63901519123743</x:v>
      </x:c>
      <x:c r="F343" s="34" t="n">
        <x:f>-Assumptions!$B$7*E343</x:f>
        <x:v>2.6959400819354484</x:v>
      </x:c>
      <x:c r="G343" s="34" t="n">
        <x:f>-Assumptions!$B$8*E343</x:f>
        <x:v>3.8129195056558367</x:v>
      </x:c>
      <x:c r="H343" s="34" t="n">
        <x:f>-Assumptions!$B$9*E343</x:f>
        <x:v>2.558256425821555</x:v>
      </x:c>
      <x:c r="I343" s="34" t="n">
        <x:f>-Assumptions!$B$10*E343</x:f>
        <x:v>4.272033383745285</x:v>
      </x:c>
      <x:c r="J343" s="36" t="n">
        <x:f>IF(C343&lt;-F343,1,0)</x:f>
        <x:v>0</x:v>
      </x:c>
      <x:c r="K343" s="36" t="n">
        <x:f>IF(C343&lt;-G343,1,0)</x:f>
        <x:v>0</x:v>
      </x:c>
      <x:c r="L343" s="36" t="n">
        <x:f>IF(C343&lt;-H343,1,0)</x:f>
        <x:v>0</x:v>
      </x:c>
      <x:c r="M343" s="36" t="n">
        <x:f>IF(C343&lt;-I343,1,0)</x:f>
        <x:v>0</x:v>
      </x:c>
      <x:c r="N343" s="34" t="n">
        <x:f>-F343</x:f>
        <x:v>-2.6959400819354484</x:v>
      </x:c>
      <x:c r="O343" s="34" t="n">
        <x:f>-H343</x:f>
        <x:v>-2.558256425821555</x:v>
      </x:c>
      <x:c r="P343" s="34" t="n">
        <x:f>-G343</x:f>
        <x:v>-3.8129195056558367</x:v>
      </x:c>
      <x:c r="Q343" s="34" t="n">
        <x:f>-I343</x:f>
        <x:v>-4.272033383745285</x:v>
      </x:c>
      <x:c r="R343" s="36" t="n">
        <x:f>YEAR(A343)</x:f>
        <x:v>2022</x:v>
      </x:c>
    </x:row>
    <x:row r="344">
      <x:c r="A344" s="30" t="n">
        <x:v>44685</x:v>
      </x:c>
      <x:c r="B344" s="38" t="n">
        <x:v>4300.17</x:v>
      </x:c>
      <x:c r="C344" s="34" t="n">
        <x:f>(B344/B343-1)*100</x:f>
        <x:v>2.98624349775356</x:v>
      </x:c>
      <x:c r="D344" s="34" t="n">
        <x:f>Assumptions!$B$4*D343+(1-Assumptions!$B$4)*C343^2</x:f>
        <x:v>2.539227087053744</x:v>
      </x:c>
      <x:c r="E344" s="34" t="n">
        <x:f>SQRT(D344)</x:f>
        <x:v>1.5934952422438369</x:v>
      </x:c>
      <x:c r="F344" s="34" t="n">
        <x:f>-Assumptions!$B$7*E344</x:f>
        <x:v>2.6210664287346908</x:v>
      </x:c>
      <x:c r="G344" s="34" t="n">
        <x:f>-Assumptions!$B$8*E344</x:f>
        <x:v>3.707024269088144</x:v>
      </x:c>
      <x:c r="H344" s="34" t="n">
        <x:f>-Assumptions!$B$9*E344</x:f>
        <x:v>2.487206625527752</x:v>
      </x:c>
      <x:c r="I344" s="34" t="n">
        <x:f>-Assumptions!$B$10*E344</x:f>
        <x:v>4.153387295065535</x:v>
      </x:c>
      <x:c r="J344" s="36" t="n">
        <x:f>IF(C344&lt;-F344,1,0)</x:f>
        <x:v>0</x:v>
      </x:c>
      <x:c r="K344" s="36" t="n">
        <x:f>IF(C344&lt;-G344,1,0)</x:f>
        <x:v>0</x:v>
      </x:c>
      <x:c r="L344" s="36" t="n">
        <x:f>IF(C344&lt;-H344,1,0)</x:f>
        <x:v>0</x:v>
      </x:c>
      <x:c r="M344" s="36" t="n">
        <x:f>IF(C344&lt;-I344,1,0)</x:f>
        <x:v>0</x:v>
      </x:c>
      <x:c r="N344" s="34" t="n">
        <x:f>-F344</x:f>
        <x:v>-2.6210664287346908</x:v>
      </x:c>
      <x:c r="O344" s="34" t="n">
        <x:f>-H344</x:f>
        <x:v>-2.487206625527752</x:v>
      </x:c>
      <x:c r="P344" s="34" t="n">
        <x:f>-G344</x:f>
        <x:v>-3.707024269088144</x:v>
      </x:c>
      <x:c r="Q344" s="34" t="n">
        <x:f>-I344</x:f>
        <x:v>-4.153387295065535</x:v>
      </x:c>
      <x:c r="R344" s="36" t="n">
        <x:f>YEAR(A344)</x:f>
        <x:v>2022</x:v>
      </x:c>
    </x:row>
    <x:row r="345">
      <x:c r="A345" s="30" t="n">
        <x:v>44686</x:v>
      </x:c>
      <x:c r="B345" s="38" t="n">
        <x:v>4146.87</x:v>
      </x:c>
      <x:c r="C345" s="34" t="n">
        <x:f>(B345/B344-1)*100</x:f>
        <x:v>-3.5649753381843063</x:v>
      </x:c>
      <x:c r="D345" s="34" t="n">
        <x:f>Assumptions!$B$4*D344+(1-Assumptions!$B$4)*C344^2</x:f>
        <x:v>2.921932475503045</x:v>
      </x:c>
      <x:c r="E345" s="34" t="n">
        <x:f>SQRT(D345)</x:f>
        <x:v>1.7093661034146679</x:v>
      </x:c>
      <x:c r="F345" s="34" t="n">
        <x:f>-Assumptions!$B$7*E345</x:f>
        <x:v>2.8116570349895227</x:v>
      </x:c>
      <x:c r="G345" s="34" t="n">
        <x:f>-Assumptions!$B$8*E345</x:f>
        <x:v>3.976580200636188</x:v>
      </x:c>
      <x:c r="H345" s="34" t="n">
        <x:f>-Assumptions!$B$9*E345</x:f>
        <x:v>2.668063628403947</x:v>
      </x:c>
      <x:c r="I345" s="34" t="n">
        <x:f>-Assumptions!$B$10*E345</x:f>
        <x:v>4.455400473327407</x:v>
      </x:c>
      <x:c r="J345" s="36" t="n">
        <x:f>IF(C345&lt;-F345,1,0)</x:f>
        <x:v>1</x:v>
      </x:c>
      <x:c r="K345" s="36" t="n">
        <x:f>IF(C345&lt;-G345,1,0)</x:f>
        <x:v>0</x:v>
      </x:c>
      <x:c r="L345" s="36" t="n">
        <x:f>IF(C345&lt;-H345,1,0)</x:f>
        <x:v>1</x:v>
      </x:c>
      <x:c r="M345" s="36" t="n">
        <x:f>IF(C345&lt;-I345,1,0)</x:f>
        <x:v>0</x:v>
      </x:c>
      <x:c r="N345" s="34" t="n">
        <x:f>-F345</x:f>
        <x:v>-2.8116570349895227</x:v>
      </x:c>
      <x:c r="O345" s="34" t="n">
        <x:f>-H345</x:f>
        <x:v>-2.668063628403947</x:v>
      </x:c>
      <x:c r="P345" s="34" t="n">
        <x:f>-G345</x:f>
        <x:v>-3.976580200636188</x:v>
      </x:c>
      <x:c r="Q345" s="34" t="n">
        <x:f>-I345</x:f>
        <x:v>-4.455400473327407</x:v>
      </x:c>
      <x:c r="R345" s="36" t="n">
        <x:f>YEAR(A345)</x:f>
        <x:v>2022</x:v>
      </x:c>
    </x:row>
    <x:row r="346">
      <x:c r="A346" s="30" t="n">
        <x:v>44687</x:v>
      </x:c>
      <x:c r="B346" s="38" t="n">
        <x:v>4123.34</x:v>
      </x:c>
      <x:c r="C346" s="34" t="n">
        <x:f>(B346/B345-1)*100</x:f>
        <x:v>-0.5674159064547379</x:v>
      </x:c>
      <x:c r="D346" s="34" t="n">
        <x:f>Assumptions!$B$4*D345+(1-Assumptions!$B$4)*C345^2</x:f>
        <x:v>3.5091594766846015</x:v>
      </x:c>
      <x:c r="E346" s="34" t="n">
        <x:f>SQRT(D346)</x:f>
        <x:v>1.8732750670108758</x:v>
      </x:c>
      <x:c r="F346" s="34" t="n">
        <x:f>-Assumptions!$B$7*E346</x:f>
        <x:v>3.0812632882506024</x:v>
      </x:c>
      <x:c r="G346" s="34" t="n">
        <x:f>-Assumptions!$B$8*E346</x:f>
        <x:v>4.357889469634464</x:v>
      </x:c>
      <x:c r="H346" s="34" t="n">
        <x:f>-Assumptions!$B$9*E346</x:f>
        <x:v>2.9239008906889716</x:v>
      </x:c>
      <x:c r="I346" s="34" t="n">
        <x:f>-Assumptions!$B$10*E346</x:f>
        <x:v>4.882623215448199</x:v>
      </x:c>
      <x:c r="J346" s="36" t="n">
        <x:f>IF(C346&lt;-F346,1,0)</x:f>
        <x:v>0</x:v>
      </x:c>
      <x:c r="K346" s="36" t="n">
        <x:f>IF(C346&lt;-G346,1,0)</x:f>
        <x:v>0</x:v>
      </x:c>
      <x:c r="L346" s="36" t="n">
        <x:f>IF(C346&lt;-H346,1,0)</x:f>
        <x:v>0</x:v>
      </x:c>
      <x:c r="M346" s="36" t="n">
        <x:f>IF(C346&lt;-I346,1,0)</x:f>
        <x:v>0</x:v>
      </x:c>
      <x:c r="N346" s="34" t="n">
        <x:f>-F346</x:f>
        <x:v>-3.0812632882506024</x:v>
      </x:c>
      <x:c r="O346" s="34" t="n">
        <x:f>-H346</x:f>
        <x:v>-2.9239008906889716</x:v>
      </x:c>
      <x:c r="P346" s="34" t="n">
        <x:f>-G346</x:f>
        <x:v>-4.357889469634464</x:v>
      </x:c>
      <x:c r="Q346" s="34" t="n">
        <x:f>-I346</x:f>
        <x:v>-4.882623215448199</x:v>
      </x:c>
      <x:c r="R346" s="36" t="n">
        <x:f>YEAR(A346)</x:f>
        <x:v>2022</x:v>
      </x:c>
    </x:row>
    <x:row r="347">
      <x:c r="A347" s="30" t="n">
        <x:v>44690</x:v>
      </x:c>
      <x:c r="B347" s="38" t="n">
        <x:v>3991.24</x:v>
      </x:c>
      <x:c r="C347" s="34" t="n">
        <x:f>(B347/B346-1)*100</x:f>
        <x:v>-3.2037134944001844</x:v>
      </x:c>
      <x:c r="D347" s="34" t="n">
        <x:f>Assumptions!$B$4*D346+(1-Assumptions!$B$4)*C346^2</x:f>
        <x:v>3.3179275567373963</x:v>
      </x:c>
      <x:c r="E347" s="34" t="n">
        <x:f>SQRT(D347)</x:f>
        <x:v>1.8215179265484587</x:v>
      </x:c>
      <x:c r="F347" s="34" t="n">
        <x:f>-Assumptions!$B$7*E347</x:f>
        <x:v>2.9961303680403586</x:v>
      </x:c>
      <x:c r="G347" s="34" t="n">
        <x:f>-Assumptions!$B$8*E347</x:f>
        <x:v>4.237484355953287</x:v>
      </x:c>
      <x:c r="H347" s="34" t="n">
        <x:f>-Assumptions!$B$9*E347</x:f>
        <x:v>2.843115771748029</x:v>
      </x:c>
      <x:c r="I347" s="34" t="n">
        <x:f>-Assumptions!$B$10*E347</x:f>
        <x:v>4.74772011443685</x:v>
      </x:c>
      <x:c r="J347" s="36" t="n">
        <x:f>IF(C347&lt;-F347,1,0)</x:f>
        <x:v>1</x:v>
      </x:c>
      <x:c r="K347" s="36" t="n">
        <x:f>IF(C347&lt;-G347,1,0)</x:f>
        <x:v>0</x:v>
      </x:c>
      <x:c r="L347" s="36" t="n">
        <x:f>IF(C347&lt;-H347,1,0)</x:f>
        <x:v>1</x:v>
      </x:c>
      <x:c r="M347" s="36" t="n">
        <x:f>IF(C347&lt;-I347,1,0)</x:f>
        <x:v>0</x:v>
      </x:c>
      <x:c r="N347" s="34" t="n">
        <x:f>-F347</x:f>
        <x:v>-2.9961303680403586</x:v>
      </x:c>
      <x:c r="O347" s="34" t="n">
        <x:f>-H347</x:f>
        <x:v>-2.843115771748029</x:v>
      </x:c>
      <x:c r="P347" s="34" t="n">
        <x:f>-G347</x:f>
        <x:v>-4.237484355953287</x:v>
      </x:c>
      <x:c r="Q347" s="34" t="n">
        <x:f>-I347</x:f>
        <x:v>-4.74772011443685</x:v>
      </x:c>
      <x:c r="R347" s="36" t="n">
        <x:f>YEAR(A347)</x:f>
        <x:v>2022</x:v>
      </x:c>
    </x:row>
    <x:row r="348">
      <x:c r="A348" s="30" t="n">
        <x:v>44691</x:v>
      </x:c>
      <x:c r="B348" s="38" t="n">
        <x:v>4001.05</x:v>
      </x:c>
      <x:c r="C348" s="34" t="n">
        <x:f>(B348/B347-1)*100</x:f>
        <x:v>0.245788276325154</x:v>
      </x:c>
      <x:c r="D348" s="34" t="n">
        <x:f>Assumptions!$B$4*D347+(1-Assumptions!$B$4)*C347^2</x:f>
        <x:v>3.734678712585263</x:v>
      </x:c>
      <x:c r="E348" s="34" t="n">
        <x:f>SQRT(D348)</x:f>
        <x:v>1.9325316847558445</x:v>
      </x:c>
      <x:c r="F348" s="34" t="n">
        <x:f>-Assumptions!$B$7*E348</x:f>
        <x:v>3.178731750869291</x:v>
      </x:c>
      <x:c r="G348" s="34" t="n">
        <x:f>-Assumptions!$B$8*E348</x:f>
        <x:v>4.495740976348322</x:v>
      </x:c>
      <x:c r="H348" s="34" t="n">
        <x:f>-Assumptions!$B$9*E348</x:f>
        <x:v>3.016391566754071</x:v>
      </x:c>
      <x:c r="I348" s="34" t="n">
        <x:f>-Assumptions!$B$10*E348</x:f>
        <x:v>5.0370734307773315</x:v>
      </x:c>
      <x:c r="J348" s="36" t="n">
        <x:f>IF(C348&lt;-F348,1,0)</x:f>
        <x:v>0</x:v>
      </x:c>
      <x:c r="K348" s="36" t="n">
        <x:f>IF(C348&lt;-G348,1,0)</x:f>
        <x:v>0</x:v>
      </x:c>
      <x:c r="L348" s="36" t="n">
        <x:f>IF(C348&lt;-H348,1,0)</x:f>
        <x:v>0</x:v>
      </x:c>
      <x:c r="M348" s="36" t="n">
        <x:f>IF(C348&lt;-I348,1,0)</x:f>
        <x:v>0</x:v>
      </x:c>
      <x:c r="N348" s="34" t="n">
        <x:f>-F348</x:f>
        <x:v>-3.178731750869291</x:v>
      </x:c>
      <x:c r="O348" s="34" t="n">
        <x:f>-H348</x:f>
        <x:v>-3.016391566754071</x:v>
      </x:c>
      <x:c r="P348" s="34" t="n">
        <x:f>-G348</x:f>
        <x:v>-4.495740976348322</x:v>
      </x:c>
      <x:c r="Q348" s="34" t="n">
        <x:f>-I348</x:f>
        <x:v>-5.0370734307773315</x:v>
      </x:c>
      <x:c r="R348" s="36" t="n">
        <x:f>YEAR(A348)</x:f>
        <x:v>2022</x:v>
      </x:c>
    </x:row>
    <x:row r="349">
      <x:c r="A349" s="30" t="n">
        <x:v>44692</x:v>
      </x:c>
      <x:c r="B349" s="38" t="n">
        <x:v>3935.18</x:v>
      </x:c>
      <x:c r="C349" s="34" t="n">
        <x:f>(B349/B348-1)*100</x:f>
        <x:v>-1.6463178415666024</x:v>
      </x:c>
      <x:c r="D349" s="34" t="n">
        <x:f>Assumptions!$B$4*D348+(1-Assumptions!$B$4)*C348^2</x:f>
        <x:v>3.5142227024368804</x:v>
      </x:c>
      <x:c r="E349" s="34" t="n">
        <x:f>SQRT(D349)</x:f>
        <x:v>1.8746260166862296</x:v>
      </x:c>
      <x:c r="F349" s="34" t="n">
        <x:f>-Assumptions!$B$7*E349</x:f>
        <x:v>3.083485402723937</x:v>
      </x:c>
      <x:c r="G349" s="34" t="n">
        <x:f>-Assumptions!$B$8*E349</x:f>
        <x:v>4.361032248539659</x:v>
      </x:c>
      <x:c r="H349" s="34" t="n">
        <x:f>-Assumptions!$B$9*E349</x:f>
        <x:v>2.926009520130854</x:v>
      </x:c>
      <x:c r="I349" s="34" t="n">
        <x:f>-Assumptions!$B$10*E349</x:f>
        <x:v>4.88614441655953</x:v>
      </x:c>
      <x:c r="J349" s="36" t="n">
        <x:f>IF(C349&lt;-F349,1,0)</x:f>
        <x:v>0</x:v>
      </x:c>
      <x:c r="K349" s="36" t="n">
        <x:f>IF(C349&lt;-G349,1,0)</x:f>
        <x:v>0</x:v>
      </x:c>
      <x:c r="L349" s="36" t="n">
        <x:f>IF(C349&lt;-H349,1,0)</x:f>
        <x:v>0</x:v>
      </x:c>
      <x:c r="M349" s="36" t="n">
        <x:f>IF(C349&lt;-I349,1,0)</x:f>
        <x:v>0</x:v>
      </x:c>
      <x:c r="N349" s="34" t="n">
        <x:f>-F349</x:f>
        <x:v>-3.083485402723937</x:v>
      </x:c>
      <x:c r="O349" s="34" t="n">
        <x:f>-H349</x:f>
        <x:v>-2.926009520130854</x:v>
      </x:c>
      <x:c r="P349" s="34" t="n">
        <x:f>-G349</x:f>
        <x:v>-4.361032248539659</x:v>
      </x:c>
      <x:c r="Q349" s="34" t="n">
        <x:f>-I349</x:f>
        <x:v>-4.88614441655953</x:v>
      </x:c>
      <x:c r="R349" s="36" t="n">
        <x:f>YEAR(A349)</x:f>
        <x:v>2022</x:v>
      </x:c>
    </x:row>
    <x:row r="350">
      <x:c r="A350" s="30" t="n">
        <x:v>44693</x:v>
      </x:c>
      <x:c r="B350" s="38" t="n">
        <x:v>3930.08</x:v>
      </x:c>
      <x:c r="C350" s="34" t="n">
        <x:f>(B350/B349-1)*100</x:f>
        <x:v>-0.12960017076728558</x:v>
      </x:c>
      <x:c r="D350" s="34" t="n">
        <x:f>Assumptions!$B$4*D349+(1-Assumptions!$B$4)*C349^2</x:f>
        <x:v>3.465991086418298</x:v>
      </x:c>
      <x:c r="E350" s="34" t="n">
        <x:f>SQRT(D350)</x:f>
        <x:v>1.86171724126364</x:v>
      </x:c>
      <x:c r="F350" s="34" t="n">
        <x:f>-Assumptions!$B$7*E350</x:f>
        <x:v>3.0622523566505886</x:v>
      </x:c>
      <x:c r="G350" s="34" t="n">
        <x:f>-Assumptions!$B$8*E350</x:f>
        <x:v>4.331001946278847</x:v>
      </x:c>
      <x:c r="H350" s="34" t="n">
        <x:f>-Assumptions!$B$9*E350</x:f>
        <x:v>2.905860861441855</x:v>
      </x:c>
      <x:c r="I350" s="34" t="n">
        <x:f>-Assumptions!$B$10*E350</x:f>
        <x:v>4.852498163710012</x:v>
      </x:c>
      <x:c r="J350" s="36" t="n">
        <x:f>IF(C350&lt;-F350,1,0)</x:f>
        <x:v>0</x:v>
      </x:c>
      <x:c r="K350" s="36" t="n">
        <x:f>IF(C350&lt;-G350,1,0)</x:f>
        <x:v>0</x:v>
      </x:c>
      <x:c r="L350" s="36" t="n">
        <x:f>IF(C350&lt;-H350,1,0)</x:f>
        <x:v>0</x:v>
      </x:c>
      <x:c r="M350" s="36" t="n">
        <x:f>IF(C350&lt;-I350,1,0)</x:f>
        <x:v>0</x:v>
      </x:c>
      <x:c r="N350" s="34" t="n">
        <x:f>-F350</x:f>
        <x:v>-3.0622523566505886</x:v>
      </x:c>
      <x:c r="O350" s="34" t="n">
        <x:f>-H350</x:f>
        <x:v>-2.905860861441855</x:v>
      </x:c>
      <x:c r="P350" s="34" t="n">
        <x:f>-G350</x:f>
        <x:v>-4.331001946278847</x:v>
      </x:c>
      <x:c r="Q350" s="34" t="n">
        <x:f>-I350</x:f>
        <x:v>-4.852498163710012</x:v>
      </x:c>
      <x:c r="R350" s="36" t="n">
        <x:f>YEAR(A350)</x:f>
        <x:v>2022</x:v>
      </x:c>
    </x:row>
    <x:row r="351">
      <x:c r="A351" s="30" t="n">
        <x:v>44694</x:v>
      </x:c>
      <x:c r="B351" s="38" t="n">
        <x:v>4023.89</x:v>
      </x:c>
      <x:c r="C351" s="34" t="n">
        <x:f>(B351/B350-1)*100</x:f>
        <x:v>2.386974310955492</x:v>
      </x:c>
      <x:c r="D351" s="34" t="n">
        <x:f>Assumptions!$B$4*D350+(1-Assumptions!$B$4)*C350^2</x:f>
        <x:v>3.2590393934889743</x:v>
      </x:c>
      <x:c r="E351" s="34" t="n">
        <x:f>SQRT(D351)</x:f>
        <x:v>1.8052809735575719</x:v>
      </x:c>
      <x:c r="F351" s="34" t="n">
        <x:f>-Assumptions!$B$7*E351</x:f>
        <x:v>2.9694229570226582</x:v>
      </x:c>
      <x:c r="G351" s="34" t="n">
        <x:f>-Assumptions!$B$8*E351</x:f>
        <x:v>4.199711554882036</x:v>
      </x:c>
      <x:c r="H351" s="34" t="n">
        <x:f>-Assumptions!$B$9*E351</x:f>
        <x:v>2.8177723279857187</x:v>
      </x:c>
      <x:c r="I351" s="34" t="n">
        <x:f>-Assumptions!$B$10*E351</x:f>
        <x:v>4.705399088006947</x:v>
      </x:c>
      <x:c r="J351" s="36" t="n">
        <x:f>IF(C351&lt;-F351,1,0)</x:f>
        <x:v>0</x:v>
      </x:c>
      <x:c r="K351" s="36" t="n">
        <x:f>IF(C351&lt;-G351,1,0)</x:f>
        <x:v>0</x:v>
      </x:c>
      <x:c r="L351" s="36" t="n">
        <x:f>IF(C351&lt;-H351,1,0)</x:f>
        <x:v>0</x:v>
      </x:c>
      <x:c r="M351" s="36" t="n">
        <x:f>IF(C351&lt;-I351,1,0)</x:f>
        <x:v>0</x:v>
      </x:c>
      <x:c r="N351" s="34" t="n">
        <x:f>-F351</x:f>
        <x:v>-2.9694229570226582</x:v>
      </x:c>
      <x:c r="O351" s="34" t="n">
        <x:f>-H351</x:f>
        <x:v>-2.8177723279857187</x:v>
      </x:c>
      <x:c r="P351" s="34" t="n">
        <x:f>-G351</x:f>
        <x:v>-4.199711554882036</x:v>
      </x:c>
      <x:c r="Q351" s="34" t="n">
        <x:f>-I351</x:f>
        <x:v>-4.705399088006947</x:v>
      </x:c>
      <x:c r="R351" s="36" t="n">
        <x:f>YEAR(A351)</x:f>
        <x:v>2022</x:v>
      </x:c>
    </x:row>
    <x:row r="352">
      <x:c r="A352" s="30" t="n">
        <x:v>44697</x:v>
      </x:c>
      <x:c r="B352" s="38" t="n">
        <x:v>4008.01</x:v>
      </x:c>
      <x:c r="C352" s="34" t="n">
        <x:f>(B352/B351-1)*100</x:f>
        <x:v>-0.3946429947140562</x:v>
      </x:c>
      <x:c r="D352" s="34" t="n">
        <x:f>Assumptions!$B$4*D351+(1-Assumptions!$B$4)*C351^2</x:f>
        <x:v>3.4053558115493225</x:v>
      </x:c>
      <x:c r="E352" s="34" t="n">
        <x:f>SQRT(D352)</x:f>
        <x:v>1.8453606182937043</x:v>
      </x:c>
      <x:c r="F352" s="34" t="n">
        <x:f>-Assumptions!$B$7*E352</x:f>
        <x:v>3.035348106033812</x:v>
      </x:c>
      <x:c r="G352" s="34" t="n">
        <x:f>-Assumptions!$B$8*E352</x:f>
        <x:v>4.2929507512062495</x:v>
      </x:c>
      <x:c r="H352" s="34" t="n">
        <x:f>-Assumptions!$B$9*E352</x:f>
        <x:v>2.8803306308245373</x:v>
      </x:c>
      <x:c r="I352" s="34" t="n">
        <x:f>-Assumptions!$B$10*E352</x:f>
        <x:v>4.809865221839508</x:v>
      </x:c>
      <x:c r="J352" s="36" t="n">
        <x:f>IF(C352&lt;-F352,1,0)</x:f>
        <x:v>0</x:v>
      </x:c>
      <x:c r="K352" s="36" t="n">
        <x:f>IF(C352&lt;-G352,1,0)</x:f>
        <x:v>0</x:v>
      </x:c>
      <x:c r="L352" s="36" t="n">
        <x:f>IF(C352&lt;-H352,1,0)</x:f>
        <x:v>0</x:v>
      </x:c>
      <x:c r="M352" s="36" t="n">
        <x:f>IF(C352&lt;-I352,1,0)</x:f>
        <x:v>0</x:v>
      </x:c>
      <x:c r="N352" s="34" t="n">
        <x:f>-F352</x:f>
        <x:v>-3.035348106033812</x:v>
      </x:c>
      <x:c r="O352" s="34" t="n">
        <x:f>-H352</x:f>
        <x:v>-2.8803306308245373</x:v>
      </x:c>
      <x:c r="P352" s="34" t="n">
        <x:f>-G352</x:f>
        <x:v>-4.2929507512062495</x:v>
      </x:c>
      <x:c r="Q352" s="34" t="n">
        <x:f>-I352</x:f>
        <x:v>-4.809865221839508</x:v>
      </x:c>
      <x:c r="R352" s="36" t="n">
        <x:f>YEAR(A352)</x:f>
        <x:v>2022</x:v>
      </x:c>
    </x:row>
    <x:row r="353">
      <x:c r="A353" s="30" t="n">
        <x:v>44698</x:v>
      </x:c>
      <x:c r="B353" s="38" t="n">
        <x:v>4088.85</x:v>
      </x:c>
      <x:c r="C353" s="34" t="n">
        <x:f>(B353/B352-1)*100</x:f>
        <x:v>2.0169610355263545</x:v>
      </x:c>
      <x:c r="D353" s="34" t="n">
        <x:f>Assumptions!$B$4*D352+(1-Assumptions!$B$4)*C352^2</x:f>
        <x:v>3.2103790484529755</x:v>
      </x:c>
      <x:c r="E353" s="34" t="n">
        <x:f>SQRT(D353)</x:f>
        <x:v>1.7917530657021283</x:v>
      </x:c>
      <x:c r="F353" s="34" t="n">
        <x:f>-Assumptions!$B$7*E353</x:f>
        <x:v>2.9471715287215665</x:v>
      </x:c>
      <x:c r="G353" s="34" t="n">
        <x:f>-Assumptions!$B$8*E353</x:f>
        <x:v>4.168240935202304</x:v>
      </x:c>
      <x:c r="H353" s="34" t="n">
        <x:f>-Assumptions!$B$9*E353</x:f>
        <x:v>2.7966572966033785</x:v>
      </x:c>
      <x:c r="I353" s="34" t="n">
        <x:f>-Assumptions!$B$10*E353</x:f>
        <x:v>4.670139089027284</x:v>
      </x:c>
      <x:c r="J353" s="36" t="n">
        <x:f>IF(C353&lt;-F353,1,0)</x:f>
        <x:v>0</x:v>
      </x:c>
      <x:c r="K353" s="36" t="n">
        <x:f>IF(C353&lt;-G353,1,0)</x:f>
        <x:v>0</x:v>
      </x:c>
      <x:c r="L353" s="36" t="n">
        <x:f>IF(C353&lt;-H353,1,0)</x:f>
        <x:v>0</x:v>
      </x:c>
      <x:c r="M353" s="36" t="n">
        <x:f>IF(C353&lt;-I353,1,0)</x:f>
        <x:v>0</x:v>
      </x:c>
      <x:c r="N353" s="34" t="n">
        <x:f>-F353</x:f>
        <x:v>-2.9471715287215665</x:v>
      </x:c>
      <x:c r="O353" s="34" t="n">
        <x:f>-H353</x:f>
        <x:v>-2.7966572966033785</x:v>
      </x:c>
      <x:c r="P353" s="34" t="n">
        <x:f>-G353</x:f>
        <x:v>-4.168240935202304</x:v>
      </x:c>
      <x:c r="Q353" s="34" t="n">
        <x:f>-I353</x:f>
        <x:v>-4.670139089027284</x:v>
      </x:c>
      <x:c r="R353" s="36" t="n">
        <x:f>YEAR(A353)</x:f>
        <x:v>2022</x:v>
      </x:c>
    </x:row>
    <x:row r="354">
      <x:c r="A354" s="30" t="n">
        <x:v>44699</x:v>
      </x:c>
      <x:c r="B354" s="38" t="n">
        <x:v>3923.68</x:v>
      </x:c>
      <x:c r="C354" s="34" t="n">
        <x:f>(B354/B353-1)*100</x:f>
        <x:v>-4.039522115020122</x:v>
      </x:c>
      <x:c r="D354" s="34" t="n">
        <x:f>Assumptions!$B$4*D353+(1-Assumptions!$B$4)*C353^2</x:f>
        <x:v>3.2618442146756896</x:v>
      </x:c>
      <x:c r="E354" s="34" t="n">
        <x:f>SQRT(D354)</x:f>
        <x:v>1.8060576443390974</x:v>
      </x:c>
      <x:c r="F354" s="34" t="n">
        <x:f>-Assumptions!$B$7*E354</x:f>
        <x:v>2.9707004667745975</x:v>
      </x:c>
      <x:c r="G354" s="34" t="n">
        <x:f>-Assumptions!$B$8*E354</x:f>
        <x:v>4.201518361303467</x:v>
      </x:c>
      <x:c r="H354" s="34" t="n">
        <x:f>-Assumptions!$B$9*E354</x:f>
        <x:v>2.818984594368732</x:v>
      </x:c>
      <x:c r="I354" s="34" t="n">
        <x:f>-Assumptions!$B$10*E354</x:f>
        <x:v>4.707423452103507</x:v>
      </x:c>
      <x:c r="J354" s="36" t="n">
        <x:f>IF(C354&lt;-F354,1,0)</x:f>
        <x:v>1</x:v>
      </x:c>
      <x:c r="K354" s="36" t="n">
        <x:f>IF(C354&lt;-G354,1,0)</x:f>
        <x:v>0</x:v>
      </x:c>
      <x:c r="L354" s="36" t="n">
        <x:f>IF(C354&lt;-H354,1,0)</x:f>
        <x:v>1</x:v>
      </x:c>
      <x:c r="M354" s="36" t="n">
        <x:f>IF(C354&lt;-I354,1,0)</x:f>
        <x:v>0</x:v>
      </x:c>
      <x:c r="N354" s="34" t="n">
        <x:f>-F354</x:f>
        <x:v>-2.9707004667745975</x:v>
      </x:c>
      <x:c r="O354" s="34" t="n">
        <x:f>-H354</x:f>
        <x:v>-2.818984594368732</x:v>
      </x:c>
      <x:c r="P354" s="34" t="n">
        <x:f>-G354</x:f>
        <x:v>-4.201518361303467</x:v>
      </x:c>
      <x:c r="Q354" s="34" t="n">
        <x:f>-I354</x:f>
        <x:v>-4.707423452103507</x:v>
      </x:c>
      <x:c r="R354" s="36" t="n">
        <x:f>YEAR(A354)</x:f>
        <x:v>2022</x:v>
      </x:c>
    </x:row>
    <x:row r="355">
      <x:c r="A355" s="30" t="n">
        <x:v>44700</x:v>
      </x:c>
      <x:c r="B355" s="38" t="n">
        <x:v>3900.79</x:v>
      </x:c>
      <x:c r="C355" s="34" t="n">
        <x:f>(B355/B354-1)*100</x:f>
        <x:v>-0.5833809077192775</x:v>
      </x:c>
      <x:c r="D355" s="34" t="n">
        <x:f>Assumptions!$B$4*D354+(1-Assumptions!$B$4)*C354^2</x:f>
        <x:v>4.045197896859348</x:v>
      </x:c>
      <x:c r="E355" s="34" t="n">
        <x:f>SQRT(D355)</x:f>
        <x:v>2.011267733758822</x:v>
      </x:c>
      <x:c r="F355" s="34" t="n">
        <x:f>-Assumptions!$B$7*E355</x:f>
        <x:v>3.3082410266436675</x:v>
      </x:c>
      <x:c r="G355" s="34" t="n">
        <x:f>-Assumptions!$B$8*E355</x:f>
        <x:v>4.678908416556774</x:v>
      </x:c>
      <x:c r="H355" s="34" t="n">
        <x:f>-Assumptions!$B$9*E355</x:f>
        <x:v>3.1392867079233198</x:v>
      </x:c>
      <x:c r="I355" s="34" t="n">
        <x:f>-Assumptions!$B$10*E355</x:f>
        <x:v>5.242296074010416</x:v>
      </x:c>
      <x:c r="J355" s="36" t="n">
        <x:f>IF(C355&lt;-F355,1,0)</x:f>
        <x:v>0</x:v>
      </x:c>
      <x:c r="K355" s="36" t="n">
        <x:f>IF(C355&lt;-G355,1,0)</x:f>
        <x:v>0</x:v>
      </x:c>
      <x:c r="L355" s="36" t="n">
        <x:f>IF(C355&lt;-H355,1,0)</x:f>
        <x:v>0</x:v>
      </x:c>
      <x:c r="M355" s="36" t="n">
        <x:f>IF(C355&lt;-I355,1,0)</x:f>
        <x:v>0</x:v>
      </x:c>
      <x:c r="N355" s="34" t="n">
        <x:f>-F355</x:f>
        <x:v>-3.3082410266436675</x:v>
      </x:c>
      <x:c r="O355" s="34" t="n">
        <x:f>-H355</x:f>
        <x:v>-3.1392867079233198</x:v>
      </x:c>
      <x:c r="P355" s="34" t="n">
        <x:f>-G355</x:f>
        <x:v>-4.678908416556774</x:v>
      </x:c>
      <x:c r="Q355" s="34" t="n">
        <x:f>-I355</x:f>
        <x:v>-5.242296074010416</x:v>
      </x:c>
      <x:c r="R355" s="36" t="n">
        <x:f>YEAR(A355)</x:f>
        <x:v>2022</x:v>
      </x:c>
    </x:row>
    <x:row r="356">
      <x:c r="A356" s="30" t="n">
        <x:v>44701</x:v>
      </x:c>
      <x:c r="B356" s="38" t="n">
        <x:v>3901.36</x:v>
      </x:c>
      <x:c r="C356" s="34" t="n">
        <x:f>(B356/B355-1)*100</x:f>
        <x:v>0.014612424662696633</x:v>
      </x:c>
      <x:c r="D356" s="34" t="n">
        <x:f>Assumptions!$B$4*D355+(1-Assumptions!$B$4)*C355^2</x:f>
        <x:v>3.8229060200572684</x:v>
      </x:c>
      <x:c r="E356" s="34" t="n">
        <x:f>SQRT(D356)</x:f>
        <x:v>1.9552253118393461</x:v>
      </x:c>
      <x:c r="F356" s="34" t="n">
        <x:f>-Assumptions!$B$7*E356</x:f>
        <x:v>3.216059445686273</x:v>
      </x:c>
      <x:c r="G356" s="34" t="n">
        <x:f>-Assumptions!$B$8*E356</x:f>
        <x:v>4.548534247468302</x:v>
      </x:c>
      <x:c r="H356" s="34" t="n">
        <x:f>-Assumptions!$B$9*E356</x:f>
        <x:v>3.051812908558557</x:v>
      </x:c>
      <x:c r="I356" s="34" t="n">
        <x:f>-Assumptions!$B$10*E356</x:f>
        <x:v>5.0962235430016065</x:v>
      </x:c>
      <x:c r="J356" s="36" t="n">
        <x:f>IF(C356&lt;-F356,1,0)</x:f>
        <x:v>0</x:v>
      </x:c>
      <x:c r="K356" s="36" t="n">
        <x:f>IF(C356&lt;-G356,1,0)</x:f>
        <x:v>0</x:v>
      </x:c>
      <x:c r="L356" s="36" t="n">
        <x:f>IF(C356&lt;-H356,1,0)</x:f>
        <x:v>0</x:v>
      </x:c>
      <x:c r="M356" s="36" t="n">
        <x:f>IF(C356&lt;-I356,1,0)</x:f>
        <x:v>0</x:v>
      </x:c>
      <x:c r="N356" s="34" t="n">
        <x:f>-F356</x:f>
        <x:v>-3.216059445686273</x:v>
      </x:c>
      <x:c r="O356" s="34" t="n">
        <x:f>-H356</x:f>
        <x:v>-3.051812908558557</x:v>
      </x:c>
      <x:c r="P356" s="34" t="n">
        <x:f>-G356</x:f>
        <x:v>-4.548534247468302</x:v>
      </x:c>
      <x:c r="Q356" s="34" t="n">
        <x:f>-I356</x:f>
        <x:v>-5.0962235430016065</x:v>
      </x:c>
      <x:c r="R356" s="36" t="n">
        <x:f>YEAR(A356)</x:f>
        <x:v>2022</x:v>
      </x:c>
    </x:row>
    <x:row r="357">
      <x:c r="A357" s="30" t="n">
        <x:v>44704</x:v>
      </x:c>
      <x:c r="B357" s="38" t="n">
        <x:v>3973.75</x:v>
      </x:c>
      <x:c r="C357" s="34" t="n">
        <x:f>(B357/B356-1)*100</x:f>
        <x:v>1.8555067976295359</x:v>
      </x:c>
      <x:c r="D357" s="34" t="n">
        <x:f>Assumptions!$B$4*D356+(1-Assumptions!$B$4)*C356^2</x:f>
        <x:v>3.5935444702311035</x:v>
      </x:c>
      <x:c r="E357" s="34" t="n">
        <x:f>SQRT(D357)</x:f>
        <x:v>1.8956646513112765</x:v>
      </x:c>
      <x:c r="F357" s="34" t="n">
        <x:f>-Assumptions!$B$7*E357</x:f>
        <x:v>3.1180908771930524</x:v>
      </x:c>
      <x:c r="G357" s="34" t="n">
        <x:f>-Assumptions!$B$8*E357</x:f>
        <x:v>4.4099754314723585</x:v>
      </x:c>
      <x:c r="H357" s="34" t="n">
        <x:f>-Assumptions!$B$9*E357</x:f>
        <x:v>2.9588476673962267</x:v>
      </x:c>
      <x:c r="I357" s="34" t="n">
        <x:f>-Assumptions!$B$10*E357</x:f>
        <x:v>4.940980851235137</x:v>
      </x:c>
      <x:c r="J357" s="36" t="n">
        <x:f>IF(C357&lt;-F357,1,0)</x:f>
        <x:v>0</x:v>
      </x:c>
      <x:c r="K357" s="36" t="n">
        <x:f>IF(C357&lt;-G357,1,0)</x:f>
        <x:v>0</x:v>
      </x:c>
      <x:c r="L357" s="36" t="n">
        <x:f>IF(C357&lt;-H357,1,0)</x:f>
        <x:v>0</x:v>
      </x:c>
      <x:c r="M357" s="36" t="n">
        <x:f>IF(C357&lt;-I357,1,0)</x:f>
        <x:v>0</x:v>
      </x:c>
      <x:c r="N357" s="34" t="n">
        <x:f>-F357</x:f>
        <x:v>-3.1180908771930524</x:v>
      </x:c>
      <x:c r="O357" s="34" t="n">
        <x:f>-H357</x:f>
        <x:v>-2.9588476673962267</x:v>
      </x:c>
      <x:c r="P357" s="34" t="n">
        <x:f>-G357</x:f>
        <x:v>-4.4099754314723585</x:v>
      </x:c>
      <x:c r="Q357" s="34" t="n">
        <x:f>-I357</x:f>
        <x:v>-4.940980851235137</x:v>
      </x:c>
      <x:c r="R357" s="36" t="n">
        <x:f>YEAR(A357)</x:f>
        <x:v>2022</x:v>
      </x:c>
    </x:row>
    <x:row r="358">
      <x:c r="A358" s="30" t="n">
        <x:v>44705</x:v>
      </x:c>
      <x:c r="B358" s="38" t="n">
        <x:v>3941.48</x:v>
      </x:c>
      <x:c r="C358" s="34" t="n">
        <x:f>(B358/B357-1)*100</x:f>
        <x:v>-0.8120792702107527</x:v>
      </x:c>
      <x:c r="D358" s="34" t="n">
        <x:f>Assumptions!$B$4*D357+(1-Assumptions!$B$4)*C357^2</x:f>
        <x:v>3.584506130580202</x:v>
      </x:c>
      <x:c r="E358" s="34" t="n">
        <x:f>SQRT(D358)</x:f>
        <x:v>1.8932792003770078</x:v>
      </x:c>
      <x:c r="F358" s="34" t="n">
        <x:f>-Assumptions!$B$7*E358</x:f>
        <x:v>3.1141671595719056</x:v>
      </x:c>
      <x:c r="G358" s="34" t="n">
        <x:f>-Assumptions!$B$8*E358</x:f>
        <x:v>4.404426042762794</x:v>
      </x:c>
      <x:c r="H358" s="34" t="n">
        <x:f>-Assumptions!$B$9*E358</x:f>
        <x:v>2.9551243369391935</x:v>
      </x:c>
      <x:c r="I358" s="34" t="n">
        <x:f>-Assumptions!$B$10*E358</x:f>
        <x:v>4.9347632602811515</x:v>
      </x:c>
      <x:c r="J358" s="36" t="n">
        <x:f>IF(C358&lt;-F358,1,0)</x:f>
        <x:v>0</x:v>
      </x:c>
      <x:c r="K358" s="36" t="n">
        <x:f>IF(C358&lt;-G358,1,0)</x:f>
        <x:v>0</x:v>
      </x:c>
      <x:c r="L358" s="36" t="n">
        <x:f>IF(C358&lt;-H358,1,0)</x:f>
        <x:v>0</x:v>
      </x:c>
      <x:c r="M358" s="36" t="n">
        <x:f>IF(C358&lt;-I358,1,0)</x:f>
        <x:v>0</x:v>
      </x:c>
      <x:c r="N358" s="34" t="n">
        <x:f>-F358</x:f>
        <x:v>-3.1141671595719056</x:v>
      </x:c>
      <x:c r="O358" s="34" t="n">
        <x:f>-H358</x:f>
        <x:v>-2.9551243369391935</x:v>
      </x:c>
      <x:c r="P358" s="34" t="n">
        <x:f>-G358</x:f>
        <x:v>-4.404426042762794</x:v>
      </x:c>
      <x:c r="Q358" s="34" t="n">
        <x:f>-I358</x:f>
        <x:v>-4.9347632602811515</x:v>
      </x:c>
      <x:c r="R358" s="36" t="n">
        <x:f>YEAR(A358)</x:f>
        <x:v>2022</x:v>
      </x:c>
    </x:row>
    <x:row r="359">
      <x:c r="A359" s="30" t="n">
        <x:v>44706</x:v>
      </x:c>
      <x:c r="B359" s="38" t="n">
        <x:v>3978.73</x:v>
      </x:c>
      <x:c r="C359" s="34" t="n">
        <x:f>(B359/B358-1)*100</x:f>
        <x:v>0.9450764687376267</x:v>
      </x:c>
      <x:c r="D359" s="34" t="n">
        <x:f>Assumptions!$B$4*D358+(1-Assumptions!$B$4)*C358^2</x:f>
        <x:v>3.4090041272117513</x:v>
      </x:c>
      <x:c r="E359" s="34" t="n">
        <x:f>SQRT(D359)</x:f>
        <x:v>1.8463488638964607</x:v>
      </x:c>
      <x:c r="F359" s="34" t="n">
        <x:f>-Assumptions!$B$7*E359</x:f>
        <x:v>3.036973625397825</x:v>
      </x:c>
      <x:c r="G359" s="34" t="n">
        <x:f>-Assumptions!$B$8*E359</x:f>
        <x:v>4.295249754263252</x:v>
      </x:c>
      <x:c r="H359" s="34" t="n">
        <x:f>-Assumptions!$B$9*E359</x:f>
        <x:v>2.881873133711062</x:v>
      </x:c>
      <x:c r="I359" s="34" t="n">
        <x:f>-Assumptions!$B$10*E359</x:f>
        <x:v>4.812441047999561</x:v>
      </x:c>
      <x:c r="J359" s="36" t="n">
        <x:f>IF(C359&lt;-F359,1,0)</x:f>
        <x:v>0</x:v>
      </x:c>
      <x:c r="K359" s="36" t="n">
        <x:f>IF(C359&lt;-G359,1,0)</x:f>
        <x:v>0</x:v>
      </x:c>
      <x:c r="L359" s="36" t="n">
        <x:f>IF(C359&lt;-H359,1,0)</x:f>
        <x:v>0</x:v>
      </x:c>
      <x:c r="M359" s="36" t="n">
        <x:f>IF(C359&lt;-I359,1,0)</x:f>
        <x:v>0</x:v>
      </x:c>
      <x:c r="N359" s="34" t="n">
        <x:f>-F359</x:f>
        <x:v>-3.036973625397825</x:v>
      </x:c>
      <x:c r="O359" s="34" t="n">
        <x:f>-H359</x:f>
        <x:v>-2.881873133711062</x:v>
      </x:c>
      <x:c r="P359" s="34" t="n">
        <x:f>-G359</x:f>
        <x:v>-4.295249754263252</x:v>
      </x:c>
      <x:c r="Q359" s="34" t="n">
        <x:f>-I359</x:f>
        <x:v>-4.812441047999561</x:v>
      </x:c>
      <x:c r="R359" s="36" t="n">
        <x:f>YEAR(A359)</x:f>
        <x:v>2022</x:v>
      </x:c>
    </x:row>
    <x:row r="360">
      <x:c r="A360" s="30" t="n">
        <x:v>44707</x:v>
      </x:c>
      <x:c r="B360" s="38" t="n">
        <x:v>4057.84</x:v>
      </x:c>
      <x:c r="C360" s="34" t="n">
        <x:f>(B360/B359-1)*100</x:f>
        <x:v>1.988322907058282</x:v>
      </x:c>
      <x:c r="D360" s="34" t="n">
        <x:f>Assumptions!$B$4*D359+(1-Assumptions!$B$4)*C359^2</x:f>
        <x:v>3.258054051484741</x:v>
      </x:c>
      <x:c r="E360" s="34" t="n">
        <x:f>SQRT(D360)</x:f>
        <x:v>1.8050080474847587</x:v>
      </x:c>
      <x:c r="F360" s="34" t="n">
        <x:f>-Assumptions!$B$7*E360</x:f>
        <x:v>2.968974033581902</x:v>
      </x:c>
      <x:c r="G360" s="34" t="n">
        <x:f>-Assumptions!$B$8*E360</x:f>
        <x:v>4.199076633892776</x:v>
      </x:c>
      <x:c r="H360" s="34" t="n">
        <x:f>-Assumptions!$B$9*E360</x:f>
        <x:v>2.8173463313974736</x:v>
      </x:c>
      <x:c r="I360" s="34" t="n">
        <x:f>-Assumptions!$B$10*E360</x:f>
        <x:v>4.704687716141338</x:v>
      </x:c>
      <x:c r="J360" s="36" t="n">
        <x:f>IF(C360&lt;-F360,1,0)</x:f>
        <x:v>0</x:v>
      </x:c>
      <x:c r="K360" s="36" t="n">
        <x:f>IF(C360&lt;-G360,1,0)</x:f>
        <x:v>0</x:v>
      </x:c>
      <x:c r="L360" s="36" t="n">
        <x:f>IF(C360&lt;-H360,1,0)</x:f>
        <x:v>0</x:v>
      </x:c>
      <x:c r="M360" s="36" t="n">
        <x:f>IF(C360&lt;-I360,1,0)</x:f>
        <x:v>0</x:v>
      </x:c>
      <x:c r="N360" s="34" t="n">
        <x:f>-F360</x:f>
        <x:v>-2.968974033581902</x:v>
      </x:c>
      <x:c r="O360" s="34" t="n">
        <x:f>-H360</x:f>
        <x:v>-2.8173463313974736</x:v>
      </x:c>
      <x:c r="P360" s="34" t="n">
        <x:f>-G360</x:f>
        <x:v>-4.199076633892776</x:v>
      </x:c>
      <x:c r="Q360" s="34" t="n">
        <x:f>-I360</x:f>
        <x:v>-4.704687716141338</x:v>
      </x:c>
      <x:c r="R360" s="36" t="n">
        <x:f>YEAR(A360)</x:f>
        <x:v>2022</x:v>
      </x:c>
    </x:row>
    <x:row r="361">
      <x:c r="A361" s="30" t="n">
        <x:v>44708</x:v>
      </x:c>
      <x:c r="B361" s="38" t="n">
        <x:v>4158.24</x:v>
      </x:c>
      <x:c r="C361" s="34" t="n">
        <x:f>(B361/B360-1)*100</x:f>
        <x:v>2.4742227391912897</x:v>
      </x:c>
      <x:c r="D361" s="34" t="n">
        <x:f>Assumptions!$B$4*D360+(1-Assumptions!$B$4)*C360^2</x:f>
        <x:v>3.299776487359618</x:v>
      </x:c>
      <x:c r="E361" s="34" t="n">
        <x:f>SQRT(D361)</x:f>
        <x:v>1.8165286915872312</x:v>
      </x:c>
      <x:c r="F361" s="34" t="n">
        <x:f>-Assumptions!$B$7*E361</x:f>
        <x:v>2.987923806818671</x:v>
      </x:c>
      <x:c r="G361" s="34" t="n">
        <x:f>-Assumptions!$B$8*E361</x:f>
        <x:v>4.225877659808145</x:v>
      </x:c>
      <x:c r="H361" s="34" t="n">
        <x:f>-Assumptions!$B$9*E361</x:f>
        <x:v>2.835328325684239</x:v>
      </x:c>
      <x:c r="I361" s="34" t="n">
        <x:f>-Assumptions!$B$10*E361</x:f>
        <x:v>4.7347158552770425</x:v>
      </x:c>
      <x:c r="J361" s="36" t="n">
        <x:f>IF(C361&lt;-F361,1,0)</x:f>
        <x:v>0</x:v>
      </x:c>
      <x:c r="K361" s="36" t="n">
        <x:f>IF(C361&lt;-G361,1,0)</x:f>
        <x:v>0</x:v>
      </x:c>
      <x:c r="L361" s="36" t="n">
        <x:f>IF(C361&lt;-H361,1,0)</x:f>
        <x:v>0</x:v>
      </x:c>
      <x:c r="M361" s="36" t="n">
        <x:f>IF(C361&lt;-I361,1,0)</x:f>
        <x:v>0</x:v>
      </x:c>
      <x:c r="N361" s="34" t="n">
        <x:f>-F361</x:f>
        <x:v>-2.987923806818671</x:v>
      </x:c>
      <x:c r="O361" s="34" t="n">
        <x:f>-H361</x:f>
        <x:v>-2.835328325684239</x:v>
      </x:c>
      <x:c r="P361" s="34" t="n">
        <x:f>-G361</x:f>
        <x:v>-4.225877659808145</x:v>
      </x:c>
      <x:c r="Q361" s="34" t="n">
        <x:f>-I361</x:f>
        <x:v>-4.7347158552770425</x:v>
      </x:c>
      <x:c r="R361" s="36" t="n">
        <x:f>YEAR(A361)</x:f>
        <x:v>2022</x:v>
      </x:c>
    </x:row>
    <x:row r="362">
      <x:c r="A362" s="30" t="n">
        <x:v>44712</x:v>
      </x:c>
      <x:c r="B362" s="38" t="n">
        <x:v>4132.15</x:v>
      </x:c>
      <x:c r="C362" s="34" t="n">
        <x:f>(B362/B361-1)*100</x:f>
        <x:v>-0.6274289122320975</x:v>
      </x:c>
      <x:c r="D362" s="34" t="n">
        <x:f>Assumptions!$B$4*D361+(1-Assumptions!$B$4)*C361^2</x:f>
        <x:v>3.4690965879059164</x:v>
      </x:c>
      <x:c r="E362" s="34" t="n">
        <x:f>SQRT(D362)</x:f>
        <x:v>1.862551096723501</x:v>
      </x:c>
      <x:c r="F362" s="34" t="n">
        <x:f>-Assumptions!$B$7*E362</x:f>
        <x:v>3.063623926828094</x:v>
      </x:c>
      <x:c r="G362" s="34" t="n">
        <x:f>-Assumptions!$B$8*E362</x:f>
        <x:v>4.332941784155152</x:v>
      </x:c>
      <x:c r="H362" s="34" t="n">
        <x:f>-Assumptions!$B$9*E362</x:f>
        <x:v>2.907162384514857</x:v>
      </x:c>
      <x:c r="I362" s="34" t="n">
        <x:f>-Assumptions!$B$10*E362</x:f>
        <x:v>4.854671577587315</x:v>
      </x:c>
      <x:c r="J362" s="36" t="n">
        <x:f>IF(C362&lt;-F362,1,0)</x:f>
        <x:v>0</x:v>
      </x:c>
      <x:c r="K362" s="36" t="n">
        <x:f>IF(C362&lt;-G362,1,0)</x:f>
        <x:v>0</x:v>
      </x:c>
      <x:c r="L362" s="36" t="n">
        <x:f>IF(C362&lt;-H362,1,0)</x:f>
        <x:v>0</x:v>
      </x:c>
      <x:c r="M362" s="36" t="n">
        <x:f>IF(C362&lt;-I362,1,0)</x:f>
        <x:v>0</x:v>
      </x:c>
      <x:c r="N362" s="34" t="n">
        <x:f>-F362</x:f>
        <x:v>-3.063623926828094</x:v>
      </x:c>
      <x:c r="O362" s="34" t="n">
        <x:f>-H362</x:f>
        <x:v>-2.907162384514857</x:v>
      </x:c>
      <x:c r="P362" s="34" t="n">
        <x:f>-G362</x:f>
        <x:v>-4.332941784155152</x:v>
      </x:c>
      <x:c r="Q362" s="34" t="n">
        <x:f>-I362</x:f>
        <x:v>-4.854671577587315</x:v>
      </x:c>
      <x:c r="R362" s="36" t="n">
        <x:f>YEAR(A362)</x:f>
        <x:v>2022</x:v>
      </x:c>
    </x:row>
    <x:row r="363">
      <x:c r="A363" s="30" t="n">
        <x:v>44713</x:v>
      </x:c>
      <x:c r="B363" s="38" t="n">
        <x:v>4101.23</x:v>
      </x:c>
      <x:c r="C363" s="34" t="n">
        <x:f>(B363/B362-1)*100</x:f>
        <x:v>-0.7482787410912017</x:v>
      </x:c>
      <x:c r="D363" s="34" t="n">
        <x:f>Assumptions!$B$4*D362+(1-Assumptions!$B$4)*C362^2</x:f>
        <x:v>3.2845708150258464</x:v>
      </x:c>
      <x:c r="E363" s="34" t="n">
        <x:f>SQRT(D363)</x:f>
        <x:v>1.8123384935011027</x:v>
      </x:c>
      <x:c r="F363" s="34" t="n">
        <x:f>-Assumptions!$B$7*E363</x:f>
        <x:v>2.981031544299057</x:v>
      </x:c>
      <x:c r="G363" s="34" t="n">
        <x:f>-Assumptions!$B$8*E363</x:f>
        <x:v>4.21612980139867</x:v>
      </x:c>
      <x:c r="H363" s="34" t="n">
        <x:f>-Assumptions!$B$9*E363</x:f>
        <x:v>2.828788056114675</x:v>
      </x:c>
      <x:c r="I363" s="34" t="n">
        <x:f>-Assumptions!$B$10*E363</x:f>
        <x:v>4.723794256621858</x:v>
      </x:c>
      <x:c r="J363" s="36" t="n">
        <x:f>IF(C363&lt;-F363,1,0)</x:f>
        <x:v>0</x:v>
      </x:c>
      <x:c r="K363" s="36" t="n">
        <x:f>IF(C363&lt;-G363,1,0)</x:f>
        <x:v>0</x:v>
      </x:c>
      <x:c r="L363" s="36" t="n">
        <x:f>IF(C363&lt;-H363,1,0)</x:f>
        <x:v>0</x:v>
      </x:c>
      <x:c r="M363" s="36" t="n">
        <x:f>IF(C363&lt;-I363,1,0)</x:f>
        <x:v>0</x:v>
      </x:c>
      <x:c r="N363" s="34" t="n">
        <x:f>-F363</x:f>
        <x:v>-2.981031544299057</x:v>
      </x:c>
      <x:c r="O363" s="34" t="n">
        <x:f>-H363</x:f>
        <x:v>-2.828788056114675</x:v>
      </x:c>
      <x:c r="P363" s="34" t="n">
        <x:f>-G363</x:f>
        <x:v>-4.21612980139867</x:v>
      </x:c>
      <x:c r="Q363" s="34" t="n">
        <x:f>-I363</x:f>
        <x:v>-4.723794256621858</x:v>
      </x:c>
      <x:c r="R363" s="36" t="n">
        <x:f>YEAR(A363)</x:f>
        <x:v>2022</x:v>
      </x:c>
    </x:row>
    <x:row r="364">
      <x:c r="A364" s="30" t="n">
        <x:v>44714</x:v>
      </x:c>
      <x:c r="B364" s="38" t="n">
        <x:v>4176.82</x:v>
      </x:c>
      <x:c r="C364" s="34" t="n">
        <x:f>(B364/B363-1)*100</x:f>
        <x:v>1.8431056049039052</x:v>
      </x:c>
      <x:c r="D364" s="34" t="n">
        <x:f>Assumptions!$B$4*D363+(1-Assumptions!$B$4)*C363^2</x:f>
        <x:v>3.1210918305864372</x:v>
      </x:c>
      <x:c r="E364" s="34" t="n">
        <x:f>SQRT(D364)</x:f>
        <x:v>1.7666612099059733</x:v>
      </x:c>
      <x:c r="F364" s="34" t="n">
        <x:f>-Assumptions!$B$7*E364</x:f>
        <x:v>2.9058990987083173</x:v>
      </x:c>
      <x:c r="G364" s="34" t="n">
        <x:f>-Assumptions!$B$8*E364</x:f>
        <x:v>4.10986854981518</x:v>
      </x:c>
      <x:c r="H364" s="34" t="n">
        <x:f>-Assumptions!$B$9*E364</x:f>
        <x:v>2.757492680149862</x:v>
      </x:c>
      <x:c r="I364" s="34" t="n">
        <x:f>-Assumptions!$B$10*E364</x:f>
        <x:v>4.6047380810351815</x:v>
      </x:c>
      <x:c r="J364" s="36" t="n">
        <x:f>IF(C364&lt;-F364,1,0)</x:f>
        <x:v>0</x:v>
      </x:c>
      <x:c r="K364" s="36" t="n">
        <x:f>IF(C364&lt;-G364,1,0)</x:f>
        <x:v>0</x:v>
      </x:c>
      <x:c r="L364" s="36" t="n">
        <x:f>IF(C364&lt;-H364,1,0)</x:f>
        <x:v>0</x:v>
      </x:c>
      <x:c r="M364" s="36" t="n">
        <x:f>IF(C364&lt;-I364,1,0)</x:f>
        <x:v>0</x:v>
      </x:c>
      <x:c r="N364" s="34" t="n">
        <x:f>-F364</x:f>
        <x:v>-2.9058990987083173</x:v>
      </x:c>
      <x:c r="O364" s="34" t="n">
        <x:f>-H364</x:f>
        <x:v>-2.757492680149862</x:v>
      </x:c>
      <x:c r="P364" s="34" t="n">
        <x:f>-G364</x:f>
        <x:v>-4.10986854981518</x:v>
      </x:c>
      <x:c r="Q364" s="34" t="n">
        <x:f>-I364</x:f>
        <x:v>-4.6047380810351815</x:v>
      </x:c>
      <x:c r="R364" s="36" t="n">
        <x:f>YEAR(A364)</x:f>
        <x:v>2022</x:v>
      </x:c>
    </x:row>
    <x:row r="365">
      <x:c r="A365" s="30" t="n">
        <x:v>44715</x:v>
      </x:c>
      <x:c r="B365" s="38" t="n">
        <x:v>4108.54</x:v>
      </x:c>
      <x:c r="C365" s="34" t="n">
        <x:f>(B365/B364-1)*100</x:f>
        <x:v>-1.6347364741597592</x:v>
      </x:c>
      <x:c r="D365" s="34" t="n">
        <x:f>Assumptions!$B$4*D364+(1-Assumptions!$B$4)*C364^2</x:f>
        <x:v>3.1376486170009423</x:v>
      </x:c>
      <x:c r="E365" s="34" t="n">
        <x:f>SQRT(D365)</x:f>
        <x:v>1.7713409093116272</x:v>
      </x:c>
      <x:c r="F365" s="34" t="n">
        <x:f>-Assumptions!$B$7*E365</x:f>
        <x:v>2.91359651924875</x:v>
      </x:c>
      <x:c r="G365" s="34" t="n">
        <x:f>-Assumptions!$B$8*E365</x:f>
        <x:v>4.120755158578673</x:v>
      </x:c>
      <x:c r="H365" s="34" t="n">
        <x:f>-Assumptions!$B$9*E365</x:f>
        <x:v>2.764796987723966</x:v>
      </x:c>
      <x:c r="I365" s="34" t="n">
        <x:f>-Assumptions!$B$10*E365</x:f>
        <x:v>4.616935547046312</x:v>
      </x:c>
      <x:c r="J365" s="36" t="n">
        <x:f>IF(C365&lt;-F365,1,0)</x:f>
        <x:v>0</x:v>
      </x:c>
      <x:c r="K365" s="36" t="n">
        <x:f>IF(C365&lt;-G365,1,0)</x:f>
        <x:v>0</x:v>
      </x:c>
      <x:c r="L365" s="36" t="n">
        <x:f>IF(C365&lt;-H365,1,0)</x:f>
        <x:v>0</x:v>
      </x:c>
      <x:c r="M365" s="36" t="n">
        <x:f>IF(C365&lt;-I365,1,0)</x:f>
        <x:v>0</x:v>
      </x:c>
      <x:c r="N365" s="34" t="n">
        <x:f>-F365</x:f>
        <x:v>-2.91359651924875</x:v>
      </x:c>
      <x:c r="O365" s="34" t="n">
        <x:f>-H365</x:f>
        <x:v>-2.764796987723966</x:v>
      </x:c>
      <x:c r="P365" s="34" t="n">
        <x:f>-G365</x:f>
        <x:v>-4.120755158578673</x:v>
      </x:c>
      <x:c r="Q365" s="34" t="n">
        <x:f>-I365</x:f>
        <x:v>-4.616935547046312</x:v>
      </x:c>
      <x:c r="R365" s="36" t="n">
        <x:f>YEAR(A365)</x:f>
        <x:v>2022</x:v>
      </x:c>
    </x:row>
    <x:row r="366">
      <x:c r="A366" s="30" t="n">
        <x:v>44718</x:v>
      </x:c>
      <x:c r="B366" s="38" t="n">
        <x:v>4121.43</x:v>
      </x:c>
      <x:c r="C366" s="34" t="n">
        <x:f>(B366/B365-1)*100</x:f>
        <x:v>0.31373675320187644</x:v>
      </x:c>
      <x:c r="D366" s="34" t="n">
        <x:f>Assumptions!$B$4*D365+(1-Assumptions!$B$4)*C365^2</x:f>
        <x:v>3.109731500377783</x:v>
      </x:c>
      <x:c r="E366" s="34" t="n">
        <x:f>SQRT(D366)</x:f>
        <x:v>1.7634430811278778</x:v>
      </x:c>
      <x:c r="F366" s="34" t="n">
        <x:f>-Assumptions!$B$7*E366</x:f>
        <x:v>2.9006057479156704</x:v>
      </x:c>
      <x:c r="G366" s="34" t="n">
        <x:f>-Assumptions!$B$8*E366</x:f>
        <x:v>4.102382062773867</x:v>
      </x:c>
      <x:c r="H366" s="34" t="n">
        <x:f>-Assumptions!$B$9*E366</x:f>
        <x:v>2.7524696647015006</x:v>
      </x:c>
      <x:c r="I366" s="34" t="n">
        <x:f>-Assumptions!$B$10*E366</x:f>
        <x:v>4.596350145617184</x:v>
      </x:c>
      <x:c r="J366" s="36" t="n">
        <x:f>IF(C366&lt;-F366,1,0)</x:f>
        <x:v>0</x:v>
      </x:c>
      <x:c r="K366" s="36" t="n">
        <x:f>IF(C366&lt;-G366,1,0)</x:f>
        <x:v>0</x:v>
      </x:c>
      <x:c r="L366" s="36" t="n">
        <x:f>IF(C366&lt;-H366,1,0)</x:f>
        <x:v>0</x:v>
      </x:c>
      <x:c r="M366" s="36" t="n">
        <x:f>IF(C366&lt;-I366,1,0)</x:f>
        <x:v>0</x:v>
      </x:c>
      <x:c r="N366" s="34" t="n">
        <x:f>-F366</x:f>
        <x:v>-2.9006057479156704</x:v>
      </x:c>
      <x:c r="O366" s="34" t="n">
        <x:f>-H366</x:f>
        <x:v>-2.7524696647015006</x:v>
      </x:c>
      <x:c r="P366" s="34" t="n">
        <x:f>-G366</x:f>
        <x:v>-4.102382062773867</x:v>
      </x:c>
      <x:c r="Q366" s="34" t="n">
        <x:f>-I366</x:f>
        <x:v>-4.596350145617184</x:v>
      </x:c>
      <x:c r="R366" s="36" t="n">
        <x:f>YEAR(A366)</x:f>
        <x:v>2022</x:v>
      </x:c>
    </x:row>
    <x:row r="367">
      <x:c r="A367" s="30" t="n">
        <x:v>44719</x:v>
      </x:c>
      <x:c r="B367" s="38" t="n">
        <x:v>4160.68</x:v>
      </x:c>
      <x:c r="C367" s="34" t="n">
        <x:f>(B367/B366-1)*100</x:f>
        <x:v>0.9523393579413009</x:v>
      </x:c>
      <x:c r="D367" s="34" t="n">
        <x:f>Assumptions!$B$4*D366+(1-Assumptions!$B$4)*C366^2</x:f>
        <x:v>2.929053455373695</x:v>
      </x:c>
      <x:c r="E367" s="34" t="n">
        <x:f>SQRT(D367)</x:f>
        <x:v>1.7114477658911167</x:v>
      </x:c>
      <x:c r="F367" s="34" t="n">
        <x:f>-Assumptions!$B$7*E367</x:f>
        <x:v>2.8150810650639984</x:v>
      </x:c>
      <x:c r="G367" s="34" t="n">
        <x:f>-Assumptions!$B$8*E367</x:f>
        <x:v>3.981422871712745</x:v>
      </x:c>
      <x:c r="H367" s="34" t="n">
        <x:f>-Assumptions!$B$9*E367</x:f>
        <x:v>2.671312790727297</x:v>
      </x:c>
      <x:c r="I367" s="34" t="n">
        <x:f>-Assumptions!$B$10*E367</x:f>
        <x:v>4.460826250733634</x:v>
      </x:c>
      <x:c r="J367" s="36" t="n">
        <x:f>IF(C367&lt;-F367,1,0)</x:f>
        <x:v>0</x:v>
      </x:c>
      <x:c r="K367" s="36" t="n">
        <x:f>IF(C367&lt;-G367,1,0)</x:f>
        <x:v>0</x:v>
      </x:c>
      <x:c r="L367" s="36" t="n">
        <x:f>IF(C367&lt;-H367,1,0)</x:f>
        <x:v>0</x:v>
      </x:c>
      <x:c r="M367" s="36" t="n">
        <x:f>IF(C367&lt;-I367,1,0)</x:f>
        <x:v>0</x:v>
      </x:c>
      <x:c r="N367" s="34" t="n">
        <x:f>-F367</x:f>
        <x:v>-2.8150810650639984</x:v>
      </x:c>
      <x:c r="O367" s="34" t="n">
        <x:f>-H367</x:f>
        <x:v>-2.671312790727297</x:v>
      </x:c>
      <x:c r="P367" s="34" t="n">
        <x:f>-G367</x:f>
        <x:v>-3.981422871712745</x:v>
      </x:c>
      <x:c r="Q367" s="34" t="n">
        <x:f>-I367</x:f>
        <x:v>-4.460826250733634</x:v>
      </x:c>
      <x:c r="R367" s="36" t="n">
        <x:f>YEAR(A367)</x:f>
        <x:v>2022</x:v>
      </x:c>
    </x:row>
    <x:row r="368">
      <x:c r="A368" s="30" t="n">
        <x:v>44720</x:v>
      </x:c>
      <x:c r="B368" s="38" t="n">
        <x:v>4115.77</x:v>
      </x:c>
      <x:c r="C368" s="34" t="n">
        <x:f>(B368/B367-1)*100</x:f>
        <x:v>-1.0793908688002896</x:v>
      </x:c>
      <x:c r="D368" s="34" t="n">
        <x:f>Assumptions!$B$4*D367+(1-Assumptions!$B$4)*C367^2</x:f>
        <x:v>2.8077272632123162</x:v>
      </x:c>
      <x:c r="E368" s="34" t="n">
        <x:f>SQRT(D368)</x:f>
        <x:v>1.6756274237467934</x:v>
      </x:c>
      <x:c r="F368" s="34" t="n">
        <x:f>-Assumptions!$B$7*E368</x:f>
        <x:v>2.756161845369266</x:v>
      </x:c>
      <x:c r="G368" s="34" t="n">
        <x:f>-Assumptions!$B$8*E368</x:f>
        <x:v>3.898092294917883</x:v>
      </x:c>
      <x:c r="H368" s="34" t="n">
        <x:f>-Assumptions!$B$9*E368</x:f>
        <x:v>2.6154026192073756</x:v>
      </x:c>
      <x:c r="I368" s="34" t="n">
        <x:f>-Assumptions!$B$10*E368</x:f>
        <x:v>4.367461833932716</x:v>
      </x:c>
      <x:c r="J368" s="36" t="n">
        <x:f>IF(C368&lt;-F368,1,0)</x:f>
        <x:v>0</x:v>
      </x:c>
      <x:c r="K368" s="36" t="n">
        <x:f>IF(C368&lt;-G368,1,0)</x:f>
        <x:v>0</x:v>
      </x:c>
      <x:c r="L368" s="36" t="n">
        <x:f>IF(C368&lt;-H368,1,0)</x:f>
        <x:v>0</x:v>
      </x:c>
      <x:c r="M368" s="36" t="n">
        <x:f>IF(C368&lt;-I368,1,0)</x:f>
        <x:v>0</x:v>
      </x:c>
      <x:c r="N368" s="34" t="n">
        <x:f>-F368</x:f>
        <x:v>-2.756161845369266</x:v>
      </x:c>
      <x:c r="O368" s="34" t="n">
        <x:f>-H368</x:f>
        <x:v>-2.6154026192073756</x:v>
      </x:c>
      <x:c r="P368" s="34" t="n">
        <x:f>-G368</x:f>
        <x:v>-3.898092294917883</x:v>
      </x:c>
      <x:c r="Q368" s="34" t="n">
        <x:f>-I368</x:f>
        <x:v>-4.367461833932716</x:v>
      </x:c>
      <x:c r="R368" s="36" t="n">
        <x:f>YEAR(A368)</x:f>
        <x:v>2022</x:v>
      </x:c>
    </x:row>
    <x:row r="369">
      <x:c r="A369" s="30" t="n">
        <x:v>44721</x:v>
      </x:c>
      <x:c r="B369" s="38" t="n">
        <x:v>4017.82</x:v>
      </x:c>
      <x:c r="C369" s="34" t="n">
        <x:f>(B369/B368-1)*100</x:f>
        <x:v>-2.3798705952956634</x:v>
      </x:c>
      <x:c r="D369" s="34" t="n">
        <x:f>Assumptions!$B$4*D368+(1-Assumptions!$B$4)*C368^2</x:f>
        <x:v>2.709168706278544</x:v>
      </x:c>
      <x:c r="E369" s="34" t="n">
        <x:f>SQRT(D369)</x:f>
        <x:v>1.6459552564631106</x:v>
      </x:c>
      <x:c r="F369" s="34" t="n">
        <x:f>-Assumptions!$B$7*E369</x:f>
        <x:v>2.7073554733931893</x:v>
      </x:c>
      <x:c r="G369" s="34" t="n">
        <x:f>-Assumptions!$B$8*E369</x:f>
        <x:v>3.8290645116393036</x:v>
      </x:c>
      <x:c r="H369" s="34" t="n">
        <x:f>-Assumptions!$B$9*E369</x:f>
        <x:v>2.569088824785358</x:v>
      </x:c>
      <x:c r="I369" s="34" t="n">
        <x:f>-Assumptions!$B$10*E369</x:f>
        <x:v>4.290122410917201</x:v>
      </x:c>
      <x:c r="J369" s="36" t="n">
        <x:f>IF(C369&lt;-F369,1,0)</x:f>
        <x:v>0</x:v>
      </x:c>
      <x:c r="K369" s="36" t="n">
        <x:f>IF(C369&lt;-G369,1,0)</x:f>
        <x:v>0</x:v>
      </x:c>
      <x:c r="L369" s="36" t="n">
        <x:f>IF(C369&lt;-H369,1,0)</x:f>
        <x:v>0</x:v>
      </x:c>
      <x:c r="M369" s="36" t="n">
        <x:f>IF(C369&lt;-I369,1,0)</x:f>
        <x:v>0</x:v>
      </x:c>
      <x:c r="N369" s="34" t="n">
        <x:f>-F369</x:f>
        <x:v>-2.7073554733931893</x:v>
      </x:c>
      <x:c r="O369" s="34" t="n">
        <x:f>-H369</x:f>
        <x:v>-2.569088824785358</x:v>
      </x:c>
      <x:c r="P369" s="34" t="n">
        <x:f>-G369</x:f>
        <x:v>-3.8290645116393036</x:v>
      </x:c>
      <x:c r="Q369" s="34" t="n">
        <x:f>-I369</x:f>
        <x:v>-4.290122410917201</x:v>
      </x:c>
      <x:c r="R369" s="36" t="n">
        <x:f>YEAR(A369)</x:f>
        <x:v>2022</x:v>
      </x:c>
    </x:row>
    <x:row r="370">
      <x:c r="A370" s="30" t="n">
        <x:v>44722</x:v>
      </x:c>
      <x:c r="B370" s="38" t="n">
        <x:v>3900.86</x:v>
      </x:c>
      <x:c r="C370" s="34" t="n">
        <x:f>(B370/B369-1)*100</x:f>
        <x:v>-2.911031355312088</x:v>
      </x:c>
      <x:c r="D370" s="34" t="n">
        <x:f>Assumptions!$B$4*D369+(1-Assumptions!$B$4)*C369^2</x:f>
        <x:v>2.886445626923008</x:v>
      </x:c>
      <x:c r="E370" s="34" t="n">
        <x:f>SQRT(D370)</x:f>
        <x:v>1.698954274523893</x:v>
      </x:c>
      <x:c r="F370" s="34" t="n">
        <x:f>-Assumptions!$B$7*E370</x:f>
        <x:v>2.794531100475334</x:v>
      </x:c>
      <x:c r="G370" s="34" t="n">
        <x:f>-Assumptions!$B$8*E370</x:f>
        <x:v>3.9523586646312565</x:v>
      </x:c>
      <x:c r="H370" s="34" t="n">
        <x:f>-Assumptions!$B$9*E370</x:f>
        <x:v>2.6518123280457915</x:v>
      </x:c>
      <x:c r="I370" s="34" t="n">
        <x:f>-Assumptions!$B$10*E370</x:f>
        <x:v>4.428262420644898</x:v>
      </x:c>
      <x:c r="J370" s="36" t="n">
        <x:f>IF(C370&lt;-F370,1,0)</x:f>
        <x:v>1</x:v>
      </x:c>
      <x:c r="K370" s="36" t="n">
        <x:f>IF(C370&lt;-G370,1,0)</x:f>
        <x:v>0</x:v>
      </x:c>
      <x:c r="L370" s="36" t="n">
        <x:f>IF(C370&lt;-H370,1,0)</x:f>
        <x:v>1</x:v>
      </x:c>
      <x:c r="M370" s="36" t="n">
        <x:f>IF(C370&lt;-I370,1,0)</x:f>
        <x:v>0</x:v>
      </x:c>
      <x:c r="N370" s="34" t="n">
        <x:f>-F370</x:f>
        <x:v>-2.794531100475334</x:v>
      </x:c>
      <x:c r="O370" s="34" t="n">
        <x:f>-H370</x:f>
        <x:v>-2.6518123280457915</x:v>
      </x:c>
      <x:c r="P370" s="34" t="n">
        <x:f>-G370</x:f>
        <x:v>-3.9523586646312565</x:v>
      </x:c>
      <x:c r="Q370" s="34" t="n">
        <x:f>-I370</x:f>
        <x:v>-4.428262420644898</x:v>
      </x:c>
      <x:c r="R370" s="36" t="n">
        <x:f>YEAR(A370)</x:f>
        <x:v>2022</x:v>
      </x:c>
    </x:row>
    <x:row r="371">
      <x:c r="A371" s="30" t="n">
        <x:v>44725</x:v>
      </x:c>
      <x:c r="B371" s="38" t="n">
        <x:v>3749.63</x:v>
      </x:c>
      <x:c r="C371" s="34" t="n">
        <x:f>(B371/B370-1)*100</x:f>
        <x:v>-3.876837415339185</x:v>
      </x:c>
      <x:c r="D371" s="34" t="n">
        <x:f>Assumptions!$B$4*D370+(1-Assumptions!$B$4)*C370^2</x:f>
        <x:v>3.221705102404236</x:v>
      </x:c>
      <x:c r="E371" s="34" t="n">
        <x:f>SQRT(D371)</x:f>
        <x:v>1.7949108898227333</x:v>
      </x:c>
      <x:c r="F371" s="34" t="n">
        <x:f>-Assumptions!$B$7*E371</x:f>
        <x:v>2.9523656871796184</x:v>
      </x:c>
      <x:c r="G371" s="34" t="n">
        <x:f>-Assumptions!$B$8*E371</x:f>
        <x:v>4.175587132631868</x:v>
      </x:c>
      <x:c r="H371" s="34" t="n">
        <x:f>-Assumptions!$B$9*E371</x:f>
        <x:v>2.801586185543116</x:v>
      </x:c>
      <x:c r="I371" s="34" t="n">
        <x:f>-Assumptions!$B$10*E371</x:f>
        <x:v>4.678369842552536</x:v>
      </x:c>
      <x:c r="J371" s="36" t="n">
        <x:f>IF(C371&lt;-F371,1,0)</x:f>
        <x:v>1</x:v>
      </x:c>
      <x:c r="K371" s="36" t="n">
        <x:f>IF(C371&lt;-G371,1,0)</x:f>
        <x:v>0</x:v>
      </x:c>
      <x:c r="L371" s="36" t="n">
        <x:f>IF(C371&lt;-H371,1,0)</x:f>
        <x:v>1</x:v>
      </x:c>
      <x:c r="M371" s="36" t="n">
        <x:f>IF(C371&lt;-I371,1,0)</x:f>
        <x:v>0</x:v>
      </x:c>
      <x:c r="N371" s="34" t="n">
        <x:f>-F371</x:f>
        <x:v>-2.9523656871796184</x:v>
      </x:c>
      <x:c r="O371" s="34" t="n">
        <x:f>-H371</x:f>
        <x:v>-2.801586185543116</x:v>
      </x:c>
      <x:c r="P371" s="34" t="n">
        <x:f>-G371</x:f>
        <x:v>-4.175587132631868</x:v>
      </x:c>
      <x:c r="Q371" s="34" t="n">
        <x:f>-I371</x:f>
        <x:v>-4.678369842552536</x:v>
      </x:c>
      <x:c r="R371" s="36" t="n">
        <x:f>YEAR(A371)</x:f>
        <x:v>2022</x:v>
      </x:c>
    </x:row>
    <x:row r="372">
      <x:c r="A372" s="30" t="n">
        <x:v>44726</x:v>
      </x:c>
      <x:c r="B372" s="38" t="n">
        <x:v>3735.48</x:v>
      </x:c>
      <x:c r="C372" s="34" t="n">
        <x:f>(B372/B371-1)*100</x:f>
        <x:v>-0.37737056722930706</x:v>
      </x:c>
      <x:c r="D372" s="34" t="n">
        <x:f>Assumptions!$B$4*D371+(1-Assumptions!$B$4)*C371^2</x:f>
        <x:v>3.930194896958411</x:v>
      </x:c>
      <x:c r="E372" s="34" t="n">
        <x:f>SQRT(D372)</x:f>
        <x:v>1.9824719158057222</x:v>
      </x:c>
      <x:c r="F372" s="34" t="n">
        <x:f>-Assumptions!$B$7*E372</x:f>
        <x:v>3.260876121042477</x:v>
      </x:c>
      <x:c r="G372" s="34" t="n">
        <x:f>-Assumptions!$B$8*E372</x:f>
        <x:v>4.611919326680313</x:v>
      </x:c>
      <x:c r="H372" s="34" t="n">
        <x:f>-Assumptions!$B$9*E372</x:f>
        <x:v>3.094340763121132</x:v>
      </x:c>
      <x:c r="I372" s="34" t="n">
        <x:f>-Assumptions!$B$10*E372</x:f>
        <x:v>5.167240823598113</x:v>
      </x:c>
      <x:c r="J372" s="36" t="n">
        <x:f>IF(C372&lt;-F372,1,0)</x:f>
        <x:v>0</x:v>
      </x:c>
      <x:c r="K372" s="36" t="n">
        <x:f>IF(C372&lt;-G372,1,0)</x:f>
        <x:v>0</x:v>
      </x:c>
      <x:c r="L372" s="36" t="n">
        <x:f>IF(C372&lt;-H372,1,0)</x:f>
        <x:v>0</x:v>
      </x:c>
      <x:c r="M372" s="36" t="n">
        <x:f>IF(C372&lt;-I372,1,0)</x:f>
        <x:v>0</x:v>
      </x:c>
      <x:c r="N372" s="34" t="n">
        <x:f>-F372</x:f>
        <x:v>-3.260876121042477</x:v>
      </x:c>
      <x:c r="O372" s="34" t="n">
        <x:f>-H372</x:f>
        <x:v>-3.094340763121132</x:v>
      </x:c>
      <x:c r="P372" s="34" t="n">
        <x:f>-G372</x:f>
        <x:v>-4.611919326680313</x:v>
      </x:c>
      <x:c r="Q372" s="34" t="n">
        <x:f>-I372</x:f>
        <x:v>-5.167240823598113</x:v>
      </x:c>
      <x:c r="R372" s="36" t="n">
        <x:f>YEAR(A372)</x:f>
        <x:v>2022</x:v>
      </x:c>
    </x:row>
    <x:row r="373">
      <x:c r="A373" s="30" t="n">
        <x:v>44727</x:v>
      </x:c>
      <x:c r="B373" s="38" t="n">
        <x:v>3789.99</x:v>
      </x:c>
      <x:c r="C373" s="34" t="n">
        <x:f>(B373/B372-1)*100</x:f>
        <x:v>1.4592502168395916</x:v>
      </x:c>
      <x:c r="D373" s="34" t="n">
        <x:f>Assumptions!$B$4*D372+(1-Assumptions!$B$4)*C372^2</x:f>
        <x:v>3.702927715841564</x:v>
      </x:c>
      <x:c r="E373" s="34" t="n">
        <x:f>SQRT(D373)</x:f>
        <x:v>1.924299279177115</x:v>
      </x:c>
      <x:c r="F373" s="34" t="n">
        <x:f>-Assumptions!$B$7*E373</x:f>
        <x:v>3.1651906486945824</x:v>
      </x:c>
      <x:c r="G373" s="34" t="n">
        <x:f>-Assumptions!$B$8*E373</x:f>
        <x:v>4.476589537132003</x:v>
      </x:c>
      <x:c r="H373" s="34" t="n">
        <x:f>-Assumptions!$B$9*E373</x:f>
        <x:v>3.0035420186935347</x:v>
      </x:c>
      <x:c r="I373" s="34" t="n">
        <x:f>-Assumptions!$B$10*E373</x:f>
        <x:v>5.015615965557433</x:v>
      </x:c>
      <x:c r="J373" s="36" t="n">
        <x:f>IF(C373&lt;-F373,1,0)</x:f>
        <x:v>0</x:v>
      </x:c>
      <x:c r="K373" s="36" t="n">
        <x:f>IF(C373&lt;-G373,1,0)</x:f>
        <x:v>0</x:v>
      </x:c>
      <x:c r="L373" s="36" t="n">
        <x:f>IF(C373&lt;-H373,1,0)</x:f>
        <x:v>0</x:v>
      </x:c>
      <x:c r="M373" s="36" t="n">
        <x:f>IF(C373&lt;-I373,1,0)</x:f>
        <x:v>0</x:v>
      </x:c>
      <x:c r="N373" s="34" t="n">
        <x:f>-F373</x:f>
        <x:v>-3.1651906486945824</x:v>
      </x:c>
      <x:c r="O373" s="34" t="n">
        <x:f>-H373</x:f>
        <x:v>-3.0035420186935347</x:v>
      </x:c>
      <x:c r="P373" s="34" t="n">
        <x:f>-G373</x:f>
        <x:v>-4.476589537132003</x:v>
      </x:c>
      <x:c r="Q373" s="34" t="n">
        <x:f>-I373</x:f>
        <x:v>-5.015615965557433</x:v>
      </x:c>
      <x:c r="R373" s="36" t="n">
        <x:f>YEAR(A373)</x:f>
        <x:v>2022</x:v>
      </x:c>
    </x:row>
    <x:row r="374">
      <x:c r="A374" s="30" t="n">
        <x:v>44728</x:v>
      </x:c>
      <x:c r="B374" s="38" t="n">
        <x:v>3666.77</x:v>
      </x:c>
      <x:c r="C374" s="34" t="n">
        <x:f>(B374/B373-1)*100</x:f>
        <x:v>-3.2511959134456814</x:v>
      </x:c>
      <x:c r="D374" s="34" t="n">
        <x:f>Assumptions!$B$4*D373+(1-Assumptions!$B$4)*C373^2</x:f>
        <x:v>3.608516724611854</x:v>
      </x:c>
      <x:c r="E374" s="34" t="n">
        <x:f>SQRT(D374)</x:f>
        <x:v>1.8996096242680636</x:v>
      </x:c>
      <x:c r="F374" s="34" t="n">
        <x:f>-Assumptions!$B$7*E374</x:f>
        <x:v>3.124579780269249</x:v>
      </x:c>
      <x:c r="G374" s="34" t="n">
        <x:f>-Assumptions!$B$8*E374</x:f>
        <x:v>4.419152810923529</x:v>
      </x:c>
      <x:c r="H374" s="34" t="n">
        <x:f>-Assumptions!$B$9*E374</x:f>
        <x:v>2.965005177387805</x:v>
      </x:c>
      <x:c r="I374" s="34" t="n">
        <x:f>-Assumptions!$B$10*E374</x:f>
        <x:v>4.951263279524678</x:v>
      </x:c>
      <x:c r="J374" s="36" t="n">
        <x:f>IF(C374&lt;-F374,1,0)</x:f>
        <x:v>1</x:v>
      </x:c>
      <x:c r="K374" s="36" t="n">
        <x:f>IF(C374&lt;-G374,1,0)</x:f>
        <x:v>0</x:v>
      </x:c>
      <x:c r="L374" s="36" t="n">
        <x:f>IF(C374&lt;-H374,1,0)</x:f>
        <x:v>1</x:v>
      </x:c>
      <x:c r="M374" s="36" t="n">
        <x:f>IF(C374&lt;-I374,1,0)</x:f>
        <x:v>0</x:v>
      </x:c>
      <x:c r="N374" s="34" t="n">
        <x:f>-F374</x:f>
        <x:v>-3.124579780269249</x:v>
      </x:c>
      <x:c r="O374" s="34" t="n">
        <x:f>-H374</x:f>
        <x:v>-2.965005177387805</x:v>
      </x:c>
      <x:c r="P374" s="34" t="n">
        <x:f>-G374</x:f>
        <x:v>-4.419152810923529</x:v>
      </x:c>
      <x:c r="Q374" s="34" t="n">
        <x:f>-I374</x:f>
        <x:v>-4.951263279524678</x:v>
      </x:c>
      <x:c r="R374" s="36" t="n">
        <x:f>YEAR(A374)</x:f>
        <x:v>2022</x:v>
      </x:c>
    </x:row>
    <x:row r="375">
      <x:c r="A375" s="30" t="n">
        <x:v>44729</x:v>
      </x:c>
      <x:c r="B375" s="38" t="n">
        <x:v>3674.84</x:v>
      </x:c>
      <x:c r="C375" s="34" t="n">
        <x:f>(B375/B374-1)*100</x:f>
        <x:v>0.22008470670371594</x:v>
      </x:c>
      <x:c r="D375" s="34" t="n">
        <x:f>Assumptions!$B$4*D374+(1-Assumptions!$B$4)*C374^2</x:f>
        <x:v>4.026222213191497</x:v>
      </x:c>
      <x:c r="E375" s="34" t="n">
        <x:f>SQRT(D375)</x:f>
        <x:v>2.0065448445503273</x:v>
      </x:c>
      <x:c r="F375" s="34" t="n">
        <x:f>-Assumptions!$B$7*E375</x:f>
        <x:v>3.300472565199385</x:v>
      </x:c>
      <x:c r="G375" s="34" t="n">
        <x:f>-Assumptions!$B$8*E375</x:f>
        <x:v>4.667921333287262</x:v>
      </x:c>
      <x:c r="H375" s="34" t="n">
        <x:f>-Assumptions!$B$9*E375</x:f>
        <x:v>3.1319149875569257</x:v>
      </x:c>
      <x:c r="I375" s="34" t="n">
        <x:f>-Assumptions!$B$10*E375</x:f>
        <x:v>5.229986035351661</x:v>
      </x:c>
      <x:c r="J375" s="36" t="n">
        <x:f>IF(C375&lt;-F375,1,0)</x:f>
        <x:v>0</x:v>
      </x:c>
      <x:c r="K375" s="36" t="n">
        <x:f>IF(C375&lt;-G375,1,0)</x:f>
        <x:v>0</x:v>
      </x:c>
      <x:c r="L375" s="36" t="n">
        <x:f>IF(C375&lt;-H375,1,0)</x:f>
        <x:v>0</x:v>
      </x:c>
      <x:c r="M375" s="36" t="n">
        <x:f>IF(C375&lt;-I375,1,0)</x:f>
        <x:v>0</x:v>
      </x:c>
      <x:c r="N375" s="34" t="n">
        <x:f>-F375</x:f>
        <x:v>-3.300472565199385</x:v>
      </x:c>
      <x:c r="O375" s="34" t="n">
        <x:f>-H375</x:f>
        <x:v>-3.1319149875569257</x:v>
      </x:c>
      <x:c r="P375" s="34" t="n">
        <x:f>-G375</x:f>
        <x:v>-4.667921333287262</x:v>
      </x:c>
      <x:c r="Q375" s="34" t="n">
        <x:f>-I375</x:f>
        <x:v>-5.229986035351661</x:v>
      </x:c>
      <x:c r="R375" s="36" t="n">
        <x:f>YEAR(A375)</x:f>
        <x:v>2022</x:v>
      </x:c>
    </x:row>
    <x:row r="376">
      <x:c r="A376" s="30" t="n">
        <x:v>44733</x:v>
      </x:c>
      <x:c r="B376" s="38" t="n">
        <x:v>3764.79</x:v>
      </x:c>
      <x:c r="C376" s="34" t="n">
        <x:f>(B376/B375-1)*100</x:f>
        <x:v>2.447725615264873</x:v>
      </x:c>
      <x:c r="D376" s="34" t="n">
        <x:f>Assumptions!$B$4*D375+(1-Assumptions!$B$4)*C375^2</x:f>
        <x:v>3.7875551170874986</x:v>
      </x:c>
      <x:c r="E376" s="34" t="n">
        <x:f>SQRT(D376)</x:f>
        <x:v>1.946164206095544</x:v>
      </x:c>
      <x:c r="F376" s="34" t="n">
        <x:f>-Assumptions!$B$7*E376</x:f>
        <x:v>3.2011552530393894</x:v>
      </x:c>
      <x:c r="G376" s="34" t="n">
        <x:f>-Assumptions!$B$8*E376</x:f>
        <x:v>4.5274549633847485</x:v>
      </x:c>
      <x:c r="H376" s="34" t="n">
        <x:f>-Assumptions!$B$9*E376</x:f>
        <x:v>3.03766988406552</x:v>
      </x:c>
      <x:c r="I376" s="34" t="n">
        <x:f>-Assumptions!$B$10*E376</x:f>
        <x:v>5.072606100992455</x:v>
      </x:c>
      <x:c r="J376" s="36" t="n">
        <x:f>IF(C376&lt;-F376,1,0)</x:f>
        <x:v>0</x:v>
      </x:c>
      <x:c r="K376" s="36" t="n">
        <x:f>IF(C376&lt;-G376,1,0)</x:f>
        <x:v>0</x:v>
      </x:c>
      <x:c r="L376" s="36" t="n">
        <x:f>IF(C376&lt;-H376,1,0)</x:f>
        <x:v>0</x:v>
      </x:c>
      <x:c r="M376" s="36" t="n">
        <x:f>IF(C376&lt;-I376,1,0)</x:f>
        <x:v>0</x:v>
      </x:c>
      <x:c r="N376" s="34" t="n">
        <x:f>-F376</x:f>
        <x:v>-3.2011552530393894</x:v>
      </x:c>
      <x:c r="O376" s="34" t="n">
        <x:f>-H376</x:f>
        <x:v>-3.03766988406552</x:v>
      </x:c>
      <x:c r="P376" s="34" t="n">
        <x:f>-G376</x:f>
        <x:v>-4.5274549633847485</x:v>
      </x:c>
      <x:c r="Q376" s="34" t="n">
        <x:f>-I376</x:f>
        <x:v>-5.072606100992455</x:v>
      </x:c>
      <x:c r="R376" s="36" t="n">
        <x:f>YEAR(A376)</x:f>
        <x:v>2022</x:v>
      </x:c>
    </x:row>
    <x:row r="377">
      <x:c r="A377" s="30" t="n">
        <x:v>44734</x:v>
      </x:c>
      <x:c r="B377" s="38" t="n">
        <x:v>3759.89</x:v>
      </x:c>
      <x:c r="C377" s="34" t="n">
        <x:f>(B377/B376-1)*100</x:f>
        <x:v>-0.13015334188627437</x:v>
      </x:c>
      <x:c r="D377" s="34" t="n">
        <x:f>Assumptions!$B$4*D376+(1-Assumptions!$B$4)*C376^2</x:f>
        <x:v>3.9197834513196765</x:v>
      </x:c>
      <x:c r="E377" s="34" t="n">
        <x:f>SQRT(D377)</x:f>
        <x:v>1.9798442997669479</x:v>
      </x:c>
      <x:c r="F377" s="34" t="n">
        <x:f>-Assumptions!$B$7*E377</x:f>
        <x:v>3.2565540772708634</x:v>
      </x:c>
      <x:c r="G377" s="34" t="n">
        <x:f>-Assumptions!$B$8*E377</x:f>
        <x:v>4.6058065776947155</x:v>
      </x:c>
      <x:c r="H377" s="34" t="n">
        <x:f>-Assumptions!$B$9*E377</x:f>
        <x:v>3.0902394493250647</x:v>
      </x:c>
      <x:c r="I377" s="34" t="n">
        <x:f>-Assumptions!$B$10*E377</x:f>
        <x:v>5.160392038121736</x:v>
      </x:c>
      <x:c r="J377" s="36" t="n">
        <x:f>IF(C377&lt;-F377,1,0)</x:f>
        <x:v>0</x:v>
      </x:c>
      <x:c r="K377" s="36" t="n">
        <x:f>IF(C377&lt;-G377,1,0)</x:f>
        <x:v>0</x:v>
      </x:c>
      <x:c r="L377" s="36" t="n">
        <x:f>IF(C377&lt;-H377,1,0)</x:f>
        <x:v>0</x:v>
      </x:c>
      <x:c r="M377" s="36" t="n">
        <x:f>IF(C377&lt;-I377,1,0)</x:f>
        <x:v>0</x:v>
      </x:c>
      <x:c r="N377" s="34" t="n">
        <x:f>-F377</x:f>
        <x:v>-3.2565540772708634</x:v>
      </x:c>
      <x:c r="O377" s="34" t="n">
        <x:f>-H377</x:f>
        <x:v>-3.0902394493250647</x:v>
      </x:c>
      <x:c r="P377" s="34" t="n">
        <x:f>-G377</x:f>
        <x:v>-4.6058065776947155</x:v>
      </x:c>
      <x:c r="Q377" s="34" t="n">
        <x:f>-I377</x:f>
        <x:v>-5.160392038121736</x:v>
      </x:c>
      <x:c r="R377" s="36" t="n">
        <x:f>YEAR(A377)</x:f>
        <x:v>2022</x:v>
      </x:c>
    </x:row>
    <x:row r="378">
      <x:c r="A378" s="30" t="n">
        <x:v>44735</x:v>
      </x:c>
      <x:c r="B378" s="38" t="n">
        <x:v>3795.73</x:v>
      </x:c>
      <x:c r="C378" s="34" t="n">
        <x:f>(B378/B377-1)*100</x:f>
        <x:v>0.9532193760987795</x:v>
      </x:c>
      <x:c r="D378" s="34" t="n">
        <x:f>Assumptions!$B$4*D377+(1-Assumptions!$B$4)*C377^2</x:f>
        <x:v>3.685612837784746</x:v>
      </x:c>
      <x:c r="E378" s="34" t="n">
        <x:f>SQRT(D378)</x:f>
        <x:v>1.9197949988956493</x:v>
      </x:c>
      <x:c r="F378" s="34" t="n">
        <x:f>-Assumptions!$B$7*E378</x:f>
        <x:v>3.157781766936808</x:v>
      </x:c>
      <x:c r="G378" s="34" t="n">
        <x:f>-Assumptions!$B$8*E378</x:f>
        <x:v>4.466111014275131</x:v>
      </x:c>
      <x:c r="H378" s="34" t="n">
        <x:f>-Assumptions!$B$9*E378</x:f>
        <x:v>2.996511514012818</x:v>
      </x:c>
      <x:c r="I378" s="34" t="n">
        <x:f>-Assumptions!$B$10*E378</x:f>
        <x:v>5.00387572310267</x:v>
      </x:c>
      <x:c r="J378" s="36" t="n">
        <x:f>IF(C378&lt;-F378,1,0)</x:f>
        <x:v>0</x:v>
      </x:c>
      <x:c r="K378" s="36" t="n">
        <x:f>IF(C378&lt;-G378,1,0)</x:f>
        <x:v>0</x:v>
      </x:c>
      <x:c r="L378" s="36" t="n">
        <x:f>IF(C378&lt;-H378,1,0)</x:f>
        <x:v>0</x:v>
      </x:c>
      <x:c r="M378" s="36" t="n">
        <x:f>IF(C378&lt;-I378,1,0)</x:f>
        <x:v>0</x:v>
      </x:c>
      <x:c r="N378" s="34" t="n">
        <x:f>-F378</x:f>
        <x:v>-3.157781766936808</x:v>
      </x:c>
      <x:c r="O378" s="34" t="n">
        <x:f>-H378</x:f>
        <x:v>-2.996511514012818</x:v>
      </x:c>
      <x:c r="P378" s="34" t="n">
        <x:f>-G378</x:f>
        <x:v>-4.466111014275131</x:v>
      </x:c>
      <x:c r="Q378" s="34" t="n">
        <x:f>-I378</x:f>
        <x:v>-5.00387572310267</x:v>
      </x:c>
      <x:c r="R378" s="36" t="n">
        <x:f>YEAR(A378)</x:f>
        <x:v>2022</x:v>
      </x:c>
    </x:row>
    <x:row r="379">
      <x:c r="A379" s="30" t="n">
        <x:v>44736</x:v>
      </x:c>
      <x:c r="B379" s="38" t="n">
        <x:v>3911.74</x:v>
      </x:c>
      <x:c r="C379" s="34" t="n">
        <x:f>(B379/B378-1)*100</x:f>
        <x:v>3.056329085577736</x:v>
      </x:c>
      <x:c r="D379" s="34" t="n">
        <x:f>Assumptions!$B$4*D378+(1-Assumptions!$B$4)*C378^2</x:f>
        <x:v>3.51899369825587</x:v>
      </x:c>
      <x:c r="E379" s="34" t="n">
        <x:f>SQRT(D379)</x:f>
        <x:v>1.8758981044438074</x:v>
      </x:c>
      <x:c r="F379" s="34" t="n">
        <x:f>-Assumptions!$B$7*E379</x:f>
        <x:v>3.0855778008857895</x:v>
      </x:c>
      <x:c r="G379" s="34" t="n">
        <x:f>-Assumptions!$B$8*E379</x:f>
        <x:v>4.3639915671900935</x:v>
      </x:c>
      <x:c r="H379" s="34" t="n">
        <x:f>-Assumptions!$B$9*E379</x:f>
        <x:v>2.927995057969326</x:v>
      </x:c>
      <x:c r="I379" s="34" t="n">
        <x:f>-Assumptions!$B$10*E379</x:f>
        <x:v>4.889460066955254</x:v>
      </x:c>
      <x:c r="J379" s="36" t="n">
        <x:f>IF(C379&lt;-F379,1,0)</x:f>
        <x:v>0</x:v>
      </x:c>
      <x:c r="K379" s="36" t="n">
        <x:f>IF(C379&lt;-G379,1,0)</x:f>
        <x:v>0</x:v>
      </x:c>
      <x:c r="L379" s="36" t="n">
        <x:f>IF(C379&lt;-H379,1,0)</x:f>
        <x:v>0</x:v>
      </x:c>
      <x:c r="M379" s="36" t="n">
        <x:f>IF(C379&lt;-I379,1,0)</x:f>
        <x:v>0</x:v>
      </x:c>
      <x:c r="N379" s="34" t="n">
        <x:f>-F379</x:f>
        <x:v>-3.0855778008857895</x:v>
      </x:c>
      <x:c r="O379" s="34" t="n">
        <x:f>-H379</x:f>
        <x:v>-2.927995057969326</x:v>
      </x:c>
      <x:c r="P379" s="34" t="n">
        <x:f>-G379</x:f>
        <x:v>-4.3639915671900935</x:v>
      </x:c>
      <x:c r="Q379" s="34" t="n">
        <x:f>-I379</x:f>
        <x:v>-4.889460066955254</x:v>
      </x:c>
      <x:c r="R379" s="36" t="n">
        <x:f>YEAR(A379)</x:f>
        <x:v>2022</x:v>
      </x:c>
    </x:row>
    <x:row r="380">
      <x:c r="A380" s="30" t="n">
        <x:v>44739</x:v>
      </x:c>
      <x:c r="B380" s="38" t="n">
        <x:v>3900.11</x:v>
      </x:c>
      <x:c r="C380" s="34" t="n">
        <x:f>(B380/B379-1)*100</x:f>
        <x:v>-0.2973101484249896</x:v>
      </x:c>
      <x:c r="D380" s="34" t="n">
        <x:f>Assumptions!$B$4*D379+(1-Assumptions!$B$4)*C379^2</x:f>
        <x:v>3.868322925121425</x:v>
      </x:c>
      <x:c r="E380" s="34" t="n">
        <x:f>SQRT(D380)</x:f>
        <x:v>1.9668052585656326</x:v>
      </x:c>
      <x:c r="F380" s="34" t="n">
        <x:f>-Assumptions!$B$7*E380</x:f>
        <x:v>3.2351067630589103</x:v>
      </x:c>
      <x:c r="G380" s="34" t="n">
        <x:f>-Assumptions!$B$8*E380</x:f>
        <x:v>4.575473231916504</x:v>
      </x:c>
      <x:c r="H380" s="34" t="n">
        <x:f>-Assumptions!$B$9*E380</x:f>
        <x:v>3.0698874653299484</x:v>
      </x:c>
      <x:c r="I380" s="34" t="n">
        <x:f>-Assumptions!$B$10*E380</x:f>
        <x:v>5.126406252265783</x:v>
      </x:c>
      <x:c r="J380" s="36" t="n">
        <x:f>IF(C380&lt;-F380,1,0)</x:f>
        <x:v>0</x:v>
      </x:c>
      <x:c r="K380" s="36" t="n">
        <x:f>IF(C380&lt;-G380,1,0)</x:f>
        <x:v>0</x:v>
      </x:c>
      <x:c r="L380" s="36" t="n">
        <x:f>IF(C380&lt;-H380,1,0)</x:f>
        <x:v>0</x:v>
      </x:c>
      <x:c r="M380" s="36" t="n">
        <x:f>IF(C380&lt;-I380,1,0)</x:f>
        <x:v>0</x:v>
      </x:c>
      <x:c r="N380" s="34" t="n">
        <x:f>-F380</x:f>
        <x:v>-3.2351067630589103</x:v>
      </x:c>
      <x:c r="O380" s="34" t="n">
        <x:f>-H380</x:f>
        <x:v>-3.0698874653299484</x:v>
      </x:c>
      <x:c r="P380" s="34" t="n">
        <x:f>-G380</x:f>
        <x:v>-4.575473231916504</x:v>
      </x:c>
      <x:c r="Q380" s="34" t="n">
        <x:f>-I380</x:f>
        <x:v>-5.126406252265783</x:v>
      </x:c>
      <x:c r="R380" s="36" t="n">
        <x:f>YEAR(A380)</x:f>
        <x:v>2022</x:v>
      </x:c>
    </x:row>
    <x:row r="381">
      <x:c r="A381" s="30" t="n">
        <x:v>44740</x:v>
      </x:c>
      <x:c r="B381" s="38" t="n">
        <x:v>3821.55</x:v>
      </x:c>
      <x:c r="C381" s="34" t="n">
        <x:f>(B381/B380-1)*100</x:f>
        <x:v>-2.014302160708281</x:v>
      </x:c>
      <x:c r="D381" s="34" t="n">
        <x:f>Assumptions!$B$4*D380+(1-Assumptions!$B$4)*C380^2</x:f>
        <x:v>3.6415271490755288</x:v>
      </x:c>
      <x:c r="E381" s="34" t="n">
        <x:f>SQRT(D381)</x:f>
        <x:v>1.9082785826696083</x:v>
      </x:c>
      <x:c r="F381" s="34" t="n">
        <x:f>-Assumptions!$B$7*E381</x:f>
        <x:v>3.1388389479379213</x:v>
      </x:c>
      <x:c r="G381" s="34" t="n">
        <x:f>-Assumptions!$B$8*E381</x:f>
        <x:v>4.439319823871111</x:v>
      </x:c>
      <x:c r="H381" s="34" t="n">
        <x:f>-Assumptions!$B$9*E381</x:f>
        <x:v>2.9785361188058572</x:v>
      </x:c>
      <x:c r="I381" s="34" t="n">
        <x:f>-Assumptions!$B$10*E381</x:f>
        <x:v>4.973858603772855</x:v>
      </x:c>
      <x:c r="J381" s="36" t="n">
        <x:f>IF(C381&lt;-F381,1,0)</x:f>
        <x:v>0</x:v>
      </x:c>
      <x:c r="K381" s="36" t="n">
        <x:f>IF(C381&lt;-G381,1,0)</x:f>
        <x:v>0</x:v>
      </x:c>
      <x:c r="L381" s="36" t="n">
        <x:f>IF(C381&lt;-H381,1,0)</x:f>
        <x:v>0</x:v>
      </x:c>
      <x:c r="M381" s="36" t="n">
        <x:f>IF(C381&lt;-I381,1,0)</x:f>
        <x:v>0</x:v>
      </x:c>
      <x:c r="N381" s="34" t="n">
        <x:f>-F381</x:f>
        <x:v>-3.1388389479379213</x:v>
      </x:c>
      <x:c r="O381" s="34" t="n">
        <x:f>-H381</x:f>
        <x:v>-2.9785361188058572</x:v>
      </x:c>
      <x:c r="P381" s="34" t="n">
        <x:f>-G381</x:f>
        <x:v>-4.439319823871111</x:v>
      </x:c>
      <x:c r="Q381" s="34" t="n">
        <x:f>-I381</x:f>
        <x:v>-4.973858603772855</x:v>
      </x:c>
      <x:c r="R381" s="36" t="n">
        <x:f>YEAR(A381)</x:f>
        <x:v>2022</x:v>
      </x:c>
    </x:row>
    <x:row r="382">
      <x:c r="A382" s="30" t="n">
        <x:v>44741</x:v>
      </x:c>
      <x:c r="B382" s="38" t="n">
        <x:v>3818.83</x:v>
      </x:c>
      <x:c r="C382" s="34" t="n">
        <x:f>(B382/B381-1)*100</x:f>
        <x:v>-0.0711753084481459</x:v>
      </x:c>
      <x:c r="D382" s="34" t="n">
        <x:f>Assumptions!$B$4*D381+(1-Assumptions!$B$4)*C381^2</x:f>
        <x:v>3.6664803118090403</x:v>
      </x:c>
      <x:c r="E382" s="34" t="n">
        <x:f>SQRT(D382)</x:f>
        <x:v>1.9148055545691944</x:v>
      </x:c>
      <x:c r="F382" s="34" t="n">
        <x:f>-Assumptions!$B$7*E382</x:f>
        <x:v>3.149574861339966</x:v>
      </x:c>
      <x:c r="G382" s="34" t="n">
        <x:f>-Assumptions!$B$8*E382</x:f>
        <x:v>4.454503831073637</x:v>
      </x:c>
      <x:c r="H382" s="34" t="n">
        <x:f>-Assumptions!$B$9*E382</x:f>
        <x:v>2.9887237411613685</x:v>
      </x:c>
      <x:c r="I382" s="34" t="n">
        <x:f>-Assumptions!$B$10*E382</x:f>
        <x:v>4.990870918240025</x:v>
      </x:c>
      <x:c r="J382" s="36" t="n">
        <x:f>IF(C382&lt;-F382,1,0)</x:f>
        <x:v>0</x:v>
      </x:c>
      <x:c r="K382" s="36" t="n">
        <x:f>IF(C382&lt;-G382,1,0)</x:f>
        <x:v>0</x:v>
      </x:c>
      <x:c r="L382" s="36" t="n">
        <x:f>IF(C382&lt;-H382,1,0)</x:f>
        <x:v>0</x:v>
      </x:c>
      <x:c r="M382" s="36" t="n">
        <x:f>IF(C382&lt;-I382,1,0)</x:f>
        <x:v>0</x:v>
      </x:c>
      <x:c r="N382" s="34" t="n">
        <x:f>-F382</x:f>
        <x:v>-3.149574861339966</x:v>
      </x:c>
      <x:c r="O382" s="34" t="n">
        <x:f>-H382</x:f>
        <x:v>-2.9887237411613685</x:v>
      </x:c>
      <x:c r="P382" s="34" t="n">
        <x:f>-G382</x:f>
        <x:v>-4.454503831073637</x:v>
      </x:c>
      <x:c r="Q382" s="34" t="n">
        <x:f>-I382</x:f>
        <x:v>-4.990870918240025</x:v>
      </x:c>
      <x:c r="R382" s="36" t="n">
        <x:f>YEAR(A382)</x:f>
        <x:v>2022</x:v>
      </x:c>
    </x:row>
    <x:row r="383">
      <x:c r="A383" s="30" t="n">
        <x:v>44742</x:v>
      </x:c>
      <x:c r="B383" s="38" t="n">
        <x:v>3785.38</x:v>
      </x:c>
      <x:c r="C383" s="34" t="n">
        <x:f>(B383/B382-1)*100</x:f>
        <x:v>-0.8759227302603145</x:v>
      </x:c>
      <x:c r="D383" s="34" t="n">
        <x:f>Assumptions!$B$4*D382+(1-Assumptions!$B$4)*C382^2</x:f>
        <x:v>3.446795448572459</x:v>
      </x:c>
      <x:c r="E383" s="34" t="n">
        <x:f>SQRT(D383)</x:f>
        <x:v>1.8565547254450807</x:v>
      </x:c>
      <x:c r="F383" s="34" t="n">
        <x:f>-Assumptions!$B$7*E383</x:f>
        <x:v>3.053760773782237</x:v>
      </x:c>
      <x:c r="G383" s="34" t="n">
        <x:f>-Assumptions!$B$8*E383</x:f>
        <x:v>4.31899213857964</x:v>
      </x:c>
      <x:c r="H383" s="34" t="n">
        <x:f>-Assumptions!$B$9*E383</x:f>
        <x:v>2.8978029499979328</x:v>
      </x:c>
      <x:c r="I383" s="34" t="n">
        <x:f>-Assumptions!$B$10*E383</x:f>
        <x:v>4.839042254308497</x:v>
      </x:c>
      <x:c r="J383" s="36" t="n">
        <x:f>IF(C383&lt;-F383,1,0)</x:f>
        <x:v>0</x:v>
      </x:c>
      <x:c r="K383" s="36" t="n">
        <x:f>IF(C383&lt;-G383,1,0)</x:f>
        <x:v>0</x:v>
      </x:c>
      <x:c r="L383" s="36" t="n">
        <x:f>IF(C383&lt;-H383,1,0)</x:f>
        <x:v>0</x:v>
      </x:c>
      <x:c r="M383" s="36" t="n">
        <x:f>IF(C383&lt;-I383,1,0)</x:f>
        <x:v>0</x:v>
      </x:c>
      <x:c r="N383" s="34" t="n">
        <x:f>-F383</x:f>
        <x:v>-3.053760773782237</x:v>
      </x:c>
      <x:c r="O383" s="34" t="n">
        <x:f>-H383</x:f>
        <x:v>-2.8978029499979328</x:v>
      </x:c>
      <x:c r="P383" s="34" t="n">
        <x:f>-G383</x:f>
        <x:v>-4.31899213857964</x:v>
      </x:c>
      <x:c r="Q383" s="34" t="n">
        <x:f>-I383</x:f>
        <x:v>-4.839042254308497</x:v>
      </x:c>
      <x:c r="R383" s="36" t="n">
        <x:f>YEAR(A383)</x:f>
        <x:v>2022</x:v>
      </x:c>
    </x:row>
    <x:row r="384">
      <x:c r="A384" s="30" t="n">
        <x:v>44743</x:v>
      </x:c>
      <x:c r="B384" s="38" t="n">
        <x:v>3825.33</x:v>
      </x:c>
      <x:c r="C384" s="34" t="n">
        <x:f>(B384/B383-1)*100</x:f>
        <x:v>1.0553762105785847</x:v>
      </x:c>
      <x:c r="D384" s="34" t="n">
        <x:f>Assumptions!$B$4*D383+(1-Assumptions!$B$4)*C383^2</x:f>
        <x:v>3.286022159421312</x:v>
      </x:c>
      <x:c r="E384" s="34" t="n">
        <x:f>SQRT(D384)</x:f>
        <x:v>1.812738855825988</x:v>
      </x:c>
      <x:c r="F384" s="34" t="n">
        <x:f>-Assumptions!$B$7*E384</x:f>
        <x:v>2.9816900817212395</x:v>
      </x:c>
      <x:c r="G384" s="34" t="n">
        <x:f>-Assumptions!$B$8*E384</x:f>
        <x:v>4.217061183442013</x:v>
      </x:c>
      <x:c r="H384" s="34" t="n">
        <x:f>-Assumptions!$B$9*E384</x:f>
        <x:v>2.8294129615431123</x:v>
      </x:c>
      <x:c r="I384" s="34" t="n">
        <x:f>-Assumptions!$B$10*E384</x:f>
        <x:v>4.724837786435765</x:v>
      </x:c>
      <x:c r="J384" s="36" t="n">
        <x:f>IF(C384&lt;-F384,1,0)</x:f>
        <x:v>0</x:v>
      </x:c>
      <x:c r="K384" s="36" t="n">
        <x:f>IF(C384&lt;-G384,1,0)</x:f>
        <x:v>0</x:v>
      </x:c>
      <x:c r="L384" s="36" t="n">
        <x:f>IF(C384&lt;-H384,1,0)</x:f>
        <x:v>0</x:v>
      </x:c>
      <x:c r="M384" s="36" t="n">
        <x:f>IF(C384&lt;-I384,1,0)</x:f>
        <x:v>0</x:v>
      </x:c>
      <x:c r="N384" s="34" t="n">
        <x:f>-F384</x:f>
        <x:v>-2.9816900817212395</x:v>
      </x:c>
      <x:c r="O384" s="34" t="n">
        <x:f>-H384</x:f>
        <x:v>-2.8294129615431123</x:v>
      </x:c>
      <x:c r="P384" s="34" t="n">
        <x:f>-G384</x:f>
        <x:v>-4.217061183442013</x:v>
      </x:c>
      <x:c r="Q384" s="34" t="n">
        <x:f>-I384</x:f>
        <x:v>-4.724837786435765</x:v>
      </x:c>
      <x:c r="R384" s="36" t="n">
        <x:f>YEAR(A384)</x:f>
        <x:v>2022</x:v>
      </x:c>
    </x:row>
    <x:row r="385">
      <x:c r="A385" s="30" t="n">
        <x:v>44747</x:v>
      </x:c>
      <x:c r="B385" s="38" t="n">
        <x:v>3831.39</x:v>
      </x:c>
      <x:c r="C385" s="34" t="n">
        <x:f>(B385/B384-1)*100</x:f>
        <x:v>0.15841770513915776</x:v>
      </x:c>
      <x:c r="D385" s="34" t="n">
        <x:f>Assumptions!$B$4*D384+(1-Assumptions!$B$4)*C384^2</x:f>
        <x:v>3.155689966607346</x:v>
      </x:c>
      <x:c r="E385" s="34" t="n">
        <x:f>SQRT(D385)</x:f>
        <x:v>1.7764261782036836</x:v>
      </x:c>
      <x:c r="F385" s="34" t="n">
        <x:f>-Assumptions!$B$7*E385</x:f>
        <x:v>2.9219610422298725</x:v>
      </x:c>
      <x:c r="G385" s="34" t="n">
        <x:f>-Assumptions!$B$8*E385</x:f>
        <x:v>4.132585263054635</x:v>
      </x:c>
      <x:c r="H385" s="34" t="n">
        <x:f>-Assumptions!$B$9*E385</x:f>
        <x:v>2.772734328323178</x:v>
      </x:c>
      <x:c r="I385" s="34" t="n">
        <x:f>-Assumptions!$B$10*E385</x:f>
        <x:v>4.63019011514814</x:v>
      </x:c>
      <x:c r="J385" s="36" t="n">
        <x:f>IF(C385&lt;-F385,1,0)</x:f>
        <x:v>0</x:v>
      </x:c>
      <x:c r="K385" s="36" t="n">
        <x:f>IF(C385&lt;-G385,1,0)</x:f>
        <x:v>0</x:v>
      </x:c>
      <x:c r="L385" s="36" t="n">
        <x:f>IF(C385&lt;-H385,1,0)</x:f>
        <x:v>0</x:v>
      </x:c>
      <x:c r="M385" s="36" t="n">
        <x:f>IF(C385&lt;-I385,1,0)</x:f>
        <x:v>0</x:v>
      </x:c>
      <x:c r="N385" s="34" t="n">
        <x:f>-F385</x:f>
        <x:v>-2.9219610422298725</x:v>
      </x:c>
      <x:c r="O385" s="34" t="n">
        <x:f>-H385</x:f>
        <x:v>-2.772734328323178</x:v>
      </x:c>
      <x:c r="P385" s="34" t="n">
        <x:f>-G385</x:f>
        <x:v>-4.132585263054635</x:v>
      </x:c>
      <x:c r="Q385" s="34" t="n">
        <x:f>-I385</x:f>
        <x:v>-4.63019011514814</x:v>
      </x:c>
      <x:c r="R385" s="36" t="n">
        <x:f>YEAR(A385)</x:f>
        <x:v>2022</x:v>
      </x:c>
    </x:row>
    <x:row r="386">
      <x:c r="A386" s="30" t="n">
        <x:v>44748</x:v>
      </x:c>
      <x:c r="B386" s="38" t="n">
        <x:v>3845.08</x:v>
      </x:c>
      <x:c r="C386" s="34" t="n">
        <x:f>(B386/B385-1)*100</x:f>
        <x:v>0.3573115762164569</x:v>
      </x:c>
      <x:c r="D386" s="34" t="n">
        <x:f>Assumptions!$B$4*D385+(1-Assumptions!$B$4)*C385^2</x:f>
        <x:v>2.9678543387689986</x:v>
      </x:c>
      <x:c r="E386" s="34" t="n">
        <x:f>SQRT(D386)</x:f>
        <x:v>1.7227461620241673</x:v>
      </x:c>
      <x:c r="F386" s="34" t="n">
        <x:f>-Assumptions!$B$7*E386</x:f>
        <x:v>2.833665272922181</x:v>
      </x:c>
      <x:c r="G386" s="34" t="n">
        <x:f>-Assumptions!$B$8*E386</x:f>
        <x:v>4.007706871536938</x:v>
      </x:c>
      <x:c r="H386" s="34" t="n">
        <x:f>-Assumptions!$B$9*E386</x:f>
        <x:v>2.688947889330033</x:v>
      </x:c>
      <x:c r="I386" s="34" t="n">
        <x:f>-Assumptions!$B$10*E386</x:f>
        <x:v>4.490275108633926</x:v>
      </x:c>
      <x:c r="J386" s="36" t="n">
        <x:f>IF(C386&lt;-F386,1,0)</x:f>
        <x:v>0</x:v>
      </x:c>
      <x:c r="K386" s="36" t="n">
        <x:f>IF(C386&lt;-G386,1,0)</x:f>
        <x:v>0</x:v>
      </x:c>
      <x:c r="L386" s="36" t="n">
        <x:f>IF(C386&lt;-H386,1,0)</x:f>
        <x:v>0</x:v>
      </x:c>
      <x:c r="M386" s="36" t="n">
        <x:f>IF(C386&lt;-I386,1,0)</x:f>
        <x:v>0</x:v>
      </x:c>
      <x:c r="N386" s="34" t="n">
        <x:f>-F386</x:f>
        <x:v>-2.833665272922181</x:v>
      </x:c>
      <x:c r="O386" s="34" t="n">
        <x:f>-H386</x:f>
        <x:v>-2.688947889330033</x:v>
      </x:c>
      <x:c r="P386" s="34" t="n">
        <x:f>-G386</x:f>
        <x:v>-4.007706871536938</x:v>
      </x:c>
      <x:c r="Q386" s="34" t="n">
        <x:f>-I386</x:f>
        <x:v>-4.490275108633926</x:v>
      </x:c>
      <x:c r="R386" s="36" t="n">
        <x:f>YEAR(A386)</x:f>
        <x:v>2022</x:v>
      </x:c>
    </x:row>
    <x:row r="387">
      <x:c r="A387" s="30" t="n">
        <x:v>44749</x:v>
      </x:c>
      <x:c r="B387" s="38" t="n">
        <x:v>3902.62</x:v>
      </x:c>
      <x:c r="C387" s="34" t="n">
        <x:f>(B387/B386-1)*100</x:f>
        <x:v>1.4964578110208349</x:v>
      </x:c>
      <x:c r="D387" s="34" t="n">
        <x:f>Assumptions!$B$4*D386+(1-Assumptions!$B$4)*C386^2</x:f>
        <x:v>2.7974433721927556</x:v>
      </x:c>
      <x:c r="E387" s="34" t="n">
        <x:f>SQRT(D387)</x:f>
        <x:v>1.6725559399292915</x:v>
      </x:c>
      <x:c r="F387" s="34" t="n">
        <x:f>-Assumptions!$B$7*E387</x:f>
        <x:v>2.751109704071925</x:v>
      </x:c>
      <x:c r="G387" s="34" t="n">
        <x:f>-Assumptions!$B$8*E387</x:f>
        <x:v>3.8909469550688867</x:v>
      </x:c>
      <x:c r="H387" s="34" t="n">
        <x:f>-Assumptions!$B$9*E387</x:f>
        <x:v>2.610608494506799</x:v>
      </x:c>
      <x:c r="I387" s="34" t="n">
        <x:f>-Assumptions!$B$10*E387</x:f>
        <x:v>4.359456123261972</x:v>
      </x:c>
      <x:c r="J387" s="36" t="n">
        <x:f>IF(C387&lt;-F387,1,0)</x:f>
        <x:v>0</x:v>
      </x:c>
      <x:c r="K387" s="36" t="n">
        <x:f>IF(C387&lt;-G387,1,0)</x:f>
        <x:v>0</x:v>
      </x:c>
      <x:c r="L387" s="36" t="n">
        <x:f>IF(C387&lt;-H387,1,0)</x:f>
        <x:v>0</x:v>
      </x:c>
      <x:c r="M387" s="36" t="n">
        <x:f>IF(C387&lt;-I387,1,0)</x:f>
        <x:v>0</x:v>
      </x:c>
      <x:c r="N387" s="34" t="n">
        <x:f>-F387</x:f>
        <x:v>-2.751109704071925</x:v>
      </x:c>
      <x:c r="O387" s="34" t="n">
        <x:f>-H387</x:f>
        <x:v>-2.610608494506799</x:v>
      </x:c>
      <x:c r="P387" s="34" t="n">
        <x:f>-G387</x:f>
        <x:v>-3.8909469550688867</x:v>
      </x:c>
      <x:c r="Q387" s="34" t="n">
        <x:f>-I387</x:f>
        <x:v>-4.359456123261972</x:v>
      </x:c>
      <x:c r="R387" s="36" t="n">
        <x:f>YEAR(A387)</x:f>
        <x:v>2022</x:v>
      </x:c>
    </x:row>
    <x:row r="388">
      <x:c r="A388" s="30" t="n">
        <x:v>44750</x:v>
      </x:c>
      <x:c r="B388" s="38" t="n">
        <x:v>3899.38</x:v>
      </x:c>
      <x:c r="C388" s="34" t="n">
        <x:f>(B388/B387-1)*100</x:f>
        <x:v>-0.08302114989416909</x:v>
      </x:c>
      <x:c r="D388" s="34" t="n">
        <x:f>Assumptions!$B$4*D387+(1-Assumptions!$B$4)*C387^2</x:f>
        <x:v>2.7639599286711065</x:v>
      </x:c>
      <x:c r="E388" s="34" t="n">
        <x:f>SQRT(D388)</x:f>
        <x:v>1.6625161438828515</x:v>
      </x:c>
      <x:c r="F388" s="34" t="n">
        <x:f>-Assumptions!$B$7*E388</x:f>
        <x:v>2.734595709131085</x:v>
      </x:c>
      <x:c r="G388" s="34" t="n">
        <x:f>-Assumptions!$B$8*E388</x:f>
        <x:v>3.8675908968804475</x:v>
      </x:c>
      <x:c r="H388" s="34" t="n">
        <x:f>-Assumptions!$B$9*E388</x:f>
        <x:v>2.5949378815148894</x:v>
      </x:c>
      <x:c r="I388" s="34" t="n">
        <x:f>-Assumptions!$B$10*E388</x:f>
        <x:v>4.333287760634409</x:v>
      </x:c>
      <x:c r="J388" s="36" t="n">
        <x:f>IF(C388&lt;-F388,1,0)</x:f>
        <x:v>0</x:v>
      </x:c>
      <x:c r="K388" s="36" t="n">
        <x:f>IF(C388&lt;-G388,1,0)</x:f>
        <x:v>0</x:v>
      </x:c>
      <x:c r="L388" s="36" t="n">
        <x:f>IF(C388&lt;-H388,1,0)</x:f>
        <x:v>0</x:v>
      </x:c>
      <x:c r="M388" s="36" t="n">
        <x:f>IF(C388&lt;-I388,1,0)</x:f>
        <x:v>0</x:v>
      </x:c>
      <x:c r="N388" s="34" t="n">
        <x:f>-F388</x:f>
        <x:v>-2.734595709131085</x:v>
      </x:c>
      <x:c r="O388" s="34" t="n">
        <x:f>-H388</x:f>
        <x:v>-2.5949378815148894</x:v>
      </x:c>
      <x:c r="P388" s="34" t="n">
        <x:f>-G388</x:f>
        <x:v>-3.8675908968804475</x:v>
      </x:c>
      <x:c r="Q388" s="34" t="n">
        <x:f>-I388</x:f>
        <x:v>-4.333287760634409</x:v>
      </x:c>
      <x:c r="R388" s="36" t="n">
        <x:f>YEAR(A388)</x:f>
        <x:v>2022</x:v>
      </x:c>
    </x:row>
    <x:row r="389">
      <x:c r="A389" s="30" t="n">
        <x:v>44753</x:v>
      </x:c>
      <x:c r="B389" s="38" t="n">
        <x:v>3854.43</x:v>
      </x:c>
      <x:c r="C389" s="34" t="n">
        <x:f>(B389/B388-1)*100</x:f>
        <x:v>-1.1527473598367033</x:v>
      </x:c>
      <x:c r="D389" s="34" t="n">
        <x:f>Assumptions!$B$4*D388+(1-Assumptions!$B$4)*C388^2</x:f>
        <x:v>2.5985358836306247</x:v>
      </x:c>
      <x:c r="E389" s="34" t="n">
        <x:f>SQRT(D389)</x:f>
        <x:v>1.6119974825137366</x:v>
      </x:c>
      <x:c r="F389" s="34" t="n">
        <x:f>-Assumptions!$B$7*E389</x:f>
        <x:v>2.6514999057493633</x:v>
      </x:c>
      <x:c r="G389" s="34" t="n">
        <x:f>-Assumptions!$B$8*E389</x:f>
        <x:v>3.750066916405018</x:v>
      </x:c>
      <x:c r="H389" s="34" t="n">
        <x:f>-Assumptions!$B$9*E389</x:f>
        <x:v>2.516085842337713</x:v>
      </x:c>
      <x:c r="I389" s="34" t="n">
        <x:f>-Assumptions!$B$10*E389</x:f>
        <x:v>4.201612710259774</x:v>
      </x:c>
      <x:c r="J389" s="36" t="n">
        <x:f>IF(C389&lt;-F389,1,0)</x:f>
        <x:v>0</x:v>
      </x:c>
      <x:c r="K389" s="36" t="n">
        <x:f>IF(C389&lt;-G389,1,0)</x:f>
        <x:v>0</x:v>
      </x:c>
      <x:c r="L389" s="36" t="n">
        <x:f>IF(C389&lt;-H389,1,0)</x:f>
        <x:v>0</x:v>
      </x:c>
      <x:c r="M389" s="36" t="n">
        <x:f>IF(C389&lt;-I389,1,0)</x:f>
        <x:v>0</x:v>
      </x:c>
      <x:c r="N389" s="34" t="n">
        <x:f>-F389</x:f>
        <x:v>-2.6514999057493633</x:v>
      </x:c>
      <x:c r="O389" s="34" t="n">
        <x:f>-H389</x:f>
        <x:v>-2.516085842337713</x:v>
      </x:c>
      <x:c r="P389" s="34" t="n">
        <x:f>-G389</x:f>
        <x:v>-3.750066916405018</x:v>
      </x:c>
      <x:c r="Q389" s="34" t="n">
        <x:f>-I389</x:f>
        <x:v>-4.201612710259774</x:v>
      </x:c>
      <x:c r="R389" s="36" t="n">
        <x:f>YEAR(A389)</x:f>
        <x:v>2022</x:v>
      </x:c>
    </x:row>
    <x:row r="390">
      <x:c r="A390" s="30" t="n">
        <x:v>44754</x:v>
      </x:c>
      <x:c r="B390" s="38" t="n">
        <x:v>3818.8</x:v>
      </x:c>
      <x:c r="C390" s="34" t="n">
        <x:f>(B390/B389-1)*100</x:f>
        <x:v>-0.9243908956706903</x:v>
      </x:c>
      <x:c r="D390" s="34" t="n">
        <x:f>Assumptions!$B$4*D389+(1-Assumptions!$B$4)*C389^2</x:f>
        <x:v>2.5223533191494165</x:v>
      </x:c>
      <x:c r="E390" s="34" t="n">
        <x:f>SQRT(D390)</x:f>
        <x:v>1.5881918395299155</x:v>
      </x:c>
      <x:c r="F390" s="34" t="n">
        <x:f>-Assumptions!$B$7*E390</x:f>
        <x:v>2.612343107545513</x:v>
      </x:c>
      <x:c r="G390" s="34" t="n">
        <x:f>-Assumptions!$B$8*E390</x:f>
        <x:v>3.6946867094594302</x:v>
      </x:c>
      <x:c r="H390" s="34" t="n">
        <x:f>-Assumptions!$B$9*E390</x:f>
        <x:v>2.4789288108106313</x:v>
      </x:c>
      <x:c r="I390" s="34" t="n">
        <x:f>-Assumptions!$B$10*E390</x:f>
        <x:v>4.139564169104017</x:v>
      </x:c>
      <x:c r="J390" s="36" t="n">
        <x:f>IF(C390&lt;-F390,1,0)</x:f>
        <x:v>0</x:v>
      </x:c>
      <x:c r="K390" s="36" t="n">
        <x:f>IF(C390&lt;-G390,1,0)</x:f>
        <x:v>0</x:v>
      </x:c>
      <x:c r="L390" s="36" t="n">
        <x:f>IF(C390&lt;-H390,1,0)</x:f>
        <x:v>0</x:v>
      </x:c>
      <x:c r="M390" s="36" t="n">
        <x:f>IF(C390&lt;-I390,1,0)</x:f>
        <x:v>0</x:v>
      </x:c>
      <x:c r="N390" s="34" t="n">
        <x:f>-F390</x:f>
        <x:v>-2.612343107545513</x:v>
      </x:c>
      <x:c r="O390" s="34" t="n">
        <x:f>-H390</x:f>
        <x:v>-2.4789288108106313</x:v>
      </x:c>
      <x:c r="P390" s="34" t="n">
        <x:f>-G390</x:f>
        <x:v>-3.6946867094594302</x:v>
      </x:c>
      <x:c r="Q390" s="34" t="n">
        <x:f>-I390</x:f>
        <x:v>-4.139564169104017</x:v>
      </x:c>
      <x:c r="R390" s="36" t="n">
        <x:f>YEAR(A390)</x:f>
        <x:v>2022</x:v>
      </x:c>
    </x:row>
    <x:row r="391">
      <x:c r="A391" s="30" t="n">
        <x:v>44755</x:v>
      </x:c>
      <x:c r="B391" s="38" t="n">
        <x:v>3801.78</x:v>
      </x:c>
      <x:c r="C391" s="34" t="n">
        <x:f>(B391/B390-1)*100</x:f>
        <x:v>-0.44568974546977946</x:v>
      </x:c>
      <x:c r="D391" s="34" t="n">
        <x:f>Assumptions!$B$4*D390+(1-Assumptions!$B$4)*C390^2</x:f>
        <x:v>2.422282031680383</x:v>
      </x:c>
      <x:c r="E391" s="34" t="n">
        <x:f>SQRT(D391)</x:f>
        <x:v>1.5563682185396819</x:v>
      </x:c>
      <x:c r="F391" s="34" t="n">
        <x:f>-Assumptions!$B$7*E391</x:f>
        <x:v>2.559997909136998</x:v>
      </x:c>
      <x:c r="G391" s="34" t="n">
        <x:f>-Assumptions!$B$8*E391</x:f>
        <x:v>3.620653896424519</x:v>
      </x:c>
      <x:c r="H391" s="34" t="n">
        <x:f>-Assumptions!$B$9*E391</x:f>
        <x:v>2.4292569204423002</x:v>
      </x:c>
      <x:c r="I391" s="34" t="n">
        <x:f>-Assumptions!$B$10*E391</x:f>
        <x:v>4.056617060383631</x:v>
      </x:c>
      <x:c r="J391" s="36" t="n">
        <x:f>IF(C391&lt;-F391,1,0)</x:f>
        <x:v>0</x:v>
      </x:c>
      <x:c r="K391" s="36" t="n">
        <x:f>IF(C391&lt;-G391,1,0)</x:f>
        <x:v>0</x:v>
      </x:c>
      <x:c r="L391" s="36" t="n">
        <x:f>IF(C391&lt;-H391,1,0)</x:f>
        <x:v>0</x:v>
      </x:c>
      <x:c r="M391" s="36" t="n">
        <x:f>IF(C391&lt;-I391,1,0)</x:f>
        <x:v>0</x:v>
      </x:c>
      <x:c r="N391" s="34" t="n">
        <x:f>-F391</x:f>
        <x:v>-2.559997909136998</x:v>
      </x:c>
      <x:c r="O391" s="34" t="n">
        <x:f>-H391</x:f>
        <x:v>-2.4292569204423002</x:v>
      </x:c>
      <x:c r="P391" s="34" t="n">
        <x:f>-G391</x:f>
        <x:v>-3.620653896424519</x:v>
      </x:c>
      <x:c r="Q391" s="34" t="n">
        <x:f>-I391</x:f>
        <x:v>-4.056617060383631</x:v>
      </x:c>
      <x:c r="R391" s="36" t="n">
        <x:f>YEAR(A391)</x:f>
        <x:v>2022</x:v>
      </x:c>
    </x:row>
    <x:row r="392">
      <x:c r="A392" s="30" t="n">
        <x:v>44756</x:v>
      </x:c>
      <x:c r="B392" s="38" t="n">
        <x:v>3790.38</x:v>
      </x:c>
      <x:c r="C392" s="34" t="n">
        <x:f>(B392/B391-1)*100</x:f>
        <x:v>-0.299859539478875</x:v>
      </x:c>
      <x:c r="D392" s="34" t="n">
        <x:f>Assumptions!$B$4*D391+(1-Assumptions!$B$4)*C391^2</x:f>
        <x:v>2.288863470732575</x:v>
      </x:c>
      <x:c r="E392" s="34" t="n">
        <x:f>SQRT(D392)</x:f>
        <x:v>1.512899028597935</x:v>
      </x:c>
      <x:c r="F392" s="34" t="n">
        <x:f>-Assumptions!$B$7*E392</x:f>
        <x:v>2.4884974544006733</x:v>
      </x:c>
      <x:c r="G392" s="34" t="n">
        <x:f>-Assumptions!$B$8*E392</x:f>
        <x:v>3.5195294388172584</x:v>
      </x:c>
      <x:c r="H392" s="34" t="n">
        <x:f>-Assumptions!$B$9*E392</x:f>
        <x:v>2.361408046869766</x:v>
      </x:c>
      <x:c r="I392" s="34" t="n">
        <x:f>-Assumptions!$B$10*E392</x:f>
        <x:v>3.943316200459748</x:v>
      </x:c>
      <x:c r="J392" s="36" t="n">
        <x:f>IF(C392&lt;-F392,1,0)</x:f>
        <x:v>0</x:v>
      </x:c>
      <x:c r="K392" s="36" t="n">
        <x:f>IF(C392&lt;-G392,1,0)</x:f>
        <x:v>0</x:v>
      </x:c>
      <x:c r="L392" s="36" t="n">
        <x:f>IF(C392&lt;-H392,1,0)</x:f>
        <x:v>0</x:v>
      </x:c>
      <x:c r="M392" s="36" t="n">
        <x:f>IF(C392&lt;-I392,1,0)</x:f>
        <x:v>0</x:v>
      </x:c>
      <x:c r="N392" s="34" t="n">
        <x:f>-F392</x:f>
        <x:v>-2.4884974544006733</x:v>
      </x:c>
      <x:c r="O392" s="34" t="n">
        <x:f>-H392</x:f>
        <x:v>-2.361408046869766</x:v>
      </x:c>
      <x:c r="P392" s="34" t="n">
        <x:f>-G392</x:f>
        <x:v>-3.5195294388172584</x:v>
      </x:c>
      <x:c r="Q392" s="34" t="n">
        <x:f>-I392</x:f>
        <x:v>-3.943316200459748</x:v>
      </x:c>
      <x:c r="R392" s="36" t="n">
        <x:f>YEAR(A392)</x:f>
        <x:v>2022</x:v>
      </x:c>
    </x:row>
    <x:row r="393">
      <x:c r="A393" s="30" t="n">
        <x:v>44757</x:v>
      </x:c>
      <x:c r="B393" s="38" t="n">
        <x:v>3863.16</x:v>
      </x:c>
      <x:c r="C393" s="34" t="n">
        <x:f>(B393/B392-1)*100</x:f>
        <x:v>1.9201241036518768</x:v>
      </x:c>
      <x:c r="D393" s="34" t="n">
        <x:f>Assumptions!$B$4*D392+(1-Assumptions!$B$4)*C392^2</x:f>
        <x:v>2.156926607093609</x:v>
      </x:c>
      <x:c r="E393" s="34" t="n">
        <x:f>SQRT(D393)</x:f>
        <x:v>1.468647883971379</x:v>
      </x:c>
      <x:c r="F393" s="34" t="n">
        <x:f>-Assumptions!$B$7*E393</x:f>
        <x:v>2.4157107986649287</x:v>
      </x:c>
      <x:c r="G393" s="34" t="n">
        <x:f>-Assumptions!$B$8*E393</x:f>
        <x:v>3.4165858825913964</x:v>
      </x:c>
      <x:c r="H393" s="34" t="n">
        <x:f>-Assumptions!$B$9*E393</x:f>
        <x:v>2.2923386595351816</x:v>
      </x:c>
      <x:c r="I393" s="34" t="n">
        <x:f>-Assumptions!$B$10*E393</x:f>
        <x:v>3.8279772041378997</x:v>
      </x:c>
      <x:c r="J393" s="36" t="n">
        <x:f>IF(C393&lt;-F393,1,0)</x:f>
        <x:v>0</x:v>
      </x:c>
      <x:c r="K393" s="36" t="n">
        <x:f>IF(C393&lt;-G393,1,0)</x:f>
        <x:v>0</x:v>
      </x:c>
      <x:c r="L393" s="36" t="n">
        <x:f>IF(C393&lt;-H393,1,0)</x:f>
        <x:v>0</x:v>
      </x:c>
      <x:c r="M393" s="36" t="n">
        <x:f>IF(C393&lt;-I393,1,0)</x:f>
        <x:v>0</x:v>
      </x:c>
      <x:c r="N393" s="34" t="n">
        <x:f>-F393</x:f>
        <x:v>-2.4157107986649287</x:v>
      </x:c>
      <x:c r="O393" s="34" t="n">
        <x:f>-H393</x:f>
        <x:v>-2.2923386595351816</x:v>
      </x:c>
      <x:c r="P393" s="34" t="n">
        <x:f>-G393</x:f>
        <x:v>-3.4165858825913964</x:v>
      </x:c>
      <x:c r="Q393" s="34" t="n">
        <x:f>-I393</x:f>
        <x:v>-3.8279772041378997</x:v>
      </x:c>
      <x:c r="R393" s="36" t="n">
        <x:f>YEAR(A393)</x:f>
        <x:v>2022</x:v>
      </x:c>
    </x:row>
    <x:row r="394">
      <x:c r="A394" s="30" t="n">
        <x:v>44760</x:v>
      </x:c>
      <x:c r="B394" s="38" t="n">
        <x:v>3830.85</x:v>
      </x:c>
      <x:c r="C394" s="34" t="n">
        <x:f>(B394/B393-1)*100</x:f>
        <x:v>-0.8363619420370894</x:v>
      </x:c>
      <x:c r="D394" s="34" t="n">
        <x:f>Assumptions!$B$4*D393+(1-Assumptions!$B$4)*C393^2</x:f>
        <x:v>2.248723605073488</x:v>
      </x:c>
      <x:c r="E394" s="34" t="n">
        <x:f>SQRT(D394)</x:f>
        <x:v>1.4995744746672264</x:v>
      </x:c>
      <x:c r="F394" s="34" t="n">
        <x:f>-Assumptions!$B$7*E394</x:f>
        <x:v>2.466580513540237</x:v>
      </x:c>
      <x:c r="G394" s="34" t="n">
        <x:f>-Assumptions!$B$8*E394</x:f>
        <x:v>3.488531891108012</x:v>
      </x:c>
      <x:c r="H394" s="34" t="n">
        <x:f>-Assumptions!$B$9*E394</x:f>
        <x:v>2.340610420406825</x:v>
      </x:c>
      <x:c r="I394" s="34" t="n">
        <x:f>-Assumptions!$B$10*E394</x:f>
        <x:v>3.9085862360763644</x:v>
      </x:c>
      <x:c r="J394" s="36" t="n">
        <x:f>IF(C394&lt;-F394,1,0)</x:f>
        <x:v>0</x:v>
      </x:c>
      <x:c r="K394" s="36" t="n">
        <x:f>IF(C394&lt;-G394,1,0)</x:f>
        <x:v>0</x:v>
      </x:c>
      <x:c r="L394" s="36" t="n">
        <x:f>IF(C394&lt;-H394,1,0)</x:f>
        <x:v>0</x:v>
      </x:c>
      <x:c r="M394" s="36" t="n">
        <x:f>IF(C394&lt;-I394,1,0)</x:f>
        <x:v>0</x:v>
      </x:c>
      <x:c r="N394" s="34" t="n">
        <x:f>-F394</x:f>
        <x:v>-2.466580513540237</x:v>
      </x:c>
      <x:c r="O394" s="34" t="n">
        <x:f>-H394</x:f>
        <x:v>-2.340610420406825</x:v>
      </x:c>
      <x:c r="P394" s="34" t="n">
        <x:f>-G394</x:f>
        <x:v>-3.488531891108012</x:v>
      </x:c>
      <x:c r="Q394" s="34" t="n">
        <x:f>-I394</x:f>
        <x:v>-3.9085862360763644</x:v>
      </x:c>
      <x:c r="R394" s="36" t="n">
        <x:f>YEAR(A394)</x:f>
        <x:v>2022</x:v>
      </x:c>
    </x:row>
    <x:row r="395">
      <x:c r="A395" s="30" t="n">
        <x:v>44761</x:v>
      </x:c>
      <x:c r="B395" s="38" t="n">
        <x:v>3936.69</x:v>
      </x:c>
      <x:c r="C395" s="34" t="n">
        <x:f>(B395/B394-1)*100</x:f>
        <x:v>2.7628333137554417</x:v>
      </x:c>
      <x:c r="D395" s="34" t="n">
        <x:f>Assumptions!$B$4*D394+(1-Assumptions!$B$4)*C394^2</x:f>
        <x:v>2.1557702666543617</x:v>
      </x:c>
      <x:c r="E395" s="34" t="n">
        <x:f>SQRT(D395)</x:f>
        <x:v>1.4682541560146736</x:v>
      </x:c>
      <x:c r="F395" s="34" t="n">
        <x:f>-Assumptions!$B$7*E395</x:f>
        <x:v>2.4150631738073094</x:v>
      </x:c>
      <x:c r="G395" s="34" t="n">
        <x:f>-Assumptions!$B$8*E395</x:f>
        <x:v>3.415669934396364</x:v>
      </x:c>
      <x:c r="H395" s="34" t="n">
        <x:f>-Assumptions!$B$9*E395</x:f>
        <x:v>2.291724109358556</x:v>
      </x:c>
      <x:c r="I395" s="34" t="n">
        <x:f>-Assumptions!$B$10*E395</x:f>
        <x:v>3.826950966562951</x:v>
      </x:c>
      <x:c r="J395" s="36" t="n">
        <x:f>IF(C395&lt;-F395,1,0)</x:f>
        <x:v>0</x:v>
      </x:c>
      <x:c r="K395" s="36" t="n">
        <x:f>IF(C395&lt;-G395,1,0)</x:f>
        <x:v>0</x:v>
      </x:c>
      <x:c r="L395" s="36" t="n">
        <x:f>IF(C395&lt;-H395,1,0)</x:f>
        <x:v>0</x:v>
      </x:c>
      <x:c r="M395" s="36" t="n">
        <x:f>IF(C395&lt;-I395,1,0)</x:f>
        <x:v>0</x:v>
      </x:c>
      <x:c r="N395" s="34" t="n">
        <x:f>-F395</x:f>
        <x:v>-2.4150631738073094</x:v>
      </x:c>
      <x:c r="O395" s="34" t="n">
        <x:f>-H395</x:f>
        <x:v>-2.291724109358556</x:v>
      </x:c>
      <x:c r="P395" s="34" t="n">
        <x:f>-G395</x:f>
        <x:v>-3.415669934396364</x:v>
      </x:c>
      <x:c r="Q395" s="34" t="n">
        <x:f>-I395</x:f>
        <x:v>-3.826950966562951</x:v>
      </x:c>
      <x:c r="R395" s="36" t="n">
        <x:f>YEAR(A395)</x:f>
        <x:v>2022</x:v>
      </x:c>
    </x:row>
    <x:row r="396">
      <x:c r="A396" s="30" t="n">
        <x:v>44762</x:v>
      </x:c>
      <x:c r="B396" s="38" t="n">
        <x:v>3959.9</x:v>
      </x:c>
      <x:c r="C396" s="34" t="n">
        <x:f>(B396/B395-1)*100</x:f>
        <x:v>0.5895816028186118</x:v>
      </x:c>
      <x:c r="D396" s="34" t="n">
        <x:f>Assumptions!$B$4*D395+(1-Assumptions!$B$4)*C395^2</x:f>
        <x:v>2.4844189258309126</x:v>
      </x:c>
      <x:c r="E396" s="34" t="n">
        <x:f>SQRT(D396)</x:f>
        <x:v>1.5762039607331637</x:v>
      </x:c>
      <x:c r="F396" s="34" t="n">
        <x:f>-Assumptions!$B$7*E396</x:f>
        <x:v>2.5926248016272213</x:v>
      </x:c>
      <x:c r="G396" s="34" t="n">
        <x:f>-Assumptions!$B$8*E396</x:f>
        <x:v>3.6667987331063476</x:v>
      </x:c>
      <x:c r="H396" s="34" t="n">
        <x:f>-Assumptions!$B$9*E396</x:f>
        <x:v>2.4602175333754257</x:v>
      </x:c>
      <x:c r="I396" s="34" t="n">
        <x:f>-Assumptions!$B$10*E396</x:f>
        <x:v>4.108318199759857</x:v>
      </x:c>
      <x:c r="J396" s="36" t="n">
        <x:f>IF(C396&lt;-F396,1,0)</x:f>
        <x:v>0</x:v>
      </x:c>
      <x:c r="K396" s="36" t="n">
        <x:f>IF(C396&lt;-G396,1,0)</x:f>
        <x:v>0</x:v>
      </x:c>
      <x:c r="L396" s="36" t="n">
        <x:f>IF(C396&lt;-H396,1,0)</x:f>
        <x:v>0</x:v>
      </x:c>
      <x:c r="M396" s="36" t="n">
        <x:f>IF(C396&lt;-I396,1,0)</x:f>
        <x:v>0</x:v>
      </x:c>
      <x:c r="N396" s="34" t="n">
        <x:f>-F396</x:f>
        <x:v>-2.5926248016272213</x:v>
      </x:c>
      <x:c r="O396" s="34" t="n">
        <x:f>-H396</x:f>
        <x:v>-2.4602175333754257</x:v>
      </x:c>
      <x:c r="P396" s="34" t="n">
        <x:f>-G396</x:f>
        <x:v>-3.6667987331063476</x:v>
      </x:c>
      <x:c r="Q396" s="34" t="n">
        <x:f>-I396</x:f>
        <x:v>-4.108318199759857</x:v>
      </x:c>
      <x:c r="R396" s="36" t="n">
        <x:f>YEAR(A396)</x:f>
        <x:v>2022</x:v>
      </x:c>
    </x:row>
    <x:row r="397">
      <x:c r="A397" s="30" t="n">
        <x:v>44763</x:v>
      </x:c>
      <x:c r="B397" s="38" t="n">
        <x:v>3998.95</x:v>
      </x:c>
      <x:c r="C397" s="34" t="n">
        <x:f>(B397/B396-1)*100</x:f>
        <x:v>0.9861360135356989</x:v>
      </x:c>
      <x:c r="D397" s="34" t="n">
        <x:f>Assumptions!$B$4*D396+(1-Assumptions!$B$4)*C396^2</x:f>
        <x:v>2.356210178263988</x:v>
      </x:c>
      <x:c r="E397" s="34" t="n">
        <x:f>SQRT(D397)</x:f>
        <x:v>1.5349951720653678</x:v>
      </x:c>
      <x:c r="F397" s="34" t="n">
        <x:f>-Assumptions!$B$7*E397</x:f>
        <x:v>2.5248423761247203</x:v>
      </x:c>
      <x:c r="G397" s="34" t="n">
        <x:f>-Assumptions!$B$8*E397</x:f>
        <x:v>3.5709327551972225</x:v>
      </x:c>
      <x:c r="H397" s="34" t="n">
        <x:f>-Assumptions!$B$9*E397</x:f>
        <x:v>2.3958968065308386</x:v>
      </x:c>
      <x:c r="I397" s="34" t="n">
        <x:f>-Assumptions!$B$10*E397</x:f>
        <x:v>4.000908993406122</x:v>
      </x:c>
      <x:c r="J397" s="36" t="n">
        <x:f>IF(C397&lt;-F397,1,0)</x:f>
        <x:v>0</x:v>
      </x:c>
      <x:c r="K397" s="36" t="n">
        <x:f>IF(C397&lt;-G397,1,0)</x:f>
        <x:v>0</x:v>
      </x:c>
      <x:c r="L397" s="36" t="n">
        <x:f>IF(C397&lt;-H397,1,0)</x:f>
        <x:v>0</x:v>
      </x:c>
      <x:c r="M397" s="36" t="n">
        <x:f>IF(C397&lt;-I397,1,0)</x:f>
        <x:v>0</x:v>
      </x:c>
      <x:c r="N397" s="34" t="n">
        <x:f>-F397</x:f>
        <x:v>-2.5248423761247203</x:v>
      </x:c>
      <x:c r="O397" s="34" t="n">
        <x:f>-H397</x:f>
        <x:v>-2.3958968065308386</x:v>
      </x:c>
      <x:c r="P397" s="34" t="n">
        <x:f>-G397</x:f>
        <x:v>-3.5709327551972225</x:v>
      </x:c>
      <x:c r="Q397" s="34" t="n">
        <x:f>-I397</x:f>
        <x:v>-4.000908993406122</x:v>
      </x:c>
      <x:c r="R397" s="36" t="n">
        <x:f>YEAR(A397)</x:f>
        <x:v>2022</x:v>
      </x:c>
    </x:row>
    <x:row r="398">
      <x:c r="A398" s="30" t="n">
        <x:v>44764</x:v>
      </x:c>
      <x:c r="B398" s="38" t="n">
        <x:v>3961.63</x:v>
      </x:c>
      <x:c r="C398" s="34" t="n">
        <x:f>(B398/B397-1)*100</x:f>
        <x:v>-0.9332449768064022</x:v>
      </x:c>
      <x:c r="D398" s="34" t="n">
        <x:f>Assumptions!$B$4*D397+(1-Assumptions!$B$4)*C397^2</x:f>
        <x:v>2.2731854217996736</x:v>
      </x:c>
      <x:c r="E398" s="34" t="n">
        <x:f>SQRT(D398)</x:f>
        <x:v>1.5077086660889343</x:v>
      </x:c>
      <x:c r="F398" s="34" t="n">
        <x:f>-Assumptions!$B$7*E398</x:f>
        <x:v>2.479960067802551</x:v>
      </x:c>
      <x:c r="G398" s="34" t="n">
        <x:f>-Assumptions!$B$8*E398</x:f>
        <x:v>3.5074548500289433</x:v>
      </x:c>
      <x:c r="H398" s="34" t="n">
        <x:f>-Assumptions!$B$9*E398</x:f>
        <x:v>2.353306670926466</x:v>
      </x:c>
      <x:c r="I398" s="34" t="n">
        <x:f>-Assumptions!$B$10*E398</x:f>
        <x:v>3.9297877096741014</x:v>
      </x:c>
      <x:c r="J398" s="36" t="n">
        <x:f>IF(C398&lt;-F398,1,0)</x:f>
        <x:v>0</x:v>
      </x:c>
      <x:c r="K398" s="36" t="n">
        <x:f>IF(C398&lt;-G398,1,0)</x:f>
        <x:v>0</x:v>
      </x:c>
      <x:c r="L398" s="36" t="n">
        <x:f>IF(C398&lt;-H398,1,0)</x:f>
        <x:v>0</x:v>
      </x:c>
      <x:c r="M398" s="36" t="n">
        <x:f>IF(C398&lt;-I398,1,0)</x:f>
        <x:v>0</x:v>
      </x:c>
      <x:c r="N398" s="34" t="n">
        <x:f>-F398</x:f>
        <x:v>-2.479960067802551</x:v>
      </x:c>
      <x:c r="O398" s="34" t="n">
        <x:f>-H398</x:f>
        <x:v>-2.353306670926466</x:v>
      </x:c>
      <x:c r="P398" s="34" t="n">
        <x:f>-G398</x:f>
        <x:v>-3.5074548500289433</x:v>
      </x:c>
      <x:c r="Q398" s="34" t="n">
        <x:f>-I398</x:f>
        <x:v>-3.9297877096741014</x:v>
      </x:c>
      <x:c r="R398" s="36" t="n">
        <x:f>YEAR(A398)</x:f>
        <x:v>2022</x:v>
      </x:c>
    </x:row>
    <x:row r="399">
      <x:c r="A399" s="30" t="n">
        <x:v>44767</x:v>
      </x:c>
      <x:c r="B399" s="38" t="n">
        <x:v>3966.84</x:v>
      </x:c>
      <x:c r="C399" s="34" t="n">
        <x:f>(B399/B398-1)*100</x:f>
        <x:v>0.13151152429682345</x:v>
      </x:c>
      <x:c r="D399" s="34" t="n">
        <x:f>Assumptions!$B$4*D398+(1-Assumptions!$B$4)*C398^2</x:f>
        <x:v>2.189051067695756</x:v>
      </x:c>
      <x:c r="E399" s="34" t="n">
        <x:f>SQRT(D399)</x:f>
        <x:v>1.4795442094428122</x:v>
      </x:c>
      <x:c r="F399" s="34" t="n">
        <x:f>-Assumptions!$B$7*E399</x:f>
        <x:v>2.433633659137059</x:v>
      </x:c>
      <x:c r="G399" s="34" t="n">
        <x:f>-Assumptions!$B$8*E399</x:f>
        <x:v>3.441934526186722</x:v>
      </x:c>
      <x:c r="H399" s="34" t="n">
        <x:f>-Assumptions!$B$9*E399</x:f>
        <x:v>2.3093461862525464</x:v>
      </x:c>
      <x:c r="I399" s="34" t="n">
        <x:f>-Assumptions!$B$10*E399</x:f>
        <x:v>3.8563780795068294</x:v>
      </x:c>
      <x:c r="J399" s="36" t="n">
        <x:f>IF(C399&lt;-F399,1,0)</x:f>
        <x:v>0</x:v>
      </x:c>
      <x:c r="K399" s="36" t="n">
        <x:f>IF(C399&lt;-G399,1,0)</x:f>
        <x:v>0</x:v>
      </x:c>
      <x:c r="L399" s="36" t="n">
        <x:f>IF(C399&lt;-H399,1,0)</x:f>
        <x:v>0</x:v>
      </x:c>
      <x:c r="M399" s="36" t="n">
        <x:f>IF(C399&lt;-I399,1,0)</x:f>
        <x:v>0</x:v>
      </x:c>
      <x:c r="N399" s="34" t="n">
        <x:f>-F399</x:f>
        <x:v>-2.433633659137059</x:v>
      </x:c>
      <x:c r="O399" s="34" t="n">
        <x:f>-H399</x:f>
        <x:v>-2.3093461862525464</x:v>
      </x:c>
      <x:c r="P399" s="34" t="n">
        <x:f>-G399</x:f>
        <x:v>-3.441934526186722</x:v>
      </x:c>
      <x:c r="Q399" s="34" t="n">
        <x:f>-I399</x:f>
        <x:v>-3.8563780795068294</x:v>
      </x:c>
      <x:c r="R399" s="36" t="n">
        <x:f>YEAR(A399)</x:f>
        <x:v>2022</x:v>
      </x:c>
    </x:row>
    <x:row r="400">
      <x:c r="A400" s="30" t="n">
        <x:v>44768</x:v>
      </x:c>
      <x:c r="B400" s="38" t="n">
        <x:v>3921.05</x:v>
      </x:c>
      <x:c r="C400" s="34" t="n">
        <x:f>(B400/B399-1)*100</x:f>
        <x:v>-1.1543193070554847</x:v>
      </x:c>
      <x:c r="D400" s="34" t="n">
        <x:f>Assumptions!$B$4*D399+(1-Assumptions!$B$4)*C399^2</x:f>
        <x:v>2.0587457204953834</x:v>
      </x:c>
      <x:c r="E400" s="34" t="n">
        <x:f>SQRT(D400)</x:f>
        <x:v>1.434832993938801</x:v>
      </x:c>
      <x:c r="F400" s="34" t="n">
        <x:f>-Assumptions!$B$7*E400</x:f>
        <x:v>2.360090254149877</x:v>
      </x:c>
      <x:c r="G400" s="34" t="n">
        <x:f>-Assumptions!$B$8*E400</x:f>
        <x:v>3.3379206850531835</x:v>
      </x:c>
      <x:c r="H400" s="34" t="n">
        <x:f>-Assumptions!$B$9*E400</x:f>
        <x:v>2.2395586974111086</x:v>
      </x:c>
      <x:c r="I400" s="34" t="n">
        <x:f>-Assumptions!$B$10*E400</x:f>
        <x:v>3.7398399252040875</x:v>
      </x:c>
      <x:c r="J400" s="36" t="n">
        <x:f>IF(C400&lt;-F400,1,0)</x:f>
        <x:v>0</x:v>
      </x:c>
      <x:c r="K400" s="36" t="n">
        <x:f>IF(C400&lt;-G400,1,0)</x:f>
        <x:v>0</x:v>
      </x:c>
      <x:c r="L400" s="36" t="n">
        <x:f>IF(C400&lt;-H400,1,0)</x:f>
        <x:v>0</x:v>
      </x:c>
      <x:c r="M400" s="36" t="n">
        <x:f>IF(C400&lt;-I400,1,0)</x:f>
        <x:v>0</x:v>
      </x:c>
      <x:c r="N400" s="34" t="n">
        <x:f>-F400</x:f>
        <x:v>-2.360090254149877</x:v>
      </x:c>
      <x:c r="O400" s="34" t="n">
        <x:f>-H400</x:f>
        <x:v>-2.2395586974111086</x:v>
      </x:c>
      <x:c r="P400" s="34" t="n">
        <x:f>-G400</x:f>
        <x:v>-3.3379206850531835</x:v>
      </x:c>
      <x:c r="Q400" s="34" t="n">
        <x:f>-I400</x:f>
        <x:v>-3.7398399252040875</x:v>
      </x:c>
      <x:c r="R400" s="36" t="n">
        <x:f>YEAR(A400)</x:f>
        <x:v>2022</x:v>
      </x:c>
    </x:row>
    <x:row r="401">
      <x:c r="A401" s="30" t="n">
        <x:v>44769</x:v>
      </x:c>
      <x:c r="B401" s="38" t="n">
        <x:v>4023.61</x:v>
      </x:c>
      <x:c r="C401" s="34" t="n">
        <x:f>(B401/B400-1)*100</x:f>
        <x:v>2.6156259165274642</x:v>
      </x:c>
      <x:c r="D401" s="34" t="n">
        <x:f>Assumptions!$B$4*D400+(1-Assumptions!$B$4)*C400^2</x:f>
        <x:v>2.015168161024124</x:v>
      </x:c>
      <x:c r="E401" s="34" t="n">
        <x:f>SQRT(D401)</x:f>
        <x:v>1.4195661876165282</x:v>
      </x:c>
      <x:c r="F401" s="34" t="n">
        <x:f>-Assumptions!$B$7*E401</x:f>
        <x:v>2.334978592398721</x:v>
      </x:c>
      <x:c r="G401" s="34" t="n">
        <x:f>-Assumptions!$B$8*E401</x:f>
        <x:v>3.302404782621971</x:v>
      </x:c>
      <x:c r="H401" s="34" t="n">
        <x:f>-Assumptions!$B$9*E401</x:f>
        <x:v>2.2157295068187746</x:v>
      </x:c>
      <x:c r="I401" s="34" t="n">
        <x:f>-Assumptions!$B$10*E401</x:f>
        <x:v>3.7000475507217727</x:v>
      </x:c>
      <x:c r="J401" s="36" t="n">
        <x:f>IF(C401&lt;-F401,1,0)</x:f>
        <x:v>0</x:v>
      </x:c>
      <x:c r="K401" s="36" t="n">
        <x:f>IF(C401&lt;-G401,1,0)</x:f>
        <x:v>0</x:v>
      </x:c>
      <x:c r="L401" s="36" t="n">
        <x:f>IF(C401&lt;-H401,1,0)</x:f>
        <x:v>0</x:v>
      </x:c>
      <x:c r="M401" s="36" t="n">
        <x:f>IF(C401&lt;-I401,1,0)</x:f>
        <x:v>0</x:v>
      </x:c>
      <x:c r="N401" s="34" t="n">
        <x:f>-F401</x:f>
        <x:v>-2.334978592398721</x:v>
      </x:c>
      <x:c r="O401" s="34" t="n">
        <x:f>-H401</x:f>
        <x:v>-2.2157295068187746</x:v>
      </x:c>
      <x:c r="P401" s="34" t="n">
        <x:f>-G401</x:f>
        <x:v>-3.302404782621971</x:v>
      </x:c>
      <x:c r="Q401" s="34" t="n">
        <x:f>-I401</x:f>
        <x:v>-3.7000475507217727</x:v>
      </x:c>
      <x:c r="R401" s="36" t="n">
        <x:f>YEAR(A401)</x:f>
        <x:v>2022</x:v>
      </x:c>
    </x:row>
    <x:row r="402">
      <x:c r="A402" s="30" t="n">
        <x:v>44770</x:v>
      </x:c>
      <x:c r="B402" s="38" t="n">
        <x:v>4072.43</x:v>
      </x:c>
      <x:c r="C402" s="34" t="n">
        <x:f>(B402/B401-1)*100</x:f>
        <x:v>1.2133382708562568</x:v>
      </x:c>
      <x:c r="D402" s="34" t="n">
        <x:f>Assumptions!$B$4*D401+(1-Assumptions!$B$4)*C401^2</x:f>
        <x:v>2.304748007475285</x:v>
      </x:c>
      <x:c r="E402" s="34" t="n">
        <x:f>SQRT(D402)</x:f>
        <x:v>1.518139653482276</x:v>
      </x:c>
      <x:c r="F402" s="34" t="n">
        <x:f>-Assumptions!$B$7*E402</x:f>
        <x:v>2.497117515249174</x:v>
      </x:c>
      <x:c r="G402" s="34" t="n">
        <x:f>-Assumptions!$B$8*E402</x:f>
        <x:v>3.5317209553755906</x:v>
      </x:c>
      <x:c r="H402" s="34" t="n">
        <x:f>-Assumptions!$B$9*E402</x:f>
        <x:v>2.3695878748282633</x:v>
      </x:c>
      <x:c r="I402" s="34" t="n">
        <x:f>-Assumptions!$B$10*E402</x:f>
        <x:v>3.956975698295573</x:v>
      </x:c>
      <x:c r="J402" s="36" t="n">
        <x:f>IF(C402&lt;-F402,1,0)</x:f>
        <x:v>0</x:v>
      </x:c>
      <x:c r="K402" s="36" t="n">
        <x:f>IF(C402&lt;-G402,1,0)</x:f>
        <x:v>0</x:v>
      </x:c>
      <x:c r="L402" s="36" t="n">
        <x:f>IF(C402&lt;-H402,1,0)</x:f>
        <x:v>0</x:v>
      </x:c>
      <x:c r="M402" s="36" t="n">
        <x:f>IF(C402&lt;-I402,1,0)</x:f>
        <x:v>0</x:v>
      </x:c>
      <x:c r="N402" s="34" t="n">
        <x:f>-F402</x:f>
        <x:v>-2.497117515249174</x:v>
      </x:c>
      <x:c r="O402" s="34" t="n">
        <x:f>-H402</x:f>
        <x:v>-2.3695878748282633</x:v>
      </x:c>
      <x:c r="P402" s="34" t="n">
        <x:f>-G402</x:f>
        <x:v>-3.5317209553755906</x:v>
      </x:c>
      <x:c r="Q402" s="34" t="n">
        <x:f>-I402</x:f>
        <x:v>-3.956975698295573</x:v>
      </x:c>
      <x:c r="R402" s="36" t="n">
        <x:f>YEAR(A402)</x:f>
        <x:v>2022</x:v>
      </x:c>
    </x:row>
    <x:row r="403">
      <x:c r="A403" s="30" t="n">
        <x:v>44771</x:v>
      </x:c>
      <x:c r="B403" s="38" t="n">
        <x:v>4130.29</x:v>
      </x:c>
      <x:c r="C403" s="34" t="n">
        <x:f>(B403/B402-1)*100</x:f>
        <x:v>1.4207733466259809</x:v>
      </x:c>
      <x:c r="D403" s="34" t="n">
        <x:f>Assumptions!$B$4*D402+(1-Assumptions!$B$4)*C402^2</x:f>
        <x:v>2.254794512598235</x:v>
      </x:c>
      <x:c r="E403" s="34" t="n">
        <x:f>SQRT(D403)</x:f>
        <x:v>1.5015973203886037</x:v>
      </x:c>
      <x:c r="F403" s="34" t="n">
        <x:f>-Assumptions!$B$7*E403</x:f>
        <x:v>2.4699077986618074</x:v>
      </x:c>
      <x:c r="G403" s="34" t="n">
        <x:f>-Assumptions!$B$8*E403</x:f>
        <x:v>3.493237733951451</x:v>
      </x:c>
      <x:c r="H403" s="34" t="n">
        <x:f>-Assumptions!$B$9*E403</x:f>
        <x:v>2.3437677786136475</x:v>
      </x:c>
      <x:c r="I403" s="34" t="n">
        <x:f>-Assumptions!$B$10*E403</x:f>
        <x:v>3.9138587097532955</x:v>
      </x:c>
      <x:c r="J403" s="36" t="n">
        <x:f>IF(C403&lt;-F403,1,0)</x:f>
        <x:v>0</x:v>
      </x:c>
      <x:c r="K403" s="36" t="n">
        <x:f>IF(C403&lt;-G403,1,0)</x:f>
        <x:v>0</x:v>
      </x:c>
      <x:c r="L403" s="36" t="n">
        <x:f>IF(C403&lt;-H403,1,0)</x:f>
        <x:v>0</x:v>
      </x:c>
      <x:c r="M403" s="36" t="n">
        <x:f>IF(C403&lt;-I403,1,0)</x:f>
        <x:v>0</x:v>
      </x:c>
      <x:c r="N403" s="34" t="n">
        <x:f>-F403</x:f>
        <x:v>-2.4699077986618074</x:v>
      </x:c>
      <x:c r="O403" s="34" t="n">
        <x:f>-H403</x:f>
        <x:v>-2.3437677786136475</x:v>
      </x:c>
      <x:c r="P403" s="34" t="n">
        <x:f>-G403</x:f>
        <x:v>-3.493237733951451</x:v>
      </x:c>
      <x:c r="Q403" s="34" t="n">
        <x:f>-I403</x:f>
        <x:v>-3.9138587097532955</x:v>
      </x:c>
      <x:c r="R403" s="36" t="n">
        <x:f>YEAR(A403)</x:f>
        <x:v>2022</x:v>
      </x:c>
    </x:row>
    <x:row r="404">
      <x:c r="A404" s="30" t="n">
        <x:v>44774</x:v>
      </x:c>
      <x:c r="B404" s="38" t="n">
        <x:v>4118.63</x:v>
      </x:c>
      <x:c r="C404" s="34" t="n">
        <x:f>(B404/B403-1)*100</x:f>
        <x:v>-0.28230463236237346</x:v>
      </x:c>
      <x:c r="D404" s="34" t="n">
        <x:f>Assumptions!$B$4*D403+(1-Assumptions!$B$4)*C403^2</x:f>
        <x:v>2.240622655991308</x:v>
      </x:c>
      <x:c r="E404" s="34" t="n">
        <x:f>SQRT(D404)</x:f>
        <x:v>1.4968709550229466</x:v>
      </x:c>
      <x:c r="F404" s="34" t="n">
        <x:f>-Assumptions!$B$7*E404</x:f>
        <x:v>2.4621336194478087</x:v>
      </x:c>
      <x:c r="G404" s="34" t="n">
        <x:f>-Assumptions!$B$8*E404</x:f>
        <x:v>3.482242563931114</x:v>
      </x:c>
      <x:c r="H404" s="34" t="n">
        <x:f>-Assumptions!$B$9*E404</x:f>
        <x:v>2.3363906324882695</x:v>
      </x:c>
      <x:c r="I404" s="34" t="n">
        <x:f>-Assumptions!$B$10*E404</x:f>
        <x:v>3.9015396106175393</x:v>
      </x:c>
      <x:c r="J404" s="36" t="n">
        <x:f>IF(C404&lt;-F404,1,0)</x:f>
        <x:v>0</x:v>
      </x:c>
      <x:c r="K404" s="36" t="n">
        <x:f>IF(C404&lt;-G404,1,0)</x:f>
        <x:v>0</x:v>
      </x:c>
      <x:c r="L404" s="36" t="n">
        <x:f>IF(C404&lt;-H404,1,0)</x:f>
        <x:v>0</x:v>
      </x:c>
      <x:c r="M404" s="36" t="n">
        <x:f>IF(C404&lt;-I404,1,0)</x:f>
        <x:v>0</x:v>
      </x:c>
      <x:c r="N404" s="34" t="n">
        <x:f>-F404</x:f>
        <x:v>-2.4621336194478087</x:v>
      </x:c>
      <x:c r="O404" s="34" t="n">
        <x:f>-H404</x:f>
        <x:v>-2.3363906324882695</x:v>
      </x:c>
      <x:c r="P404" s="34" t="n">
        <x:f>-G404</x:f>
        <x:v>-3.482242563931114</x:v>
      </x:c>
      <x:c r="Q404" s="34" t="n">
        <x:f>-I404</x:f>
        <x:v>-3.9015396106175393</x:v>
      </x:c>
      <x:c r="R404" s="36" t="n">
        <x:f>YEAR(A404)</x:f>
        <x:v>2022</x:v>
      </x:c>
    </x:row>
    <x:row r="405">
      <x:c r="A405" s="30" t="n">
        <x:v>44775</x:v>
      </x:c>
      <x:c r="B405" s="38" t="n">
        <x:v>4091.19</x:v>
      </x:c>
      <x:c r="C405" s="34" t="n">
        <x:f>(B405/B404-1)*100</x:f>
        <x:v>-0.6662409587654183</x:v>
      </x:c>
      <x:c r="D405" s="34" t="n">
        <x:f>Assumptions!$B$4*D404+(1-Assumptions!$B$4)*C404^2</x:f>
        <x:v>2.1109670509590246</x:v>
      </x:c>
      <x:c r="E405" s="34" t="n">
        <x:f>SQRT(D405)</x:f>
        <x:v>1.4529167391695315</x:v>
      </x:c>
      <x:c r="F405" s="34" t="n">
        <x:f>-Assumptions!$B$7*E405</x:f>
        <x:v>2.3898353680815108</x:v>
      </x:c>
      <x:c r="G405" s="34" t="n">
        <x:f>-Assumptions!$B$8*E405</x:f>
        <x:v>3.3799897673253896</x:v>
      </x:c>
      <x:c r="H405" s="34" t="n">
        <x:f>-Assumptions!$B$9*E405</x:f>
        <x:v>2.26778470635036</x:v>
      </x:c>
      <x:c r="I405" s="34" t="n">
        <x:f>-Assumptions!$B$10*E405</x:f>
        <x:v>3.7869745483252433</x:v>
      </x:c>
      <x:c r="J405" s="36" t="n">
        <x:f>IF(C405&lt;-F405,1,0)</x:f>
        <x:v>0</x:v>
      </x:c>
      <x:c r="K405" s="36" t="n">
        <x:f>IF(C405&lt;-G405,1,0)</x:f>
        <x:v>0</x:v>
      </x:c>
      <x:c r="L405" s="36" t="n">
        <x:f>IF(C405&lt;-H405,1,0)</x:f>
        <x:v>0</x:v>
      </x:c>
      <x:c r="M405" s="36" t="n">
        <x:f>IF(C405&lt;-I405,1,0)</x:f>
        <x:v>0</x:v>
      </x:c>
      <x:c r="N405" s="34" t="n">
        <x:f>-F405</x:f>
        <x:v>-2.3898353680815108</x:v>
      </x:c>
      <x:c r="O405" s="34" t="n">
        <x:f>-H405</x:f>
        <x:v>-2.26778470635036</x:v>
      </x:c>
      <x:c r="P405" s="34" t="n">
        <x:f>-G405</x:f>
        <x:v>-3.3799897673253896</x:v>
      </x:c>
      <x:c r="Q405" s="34" t="n">
        <x:f>-I405</x:f>
        <x:v>-3.7869745483252433</x:v>
      </x:c>
      <x:c r="R405" s="36" t="n">
        <x:f>YEAR(A405)</x:f>
        <x:v>2022</x:v>
      </x:c>
    </x:row>
    <x:row r="406">
      <x:c r="A406" s="30" t="n">
        <x:v>44776</x:v>
      </x:c>
      <x:c r="B406" s="38" t="n">
        <x:v>4155.17</x:v>
      </x:c>
      <x:c r="C406" s="34" t="n">
        <x:f>(B406/B405-1)*100</x:f>
        <x:v>1.5638481713144525</x:v>
      </x:c>
      <x:c r="D406" s="34" t="n">
        <x:f>Assumptions!$B$4*D405+(1-Assumptions!$B$4)*C405^2</x:f>
        <x:v>2.0109416488096827</x:v>
      </x:c>
      <x:c r="E406" s="34" t="n">
        <x:f>SQRT(D406)</x:f>
        <x:v>1.4180767429196781</x:v>
      </x:c>
      <x:c r="F406" s="34" t="n">
        <x:f>-Assumptions!$B$7*E406</x:f>
        <x:v>2.332528673886964</x:v>
      </x:c>
      <x:c r="G406" s="34" t="n">
        <x:f>-Assumptions!$B$8*E406</x:f>
        <x:v>3.2989398161179526</x:v>
      </x:c>
      <x:c r="H406" s="34" t="n">
        <x:f>-Assumptions!$B$9*E406</x:f>
        <x:v>2.2134047074593823</x:v>
      </x:c>
      <x:c r="I406" s="34" t="n">
        <x:f>-Assumptions!$B$10*E406</x:f>
        <x:v>3.6961653673825308</x:v>
      </x:c>
      <x:c r="J406" s="36" t="n">
        <x:f>IF(C406&lt;-F406,1,0)</x:f>
        <x:v>0</x:v>
      </x:c>
      <x:c r="K406" s="36" t="n">
        <x:f>IF(C406&lt;-G406,1,0)</x:f>
        <x:v>0</x:v>
      </x:c>
      <x:c r="L406" s="36" t="n">
        <x:f>IF(C406&lt;-H406,1,0)</x:f>
        <x:v>0</x:v>
      </x:c>
      <x:c r="M406" s="36" t="n">
        <x:f>IF(C406&lt;-I406,1,0)</x:f>
        <x:v>0</x:v>
      </x:c>
      <x:c r="N406" s="34" t="n">
        <x:f>-F406</x:f>
        <x:v>-2.332528673886964</x:v>
      </x:c>
      <x:c r="O406" s="34" t="n">
        <x:f>-H406</x:f>
        <x:v>-2.2134047074593823</x:v>
      </x:c>
      <x:c r="P406" s="34" t="n">
        <x:f>-G406</x:f>
        <x:v>-3.2989398161179526</x:v>
      </x:c>
      <x:c r="Q406" s="34" t="n">
        <x:f>-I406</x:f>
        <x:v>-3.6961653673825308</x:v>
      </x:c>
      <x:c r="R406" s="36" t="n">
        <x:f>YEAR(A406)</x:f>
        <x:v>2022</x:v>
      </x:c>
    </x:row>
    <x:row r="407">
      <x:c r="A407" s="30" t="n">
        <x:v>44777</x:v>
      </x:c>
      <x:c r="B407" s="38" t="n">
        <x:v>4151.94</x:v>
      </x:c>
      <x:c r="C407" s="34" t="n">
        <x:f>(B407/B406-1)*100</x:f>
        <x:v>-0.07773448499099889</x:v>
      </x:c>
      <x:c r="D407" s="34" t="n">
        <x:f>Assumptions!$B$4*D406+(1-Assumptions!$B$4)*C406^2</x:f>
        <x:v>2.0370224160565154</x:v>
      </x:c>
      <x:c r="E407" s="34" t="n">
        <x:f>SQRT(D407)</x:f>
        <x:v>1.42724294219888</x:v>
      </x:c>
      <x:c r="F407" s="34" t="n">
        <x:f>-Assumptions!$B$7*E407</x:f>
        <x:v>2.347605730016719</x:v>
      </x:c>
      <x:c r="G407" s="34" t="n">
        <x:f>-Assumptions!$B$8*E407</x:f>
        <x:v>3.320263584324158</x:v>
      </x:c>
      <x:c r="H407" s="34" t="n">
        <x:f>-Assumptions!$B$9*E407</x:f>
        <x:v>2.227711767169229</x:v>
      </x:c>
      <x:c r="I407" s="34" t="n">
        <x:f>-Assumptions!$B$10*E407</x:f>
        <x:v>3.720056731862959</x:v>
      </x:c>
      <x:c r="J407" s="36" t="n">
        <x:f>IF(C407&lt;-F407,1,0)</x:f>
        <x:v>0</x:v>
      </x:c>
      <x:c r="K407" s="36" t="n">
        <x:f>IF(C407&lt;-G407,1,0)</x:f>
        <x:v>0</x:v>
      </x:c>
      <x:c r="L407" s="36" t="n">
        <x:f>IF(C407&lt;-H407,1,0)</x:f>
        <x:v>0</x:v>
      </x:c>
      <x:c r="M407" s="36" t="n">
        <x:f>IF(C407&lt;-I407,1,0)</x:f>
        <x:v>0</x:v>
      </x:c>
      <x:c r="N407" s="34" t="n">
        <x:f>-F407</x:f>
        <x:v>-2.347605730016719</x:v>
      </x:c>
      <x:c r="O407" s="34" t="n">
        <x:f>-H407</x:f>
        <x:v>-2.227711767169229</x:v>
      </x:c>
      <x:c r="P407" s="34" t="n">
        <x:f>-G407</x:f>
        <x:v>-3.320263584324158</x:v>
      </x:c>
      <x:c r="Q407" s="34" t="n">
        <x:f>-I407</x:f>
        <x:v>-3.720056731862959</x:v>
      </x:c>
      <x:c r="R407" s="36" t="n">
        <x:f>YEAR(A407)</x:f>
        <x:v>2022</x:v>
      </x:c>
    </x:row>
    <x:row r="408">
      <x:c r="A408" s="30" t="n">
        <x:v>44778</x:v>
      </x:c>
      <x:c r="B408" s="38" t="n">
        <x:v>4145.19</x:v>
      </x:c>
      <x:c r="C408" s="34" t="n">
        <x:f>(B408/B407-1)*100</x:f>
        <x:v>-0.16257460367924415</x:v>
      </x:c>
      <x:c r="D408" s="34" t="n">
        <x:f>Assumptions!$B$4*D407+(1-Assumptions!$B$4)*C407^2</x:f>
        <x:v>1.9151636301025332</x:v>
      </x:c>
      <x:c r="E408" s="34" t="n">
        <x:f>SQRT(D408)</x:f>
        <x:v>1.3838943710061593</x:v>
      </x:c>
      <x:c r="F408" s="34" t="n">
        <x:f>-Assumptions!$B$7*E408</x:f>
        <x:v>2.2763036754672084</x:v>
      </x:c>
      <x:c r="G408" s="34" t="n">
        <x:f>-Assumptions!$B$8*E408</x:f>
        <x:v>3.2194197278872645</x:v>
      </x:c>
      <x:c r="H408" s="34" t="n">
        <x:f>-Assumptions!$B$9*E408</x:f>
        <x:v>2.1600511613390685</x:v>
      </x:c>
      <x:c r="I408" s="34" t="n">
        <x:f>-Assumptions!$B$10*E408</x:f>
        <x:v>3.60707026031406</x:v>
      </x:c>
      <x:c r="J408" s="36" t="n">
        <x:f>IF(C408&lt;-F408,1,0)</x:f>
        <x:v>0</x:v>
      </x:c>
      <x:c r="K408" s="36" t="n">
        <x:f>IF(C408&lt;-G408,1,0)</x:f>
        <x:v>0</x:v>
      </x:c>
      <x:c r="L408" s="36" t="n">
        <x:f>IF(C408&lt;-H408,1,0)</x:f>
        <x:v>0</x:v>
      </x:c>
      <x:c r="M408" s="36" t="n">
        <x:f>IF(C408&lt;-I408,1,0)</x:f>
        <x:v>0</x:v>
      </x:c>
      <x:c r="N408" s="34" t="n">
        <x:f>-F408</x:f>
        <x:v>-2.2763036754672084</x:v>
      </x:c>
      <x:c r="O408" s="34" t="n">
        <x:f>-H408</x:f>
        <x:v>-2.1600511613390685</x:v>
      </x:c>
      <x:c r="P408" s="34" t="n">
        <x:f>-G408</x:f>
        <x:v>-3.2194197278872645</x:v>
      </x:c>
      <x:c r="Q408" s="34" t="n">
        <x:f>-I408</x:f>
        <x:v>-3.60707026031406</x:v>
      </x:c>
      <x:c r="R408" s="36" t="n">
        <x:f>YEAR(A408)</x:f>
        <x:v>2022</x:v>
      </x:c>
    </x:row>
    <x:row r="409">
      <x:c r="A409" s="30" t="n">
        <x:v>44781</x:v>
      </x:c>
      <x:c r="B409" s="38" t="n">
        <x:v>4140.06</x:v>
      </x:c>
      <x:c r="C409" s="34" t="n">
        <x:f>(B409/B408-1)*100</x:f>
        <x:v>-0.12375789770792123</x:v>
      </x:c>
      <x:c r="D409" s="34" t="n">
        <x:f>Assumptions!$B$4*D408+(1-Assumptions!$B$4)*C408^2</x:f>
        <x:v>1.8018396424020688</x:v>
      </x:c>
      <x:c r="E409" s="34" t="n">
        <x:f>SQRT(D409)</x:f>
        <x:v>1.3423262056601848</x:v>
      </x:c>
      <x:c r="F409" s="34" t="n">
        <x:f>-Assumptions!$B$7*E409</x:f>
        <x:v>2.2079301279321637</x:v>
      </x:c>
      <x:c r="G409" s="34" t="n">
        <x:f>-Assumptions!$B$8*E409</x:f>
        <x:v>3.1227177148068788</x:v>
      </x:c>
      <x:c r="H409" s="34" t="n">
        <x:f>-Assumptions!$B$9*E409</x:f>
        <x:v>2.0951695015018186</x:v>
      </x:c>
      <x:c r="I409" s="34" t="n">
        <x:f>-Assumptions!$B$10*E409</x:f>
        <x:v>3.498724351741378</x:v>
      </x:c>
      <x:c r="J409" s="36" t="n">
        <x:f>IF(C409&lt;-F409,1,0)</x:f>
        <x:v>0</x:v>
      </x:c>
      <x:c r="K409" s="36" t="n">
        <x:f>IF(C409&lt;-G409,1,0)</x:f>
        <x:v>0</x:v>
      </x:c>
      <x:c r="L409" s="36" t="n">
        <x:f>IF(C409&lt;-H409,1,0)</x:f>
        <x:v>0</x:v>
      </x:c>
      <x:c r="M409" s="36" t="n">
        <x:f>IF(C409&lt;-I409,1,0)</x:f>
        <x:v>0</x:v>
      </x:c>
      <x:c r="N409" s="34" t="n">
        <x:f>-F409</x:f>
        <x:v>-2.2079301279321637</x:v>
      </x:c>
      <x:c r="O409" s="34" t="n">
        <x:f>-H409</x:f>
        <x:v>-2.0951695015018186</x:v>
      </x:c>
      <x:c r="P409" s="34" t="n">
        <x:f>-G409</x:f>
        <x:v>-3.1227177148068788</x:v>
      </x:c>
      <x:c r="Q409" s="34" t="n">
        <x:f>-I409</x:f>
        <x:v>-3.498724351741378</x:v>
      </x:c>
      <x:c r="R409" s="36" t="n">
        <x:f>YEAR(A409)</x:f>
        <x:v>2022</x:v>
      </x:c>
    </x:row>
    <x:row r="410">
      <x:c r="A410" s="30" t="n">
        <x:v>44782</x:v>
      </x:c>
      <x:c r="B410" s="38" t="n">
        <x:v>4122.47</x:v>
      </x:c>
      <x:c r="C410" s="34" t="n">
        <x:f>(B410/B409-1)*100</x:f>
        <x:v>-0.4248730694724312</x:v>
      </x:c>
      <x:c r="D410" s="34" t="n">
        <x:f>Assumptions!$B$4*D409+(1-Assumptions!$B$4)*C409^2</x:f>
        <x:v>1.6946482248926498</x:v>
      </x:c>
      <x:c r="E410" s="34" t="n">
        <x:f>SQRT(D410)</x:f>
        <x:v>1.301786551202865</x:v>
      </x:c>
      <x:c r="F410" s="34" t="n">
        <x:f>-Assumptions!$B$7*E410</x:f>
        <x:v>2.1412483302626817</x:v>
      </x:c>
      <x:c r="G410" s="34" t="n">
        <x:f>-Assumptions!$B$8*E410</x:f>
        <x:v>3.0284083758457427</x:v>
      </x:c>
      <x:c r="H410" s="34" t="n">
        <x:f>-Assumptions!$B$9*E410</x:f>
        <x:v>2.0318931926118906</x:v>
      </x:c>
      <x:c r="I410" s="34" t="n">
        <x:f>-Assumptions!$B$10*E410</x:f>
        <x:v>3.393059219329509</x:v>
      </x:c>
      <x:c r="J410" s="36" t="n">
        <x:f>IF(C410&lt;-F410,1,0)</x:f>
        <x:v>0</x:v>
      </x:c>
      <x:c r="K410" s="36" t="n">
        <x:f>IF(C410&lt;-G410,1,0)</x:f>
        <x:v>0</x:v>
      </x:c>
      <x:c r="L410" s="36" t="n">
        <x:f>IF(C410&lt;-H410,1,0)</x:f>
        <x:v>0</x:v>
      </x:c>
      <x:c r="M410" s="36" t="n">
        <x:f>IF(C410&lt;-I410,1,0)</x:f>
        <x:v>0</x:v>
      </x:c>
      <x:c r="N410" s="34" t="n">
        <x:f>-F410</x:f>
        <x:v>-2.1412483302626817</x:v>
      </x:c>
      <x:c r="O410" s="34" t="n">
        <x:f>-H410</x:f>
        <x:v>-2.0318931926118906</x:v>
      </x:c>
      <x:c r="P410" s="34" t="n">
        <x:f>-G410</x:f>
        <x:v>-3.0284083758457427</x:v>
      </x:c>
      <x:c r="Q410" s="34" t="n">
        <x:f>-I410</x:f>
        <x:v>-3.393059219329509</x:v>
      </x:c>
      <x:c r="R410" s="36" t="n">
        <x:f>YEAR(A410)</x:f>
        <x:v>2022</x:v>
      </x:c>
    </x:row>
    <x:row r="411">
      <x:c r="A411" s="30" t="n">
        <x:v>44783</x:v>
      </x:c>
      <x:c r="B411" s="38" t="n">
        <x:v>4210.24</x:v>
      </x:c>
      <x:c r="C411" s="34" t="n">
        <x:f>(B411/B410-1)*100</x:f>
        <x:v>2.1290634013103604</x:v>
      </x:c>
      <x:c r="D411" s="34" t="n">
        <x:f>Assumptions!$B$4*D410+(1-Assumptions!$B$4)*C410^2</x:f>
        <x:v>1.6038003589088663</x:v>
      </x:c>
      <x:c r="E411" s="34" t="n">
        <x:f>SQRT(D411)</x:f>
        <x:v>1.2664123968553318</x:v>
      </x:c>
      <x:c r="F411" s="34" t="n">
        <x:f>-Assumptions!$B$7*E411</x:f>
        <x:v>2.0830630241838004</x:v>
      </x:c>
      <x:c r="G411" s="34" t="n">
        <x:f>-Assumptions!$B$8*E411</x:f>
        <x:v>2.9461157870833663</x:v>
      </x:c>
      <x:c r="H411" s="34" t="n">
        <x:f>-Assumptions!$B$9*E411</x:f>
        <x:v>1.9766794531960543</x:v>
      </x:c>
      <x:c r="I411" s="34" t="n">
        <x:f>-Assumptions!$B$10*E411</x:f>
        <x:v>3.300857774765516</x:v>
      </x:c>
      <x:c r="J411" s="36" t="n">
        <x:f>IF(C411&lt;-F411,1,0)</x:f>
        <x:v>0</x:v>
      </x:c>
      <x:c r="K411" s="36" t="n">
        <x:f>IF(C411&lt;-G411,1,0)</x:f>
        <x:v>0</x:v>
      </x:c>
      <x:c r="L411" s="36" t="n">
        <x:f>IF(C411&lt;-H411,1,0)</x:f>
        <x:v>0</x:v>
      </x:c>
      <x:c r="M411" s="36" t="n">
        <x:f>IF(C411&lt;-I411,1,0)</x:f>
        <x:v>0</x:v>
      </x:c>
      <x:c r="N411" s="34" t="n">
        <x:f>-F411</x:f>
        <x:v>-2.0830630241838004</x:v>
      </x:c>
      <x:c r="O411" s="34" t="n">
        <x:f>-H411</x:f>
        <x:v>-1.9766794531960543</x:v>
      </x:c>
      <x:c r="P411" s="34" t="n">
        <x:f>-G411</x:f>
        <x:v>-2.9461157870833663</x:v>
      </x:c>
      <x:c r="Q411" s="34" t="n">
        <x:f>-I411</x:f>
        <x:v>-3.300857774765516</x:v>
      </x:c>
      <x:c r="R411" s="36" t="n">
        <x:f>YEAR(A411)</x:f>
        <x:v>2022</x:v>
      </x:c>
    </x:row>
    <x:row r="412">
      <x:c r="A412" s="30" t="n">
        <x:v>44784</x:v>
      </x:c>
      <x:c r="B412" s="38" t="n">
        <x:v>4207.27</x:v>
      </x:c>
      <x:c r="C412" s="34" t="n">
        <x:f>(B412/B411-1)*100</x:f>
        <x:v>-0.07054229687617486</x:v>
      </x:c>
      <x:c r="D412" s="34" t="n">
        <x:f>Assumptions!$B$4*D411+(1-Assumptions!$B$4)*C411^2</x:f>
        <x:v>1.7795469953822889</x:v>
      </x:c>
      <x:c r="E412" s="34" t="n">
        <x:f>SQRT(D412)</x:f>
        <x:v>1.3339966249516109</x:v>
      </x:c>
      <x:c r="F412" s="34" t="n">
        <x:f>-Assumptions!$B$7*E412</x:f>
        <x:v>2.194229186892681</x:v>
      </x:c>
      <x:c r="G412" s="34" t="n">
        <x:f>-Assumptions!$B$8*E412</x:f>
        <x:v>3.103340212433836</x:v>
      </x:c>
      <x:c r="H412" s="34" t="n">
        <x:f>-Assumptions!$B$9*E412</x:f>
        <x:v>2.0821682776656805</x:v>
      </x:c>
      <x:c r="I412" s="34" t="n">
        <x:f>-Assumptions!$B$10*E412</x:f>
        <x:v>3.4770136030858008</x:v>
      </x:c>
      <x:c r="J412" s="36" t="n">
        <x:f>IF(C412&lt;-F412,1,0)</x:f>
        <x:v>0</x:v>
      </x:c>
      <x:c r="K412" s="36" t="n">
        <x:f>IF(C412&lt;-G412,1,0)</x:f>
        <x:v>0</x:v>
      </x:c>
      <x:c r="L412" s="36" t="n">
        <x:f>IF(C412&lt;-H412,1,0)</x:f>
        <x:v>0</x:v>
      </x:c>
      <x:c r="M412" s="36" t="n">
        <x:f>IF(C412&lt;-I412,1,0)</x:f>
        <x:v>0</x:v>
      </x:c>
      <x:c r="N412" s="34" t="n">
        <x:f>-F412</x:f>
        <x:v>-2.194229186892681</x:v>
      </x:c>
      <x:c r="O412" s="34" t="n">
        <x:f>-H412</x:f>
        <x:v>-2.0821682776656805</x:v>
      </x:c>
      <x:c r="P412" s="34" t="n">
        <x:f>-G412</x:f>
        <x:v>-3.103340212433836</x:v>
      </x:c>
      <x:c r="Q412" s="34" t="n">
        <x:f>-I412</x:f>
        <x:v>-3.4770136030858008</x:v>
      </x:c>
      <x:c r="R412" s="36" t="n">
        <x:f>YEAR(A412)</x:f>
        <x:v>2022</x:v>
      </x:c>
    </x:row>
    <x:row r="413">
      <x:c r="A413" s="30" t="n">
        <x:v>44785</x:v>
      </x:c>
      <x:c r="B413" s="38" t="n">
        <x:v>4280.15</x:v>
      </x:c>
      <x:c r="C413" s="34" t="n">
        <x:f>(B413/B412-1)*100</x:f>
        <x:v>1.7322396708554288</x:v>
      </x:c>
      <x:c r="D413" s="34" t="n">
        <x:f>Assumptions!$B$4*D412+(1-Assumptions!$B$4)*C412^2</x:f>
        <x:v>1.6730727485982655</x:v>
      </x:c>
      <x:c r="E413" s="34" t="n">
        <x:f>SQRT(D413)</x:f>
        <x:v>1.293473134084456</x:v>
      </x:c>
      <x:c r="F413" s="34" t="n">
        <x:f>-Assumptions!$B$7*E413</x:f>
        <x:v>2.1275739759631063</x:v>
      </x:c>
      <x:c r="G413" s="34" t="n">
        <x:f>-Assumptions!$B$8*E413</x:f>
        <x:v>3.009068475606317</x:v>
      </x:c>
      <x:c r="H413" s="34" t="n">
        <x:f>-Assumptions!$B$9*E413</x:f>
        <x:v>2.0189171977111675</x:v>
      </x:c>
      <x:c r="I413" s="34" t="n">
        <x:f>-Assumptions!$B$10*E413</x:f>
        <x:v>3.3713906004828287</x:v>
      </x:c>
      <x:c r="J413" s="36" t="n">
        <x:f>IF(C413&lt;-F413,1,0)</x:f>
        <x:v>0</x:v>
      </x:c>
      <x:c r="K413" s="36" t="n">
        <x:f>IF(C413&lt;-G413,1,0)</x:f>
        <x:v>0</x:v>
      </x:c>
      <x:c r="L413" s="36" t="n">
        <x:f>IF(C413&lt;-H413,1,0)</x:f>
        <x:v>0</x:v>
      </x:c>
      <x:c r="M413" s="36" t="n">
        <x:f>IF(C413&lt;-I413,1,0)</x:f>
        <x:v>0</x:v>
      </x:c>
      <x:c r="N413" s="34" t="n">
        <x:f>-F413</x:f>
        <x:v>-2.1275739759631063</x:v>
      </x:c>
      <x:c r="O413" s="34" t="n">
        <x:f>-H413</x:f>
        <x:v>-2.0189171977111675</x:v>
      </x:c>
      <x:c r="P413" s="34" t="n">
        <x:f>-G413</x:f>
        <x:v>-3.009068475606317</x:v>
      </x:c>
      <x:c r="Q413" s="34" t="n">
        <x:f>-I413</x:f>
        <x:v>-3.3713906004828287</x:v>
      </x:c>
      <x:c r="R413" s="36" t="n">
        <x:f>YEAR(A413)</x:f>
        <x:v>2022</x:v>
      </x:c>
    </x:row>
    <x:row r="414">
      <x:c r="A414" s="30" t="n">
        <x:v>44788</x:v>
      </x:c>
      <x:c r="B414" s="38" t="n">
        <x:v>4297.14</x:v>
      </x:c>
      <x:c r="C414" s="34" t="n">
        <x:f>(B414/B413-1)*100</x:f>
        <x:v>0.396948705068767</x:v>
      </x:c>
      <x:c r="D414" s="34" t="n">
        <x:f>Assumptions!$B$4*D413+(1-Assumptions!$B$4)*C413^2</x:f>
        <x:v>1.7527276403194891</x:v>
      </x:c>
      <x:c r="E414" s="34" t="n">
        <x:f>SQRT(D414)</x:f>
        <x:v>1.3239062052575663</x:v>
      </x:c>
      <x:c r="F414" s="34" t="n">
        <x:f>-Assumptions!$B$7*E414</x:f>
        <x:v>2.177631923461469</x:v>
      </x:c>
      <x:c r="G414" s="34" t="n">
        <x:f>-Assumptions!$B$8*E414</x:f>
        <x:v>3.0798663860304156</x:v>
      </x:c>
      <x:c r="H414" s="34" t="n">
        <x:f>-Assumptions!$B$9*E414</x:f>
        <x:v>2.0664186487668554</x:v>
      </x:c>
      <x:c r="I414" s="34" t="n">
        <x:f>-Assumptions!$B$10*E414</x:f>
        <x:v>3.4507132917650654</x:v>
      </x:c>
      <x:c r="J414" s="36" t="n">
        <x:f>IF(C414&lt;-F414,1,0)</x:f>
        <x:v>0</x:v>
      </x:c>
      <x:c r="K414" s="36" t="n">
        <x:f>IF(C414&lt;-G414,1,0)</x:f>
        <x:v>0</x:v>
      </x:c>
      <x:c r="L414" s="36" t="n">
        <x:f>IF(C414&lt;-H414,1,0)</x:f>
        <x:v>0</x:v>
      </x:c>
      <x:c r="M414" s="36" t="n">
        <x:f>IF(C414&lt;-I414,1,0)</x:f>
        <x:v>0</x:v>
      </x:c>
      <x:c r="N414" s="34" t="n">
        <x:f>-F414</x:f>
        <x:v>-2.177631923461469</x:v>
      </x:c>
      <x:c r="O414" s="34" t="n">
        <x:f>-H414</x:f>
        <x:v>-2.0664186487668554</x:v>
      </x:c>
      <x:c r="P414" s="34" t="n">
        <x:f>-G414</x:f>
        <x:v>-3.0798663860304156</x:v>
      </x:c>
      <x:c r="Q414" s="34" t="n">
        <x:f>-I414</x:f>
        <x:v>-3.4507132917650654</x:v>
      </x:c>
      <x:c r="R414" s="36" t="n">
        <x:f>YEAR(A414)</x:f>
        <x:v>2022</x:v>
      </x:c>
    </x:row>
    <x:row r="415">
      <x:c r="A415" s="30" t="n">
        <x:v>44789</x:v>
      </x:c>
      <x:c r="B415" s="38" t="n">
        <x:v>4305.2</x:v>
      </x:c>
      <x:c r="C415" s="34" t="n">
        <x:f>(B415/B414-1)*100</x:f>
        <x:v>0.18756661407353103</x:v>
      </x:c>
      <x:c r="D415" s="34" t="n">
        <x:f>Assumptions!$B$4*D414+(1-Assumptions!$B$4)*C414^2</x:f>
        <x:v>1.6570180783676658</x:v>
      </x:c>
      <x:c r="E415" s="34" t="n">
        <x:f>SQRT(D415)</x:f>
        <x:v>1.2872521424987668</x:v>
      </x:c>
      <x:c r="F415" s="34" t="n">
        <x:f>-Assumptions!$B$7*E415</x:f>
        <x:v>2.117341355390151</x:v>
      </x:c>
      <x:c r="G415" s="34" t="n">
        <x:f>-Assumptions!$B$8*E415</x:f>
        <x:v>2.994596285056523</x:v>
      </x:c>
      <x:c r="H415" s="34" t="n">
        <x:f>-Assumptions!$B$9*E415</x:f>
        <x:v>2.0092071646473153</x:v>
      </x:c>
      <x:c r="I415" s="34" t="n">
        <x:f>-Assumptions!$B$10*E415</x:f>
        <x:v>3.3551758125564284</x:v>
      </x:c>
      <x:c r="J415" s="36" t="n">
        <x:f>IF(C415&lt;-F415,1,0)</x:f>
        <x:v>0</x:v>
      </x:c>
      <x:c r="K415" s="36" t="n">
        <x:f>IF(C415&lt;-G415,1,0)</x:f>
        <x:v>0</x:v>
      </x:c>
      <x:c r="L415" s="36" t="n">
        <x:f>IF(C415&lt;-H415,1,0)</x:f>
        <x:v>0</x:v>
      </x:c>
      <x:c r="M415" s="36" t="n">
        <x:f>IF(C415&lt;-I415,1,0)</x:f>
        <x:v>0</x:v>
      </x:c>
      <x:c r="N415" s="34" t="n">
        <x:f>-F415</x:f>
        <x:v>-2.117341355390151</x:v>
      </x:c>
      <x:c r="O415" s="34" t="n">
        <x:f>-H415</x:f>
        <x:v>-2.0092071646473153</x:v>
      </x:c>
      <x:c r="P415" s="34" t="n">
        <x:f>-G415</x:f>
        <x:v>-2.994596285056523</x:v>
      </x:c>
      <x:c r="Q415" s="34" t="n">
        <x:f>-I415</x:f>
        <x:v>-3.3551758125564284</x:v>
      </x:c>
      <x:c r="R415" s="36" t="n">
        <x:f>YEAR(A415)</x:f>
        <x:v>2022</x:v>
      </x:c>
    </x:row>
    <x:row r="416">
      <x:c r="A416" s="30" t="n">
        <x:v>44790</x:v>
      </x:c>
      <x:c r="B416" s="38" t="n">
        <x:v>4274.04</x:v>
      </x:c>
      <x:c r="C416" s="34" t="n">
        <x:f>(B416/B415-1)*100</x:f>
        <x:v>-0.7237758989129373</x:v>
      </x:c>
      <x:c r="D416" s="34" t="n">
        <x:f>Assumptions!$B$4*D415+(1-Assumptions!$B$4)*C415^2</x:f>
        <x:v>1.5597078677485063</x:v>
      </x:c>
      <x:c r="E416" s="34" t="n">
        <x:f>SQRT(D416)</x:f>
        <x:v>1.2488826477089456</x:v>
      </x:c>
      <x:c r="F416" s="34" t="n">
        <x:f>-Assumptions!$B$7*E416</x:f>
        <x:v>2.0542291527208176</x:v>
      </x:c>
      <x:c r="G416" s="34" t="n">
        <x:f>-Assumptions!$B$8*E416</x:f>
        <x:v>2.9053354924242014</x:v>
      </x:c>
      <x:c r="H416" s="34" t="n">
        <x:f>-Assumptions!$B$9*E416</x:f>
        <x:v>1.9493181488978772</x:v>
      </x:c>
      <x:c r="I416" s="34" t="n">
        <x:f>-Assumptions!$B$10*E416</x:f>
        <x:v>3.255167122255149</x:v>
      </x:c>
      <x:c r="J416" s="36" t="n">
        <x:f>IF(C416&lt;-F416,1,0)</x:f>
        <x:v>0</x:v>
      </x:c>
      <x:c r="K416" s="36" t="n">
        <x:f>IF(C416&lt;-G416,1,0)</x:f>
        <x:v>0</x:v>
      </x:c>
      <x:c r="L416" s="36" t="n">
        <x:f>IF(C416&lt;-H416,1,0)</x:f>
        <x:v>0</x:v>
      </x:c>
      <x:c r="M416" s="36" t="n">
        <x:f>IF(C416&lt;-I416,1,0)</x:f>
        <x:v>0</x:v>
      </x:c>
      <x:c r="N416" s="34" t="n">
        <x:f>-F416</x:f>
        <x:v>-2.0542291527208176</x:v>
      </x:c>
      <x:c r="O416" s="34" t="n">
        <x:f>-H416</x:f>
        <x:v>-1.9493181488978772</x:v>
      </x:c>
      <x:c r="P416" s="34" t="n">
        <x:f>-G416</x:f>
        <x:v>-2.9053354924242014</x:v>
      </x:c>
      <x:c r="Q416" s="34" t="n">
        <x:f>-I416</x:f>
        <x:v>-3.255167122255149</x:v>
      </x:c>
      <x:c r="R416" s="36" t="n">
        <x:f>YEAR(A416)</x:f>
        <x:v>2022</x:v>
      </x:c>
    </x:row>
    <x:row r="417">
      <x:c r="A417" s="30" t="n">
        <x:v>44791</x:v>
      </x:c>
      <x:c r="B417" s="38" t="n">
        <x:v>4283.74</x:v>
      </x:c>
      <x:c r="C417" s="34" t="n">
        <x:f>(B417/B416-1)*100</x:f>
        <x:v>0.22695154935377104</x:v>
      </x:c>
      <x:c r="D417" s="34" t="n">
        <x:f>Assumptions!$B$4*D416+(1-Assumptions!$B$4)*C416^2</x:f>
        <x:v>1.4975564887944297</x:v>
      </x:c>
      <x:c r="E417" s="34" t="n">
        <x:f>SQRT(D417)</x:f>
        <x:v>1.2237469055300731</x:v>
      </x:c>
      <x:c r="F417" s="34" t="n">
        <x:f>-Assumptions!$B$7*E417</x:f>
        <x:v>2.012884536031782</x:v>
      </x:c>
      <x:c r="G417" s="34" t="n">
        <x:f>-Assumptions!$B$8*E417</x:f>
        <x:v>2.846861012043943</x:v>
      </x:c>
      <x:c r="H417" s="34" t="n">
        <x:f>-Assumptions!$B$9*E417</x:f>
        <x:v>1.9100850323955547</x:v>
      </x:c>
      <x:c r="I417" s="34" t="n">
        <x:f>-Assumptions!$B$10*E417</x:f>
        <x:v>3.1896517260053514</x:v>
      </x:c>
      <x:c r="J417" s="36" t="n">
        <x:f>IF(C417&lt;-F417,1,0)</x:f>
        <x:v>0</x:v>
      </x:c>
      <x:c r="K417" s="36" t="n">
        <x:f>IF(C417&lt;-G417,1,0)</x:f>
        <x:v>0</x:v>
      </x:c>
      <x:c r="L417" s="36" t="n">
        <x:f>IF(C417&lt;-H417,1,0)</x:f>
        <x:v>0</x:v>
      </x:c>
      <x:c r="M417" s="36" t="n">
        <x:f>IF(C417&lt;-I417,1,0)</x:f>
        <x:v>0</x:v>
      </x:c>
      <x:c r="N417" s="34" t="n">
        <x:f>-F417</x:f>
        <x:v>-2.012884536031782</x:v>
      </x:c>
      <x:c r="O417" s="34" t="n">
        <x:f>-H417</x:f>
        <x:v>-1.9100850323955547</x:v>
      </x:c>
      <x:c r="P417" s="34" t="n">
        <x:f>-G417</x:f>
        <x:v>-2.846861012043943</x:v>
      </x:c>
      <x:c r="Q417" s="34" t="n">
        <x:f>-I417</x:f>
        <x:v>-3.1896517260053514</x:v>
      </x:c>
      <x:c r="R417" s="36" t="n">
        <x:f>YEAR(A417)</x:f>
        <x:v>2022</x:v>
      </x:c>
    </x:row>
    <x:row r="418">
      <x:c r="A418" s="30" t="n">
        <x:v>44792</x:v>
      </x:c>
      <x:c r="B418" s="38" t="n">
        <x:v>4228.48</x:v>
      </x:c>
      <x:c r="C418" s="34" t="n">
        <x:f>(B418/B417-1)*100</x:f>
        <x:v>-1.2899942573545653</x:v>
      </x:c>
      <x:c r="D418" s="34" t="n">
        <x:f>Assumptions!$B$4*D417+(1-Assumptions!$B$4)*C417^2</x:f>
        <x:v>1.4107935198120085</x:v>
      </x:c>
      <x:c r="E418" s="34" t="n">
        <x:f>SQRT(D418)</x:f>
        <x:v>1.1877682938233403</x:v>
      </x:c>
      <x:c r="F418" s="34" t="n">
        <x:f>-Assumptions!$B$7*E418</x:f>
        <x:v>1.953704986073284</x:v>
      </x:c>
      <x:c r="G418" s="34" t="n">
        <x:f>-Assumptions!$B$8*E418</x:f>
        <x:v>2.7631622451890436</x:v>
      </x:c>
      <x:c r="H418" s="34" t="n">
        <x:f>-Assumptions!$B$9*E418</x:f>
        <x:v>1.8539278258711922</x:v>
      </x:c>
      <x:c r="I418" s="34" t="n">
        <x:f>-Assumptions!$B$10*E418</x:f>
        <x:v>3.0958747853560524</x:v>
      </x:c>
      <x:c r="J418" s="36" t="n">
        <x:f>IF(C418&lt;-F418,1,0)</x:f>
        <x:v>0</x:v>
      </x:c>
      <x:c r="K418" s="36" t="n">
        <x:f>IF(C418&lt;-G418,1,0)</x:f>
        <x:v>0</x:v>
      </x:c>
      <x:c r="L418" s="36" t="n">
        <x:f>IF(C418&lt;-H418,1,0)</x:f>
        <x:v>0</x:v>
      </x:c>
      <x:c r="M418" s="36" t="n">
        <x:f>IF(C418&lt;-I418,1,0)</x:f>
        <x:v>0</x:v>
      </x:c>
      <x:c r="N418" s="34" t="n">
        <x:f>-F418</x:f>
        <x:v>-1.953704986073284</x:v>
      </x:c>
      <x:c r="O418" s="34" t="n">
        <x:f>-H418</x:f>
        <x:v>-1.8539278258711922</x:v>
      </x:c>
      <x:c r="P418" s="34" t="n">
        <x:f>-G418</x:f>
        <x:v>-2.7631622451890436</x:v>
      </x:c>
      <x:c r="Q418" s="34" t="n">
        <x:f>-I418</x:f>
        <x:v>-3.0958747853560524</x:v>
      </x:c>
      <x:c r="R418" s="36" t="n">
        <x:f>YEAR(A418)</x:f>
        <x:v>2022</x:v>
      </x:c>
    </x:row>
    <x:row r="419">
      <x:c r="A419" s="30" t="n">
        <x:v>44795</x:v>
      </x:c>
      <x:c r="B419" s="38" t="n">
        <x:v>4137.99</x:v>
      </x:c>
      <x:c r="C419" s="34" t="n">
        <x:f>(B419/B418-1)*100</x:f>
        <x:v>-2.1400124867564707</x:v>
      </x:c>
      <x:c r="D419" s="34" t="n">
        <x:f>Assumptions!$B$4*D418+(1-Assumptions!$B$4)*C418^2</x:f>
        <x:v>1.4259910196637533</x:v>
      </x:c>
      <x:c r="E419" s="34" t="n">
        <x:f>SQRT(D419)</x:f>
        <x:v>1.194148658946512</x:v>
      </x:c>
      <x:c r="F419" s="34" t="n">
        <x:f>-Assumptions!$B$7*E419</x:f>
        <x:v>1.9641997527874075</x:v>
      </x:c>
      <x:c r="G419" s="34" t="n">
        <x:f>-Assumptions!$B$8*E419</x:f>
        <x:v>2.7780051940289385</x:v>
      </x:c>
      <x:c r="H419" s="34" t="n">
        <x:f>-Assumptions!$B$9*E419</x:f>
        <x:v>1.8638866170786845</x:v>
      </x:c>
      <x:c r="I419" s="34" t="n">
        <x:f>-Assumptions!$B$10*E419</x:f>
        <x:v>3.1125049746016415</x:v>
      </x:c>
      <x:c r="J419" s="36" t="n">
        <x:f>IF(C419&lt;-F419,1,0)</x:f>
        <x:v>1</x:v>
      </x:c>
      <x:c r="K419" s="36" t="n">
        <x:f>IF(C419&lt;-G419,1,0)</x:f>
        <x:v>0</x:v>
      </x:c>
      <x:c r="L419" s="36" t="n">
        <x:f>IF(C419&lt;-H419,1,0)</x:f>
        <x:v>1</x:v>
      </x:c>
      <x:c r="M419" s="36" t="n">
        <x:f>IF(C419&lt;-I419,1,0)</x:f>
        <x:v>0</x:v>
      </x:c>
      <x:c r="N419" s="34" t="n">
        <x:f>-F419</x:f>
        <x:v>-1.9641997527874075</x:v>
      </x:c>
      <x:c r="O419" s="34" t="n">
        <x:f>-H419</x:f>
        <x:v>-1.8638866170786845</x:v>
      </x:c>
      <x:c r="P419" s="34" t="n">
        <x:f>-G419</x:f>
        <x:v>-2.7780051940289385</x:v>
      </x:c>
      <x:c r="Q419" s="34" t="n">
        <x:f>-I419</x:f>
        <x:v>-3.1125049746016415</x:v>
      </x:c>
      <x:c r="R419" s="36" t="n">
        <x:f>YEAR(A419)</x:f>
        <x:v>2022</x:v>
      </x:c>
    </x:row>
    <x:row r="420">
      <x:c r="A420" s="30" t="n">
        <x:v>44796</x:v>
      </x:c>
      <x:c r="B420" s="38" t="n">
        <x:v>4128.73</x:v>
      </x:c>
      <x:c r="C420" s="34" t="n">
        <x:f>(B420/B419-1)*100</x:f>
        <x:v>-0.22378014446627903</x:v>
      </x:c>
      <x:c r="D420" s="34" t="n">
        <x:f>Assumptions!$B$4*D419+(1-Assumptions!$B$4)*C419^2</x:f>
        <x:v>1.615210765092345</x:v>
      </x:c>
      <x:c r="E420" s="34" t="n">
        <x:f>SQRT(D420)</x:f>
        <x:v>1.2709094244250236</x:v>
      </x:c>
      <x:c r="F420" s="34" t="n">
        <x:f>-Assumptions!$B$7*E420</x:f>
        <x:v>2.090459976292309</x:v>
      </x:c>
      <x:c r="G420" s="34" t="n">
        <x:f>-Assumptions!$B$8*E420</x:f>
        <x:v>2.9565774376096217</x:v>
      </x:c>
      <x:c r="H420" s="34" t="n">
        <x:f>-Assumptions!$B$9*E420</x:f>
        <x:v>1.983698637483526</x:v>
      </x:c>
      <x:c r="I420" s="34" t="n">
        <x:f>-Assumptions!$B$10*E420</x:f>
        <x:v>3.312579113291269</x:v>
      </x:c>
      <x:c r="J420" s="36" t="n">
        <x:f>IF(C420&lt;-F420,1,0)</x:f>
        <x:v>0</x:v>
      </x:c>
      <x:c r="K420" s="36" t="n">
        <x:f>IF(C420&lt;-G420,1,0)</x:f>
        <x:v>0</x:v>
      </x:c>
      <x:c r="L420" s="36" t="n">
        <x:f>IF(C420&lt;-H420,1,0)</x:f>
        <x:v>0</x:v>
      </x:c>
      <x:c r="M420" s="36" t="n">
        <x:f>IF(C420&lt;-I420,1,0)</x:f>
        <x:v>0</x:v>
      </x:c>
      <x:c r="N420" s="34" t="n">
        <x:f>-F420</x:f>
        <x:v>-2.090459976292309</x:v>
      </x:c>
      <x:c r="O420" s="34" t="n">
        <x:f>-H420</x:f>
        <x:v>-1.983698637483526</x:v>
      </x:c>
      <x:c r="P420" s="34" t="n">
        <x:f>-G420</x:f>
        <x:v>-2.9565774376096217</x:v>
      </x:c>
      <x:c r="Q420" s="34" t="n">
        <x:f>-I420</x:f>
        <x:v>-3.312579113291269</x:v>
      </x:c>
      <x:c r="R420" s="36" t="n">
        <x:f>YEAR(A420)</x:f>
        <x:v>2022</x:v>
      </x:c>
    </x:row>
    <x:row r="421">
      <x:c r="A421" s="30" t="n">
        <x:v>44797</x:v>
      </x:c>
      <x:c r="B421" s="38" t="n">
        <x:v>4140.77</x:v>
      </x:c>
      <x:c r="C421" s="34" t="n">
        <x:f>(B421/B420-1)*100</x:f>
        <x:v>0.29161509713642175</x:v>
      </x:c>
      <x:c r="D421" s="34" t="n">
        <x:f>Assumptions!$B$4*D420+(1-Assumptions!$B$4)*C420^2</x:f>
        <x:v>1.5213027723702452</x:v>
      </x:c>
      <x:c r="E421" s="34" t="n">
        <x:f>SQRT(D421)</x:f>
        <x:v>1.233411031396365</x:v>
      </x:c>
      <x:c r="F421" s="34" t="n">
        <x:f>-Assumptions!$B$7*E421</x:f>
        <x:v>2.028780608514268</x:v>
      </x:c>
      <x:c r="G421" s="34" t="n">
        <x:f>-Assumptions!$B$8*E421</x:f>
        <x:v>2.869343130707454</x:v>
      </x:c>
      <x:c r="H421" s="34" t="n">
        <x:f>-Assumptions!$B$9*E421</x:f>
        <x:v>1.9251692806865812</x:v>
      </x:c>
      <x:c r="I421" s="34" t="n">
        <x:f>-Assumptions!$B$10*E421</x:f>
        <x:v>3.2148409179946857</x:v>
      </x:c>
      <x:c r="J421" s="36" t="n">
        <x:f>IF(C421&lt;-F421,1,0)</x:f>
        <x:v>0</x:v>
      </x:c>
      <x:c r="K421" s="36" t="n">
        <x:f>IF(C421&lt;-G421,1,0)</x:f>
        <x:v>0</x:v>
      </x:c>
      <x:c r="L421" s="36" t="n">
        <x:f>IF(C421&lt;-H421,1,0)</x:f>
        <x:v>0</x:v>
      </x:c>
      <x:c r="M421" s="36" t="n">
        <x:f>IF(C421&lt;-I421,1,0)</x:f>
        <x:v>0</x:v>
      </x:c>
      <x:c r="N421" s="34" t="n">
        <x:f>-F421</x:f>
        <x:v>-2.028780608514268</x:v>
      </x:c>
      <x:c r="O421" s="34" t="n">
        <x:f>-H421</x:f>
        <x:v>-1.9251692806865812</x:v>
      </x:c>
      <x:c r="P421" s="34" t="n">
        <x:f>-G421</x:f>
        <x:v>-2.869343130707454</x:v>
      </x:c>
      <x:c r="Q421" s="34" t="n">
        <x:f>-I421</x:f>
        <x:v>-3.2148409179946857</x:v>
      </x:c>
      <x:c r="R421" s="36" t="n">
        <x:f>YEAR(A421)</x:f>
        <x:v>2022</x:v>
      </x:c>
    </x:row>
    <x:row r="422">
      <x:c r="A422" s="30" t="n">
        <x:v>44798</x:v>
      </x:c>
      <x:c r="B422" s="38" t="n">
        <x:v>4199.12</x:v>
      </x:c>
      <x:c r="C422" s="34" t="n">
        <x:f>(B422/B421-1)*100</x:f>
        <x:v>1.409158200044902</x:v>
      </x:c>
      <x:c r="D422" s="34" t="n">
        <x:f>Assumptions!$B$4*D421+(1-Assumptions!$B$4)*C421^2</x:f>
        <x:v>1.4351269679207035</x:v>
      </x:c>
      <x:c r="E422" s="34" t="n">
        <x:f>SQRT(D422)</x:f>
        <x:v>1.197967849285073</x:v>
      </x:c>
      <x:c r="F422" s="34" t="n">
        <x:f>-Assumptions!$B$7*E422</x:f>
        <x:v>1.9704817618678077</x:v>
      </x:c>
      <x:c r="G422" s="34" t="n">
        <x:f>-Assumptions!$B$8*E422</x:f>
        <x:v>2.786889959353607</x:v>
      </x:c>
      <x:c r="H422" s="34" t="n">
        <x:f>-Assumptions!$B$9*E422</x:f>
        <x:v>1.86984779930402</x:v>
      </x:c>
      <x:c r="I422" s="34" t="n">
        <x:f>-Assumptions!$B$10*E422</x:f>
        <x:v>3.122459555079258</x:v>
      </x:c>
      <x:c r="J422" s="36" t="n">
        <x:f>IF(C422&lt;-F422,1,0)</x:f>
        <x:v>0</x:v>
      </x:c>
      <x:c r="K422" s="36" t="n">
        <x:f>IF(C422&lt;-G422,1,0)</x:f>
        <x:v>0</x:v>
      </x:c>
      <x:c r="L422" s="36" t="n">
        <x:f>IF(C422&lt;-H422,1,0)</x:f>
        <x:v>0</x:v>
      </x:c>
      <x:c r="M422" s="36" t="n">
        <x:f>IF(C422&lt;-I422,1,0)</x:f>
        <x:v>0</x:v>
      </x:c>
      <x:c r="N422" s="34" t="n">
        <x:f>-F422</x:f>
        <x:v>-1.9704817618678077</x:v>
      </x:c>
      <x:c r="O422" s="34" t="n">
        <x:f>-H422</x:f>
        <x:v>-1.86984779930402</x:v>
      </x:c>
      <x:c r="P422" s="34" t="n">
        <x:f>-G422</x:f>
        <x:v>-2.786889959353607</x:v>
      </x:c>
      <x:c r="Q422" s="34" t="n">
        <x:f>-I422</x:f>
        <x:v>-3.122459555079258</x:v>
      </x:c>
      <x:c r="R422" s="36" t="n">
        <x:f>YEAR(A422)</x:f>
        <x:v>2022</x:v>
      </x:c>
    </x:row>
    <x:row r="423">
      <x:c r="A423" s="30" t="n">
        <x:v>44799</x:v>
      </x:c>
      <x:c r="B423" s="38" t="n">
        <x:v>4057.66</x:v>
      </x:c>
      <x:c r="C423" s="34" t="n">
        <x:f>(B423/B422-1)*100</x:f>
        <x:v>-3.3688010821315006</x:v>
      </x:c>
      <x:c r="D423" s="34" t="n">
        <x:f>Assumptions!$B$4*D422+(1-Assumptions!$B$4)*C422^2</x:f>
        <x:v>1.4681629598106887</x:v>
      </x:c>
      <x:c r="E423" s="34" t="n">
        <x:f>SQRT(D423)</x:f>
        <x:v>1.211677745859306</x:v>
      </x:c>
      <x:c r="F423" s="34" t="n">
        <x:f>-Assumptions!$B$7*E423</x:f>
        <x:v>1.9930325349730644</x:v>
      </x:c>
      <x:c r="G423" s="34" t="n">
        <x:f>-Assumptions!$B$8*E423</x:f>
        <x:v>2.818783948102394</x:v>
      </x:c>
      <x:c r="H423" s="34" t="n">
        <x:f>-Assumptions!$B$9*E423</x:f>
        <x:v>1.8912468877297353</x:v>
      </x:c>
      <x:c r="I423" s="34" t="n">
        <x:f>-Assumptions!$B$10*E423</x:f>
        <x:v>3.1581939010242768</x:v>
      </x:c>
      <x:c r="J423" s="36" t="n">
        <x:f>IF(C423&lt;-F423,1,0)</x:f>
        <x:v>1</x:v>
      </x:c>
      <x:c r="K423" s="36" t="n">
        <x:f>IF(C423&lt;-G423,1,0)</x:f>
        <x:v>1</x:v>
      </x:c>
      <x:c r="L423" s="36" t="n">
        <x:f>IF(C423&lt;-H423,1,0)</x:f>
        <x:v>1</x:v>
      </x:c>
      <x:c r="M423" s="36" t="n">
        <x:f>IF(C423&lt;-I423,1,0)</x:f>
        <x:v>1</x:v>
      </x:c>
      <x:c r="N423" s="34" t="n">
        <x:f>-F423</x:f>
        <x:v>-1.9930325349730644</x:v>
      </x:c>
      <x:c r="O423" s="34" t="n">
        <x:f>-H423</x:f>
        <x:v>-1.8912468877297353</x:v>
      </x:c>
      <x:c r="P423" s="34" t="n">
        <x:f>-G423</x:f>
        <x:v>-2.818783948102394</x:v>
      </x:c>
      <x:c r="Q423" s="34" t="n">
        <x:f>-I423</x:f>
        <x:v>-3.1581939010242768</x:v>
      </x:c>
      <x:c r="R423" s="36" t="n">
        <x:f>YEAR(A423)</x:f>
        <x:v>2022</x:v>
      </x:c>
    </x:row>
    <x:row r="424">
      <x:c r="A424" s="30" t="n">
        <x:v>44802</x:v>
      </x:c>
      <x:c r="B424" s="38" t="n">
        <x:v>4030.61</x:v>
      </x:c>
      <x:c r="C424" s="34" t="n">
        <x:f>(B424/B423-1)*100</x:f>
        <x:v>-0.6666403789376107</x:v>
      </x:c>
      <x:c r="D424" s="34" t="n">
        <x:f>Assumptions!$B$4*D423+(1-Assumptions!$B$4)*C423^2</x:f>
        <x:v>2.06100242608027</x:v>
      </x:c>
      <x:c r="E424" s="34" t="n">
        <x:f>SQRT(D424)</x:f>
        <x:v>1.4356191786404464</x:v>
      </x:c>
      <x:c r="F424" s="34" t="n">
        <x:f>-Assumptions!$B$7*E424</x:f>
        <x:v>2.361383412907833</x:v>
      </x:c>
      <x:c r="G424" s="34" t="n">
        <x:f>-Assumptions!$B$8*E424</x:f>
        <x:v>3.33974962416246</x:v>
      </x:c>
      <x:c r="H424" s="34" t="n">
        <x:f>-Assumptions!$B$9*E424</x:f>
        <x:v>2.240785813593814</x:v>
      </x:c>
      <x:c r="I424" s="34" t="n">
        <x:f>-Assumptions!$B$10*E424</x:f>
        <x:v>3.7418890869868306</x:v>
      </x:c>
      <x:c r="J424" s="36" t="n">
        <x:f>IF(C424&lt;-F424,1,0)</x:f>
        <x:v>0</x:v>
      </x:c>
      <x:c r="K424" s="36" t="n">
        <x:f>IF(C424&lt;-G424,1,0)</x:f>
        <x:v>0</x:v>
      </x:c>
      <x:c r="L424" s="36" t="n">
        <x:f>IF(C424&lt;-H424,1,0)</x:f>
        <x:v>0</x:v>
      </x:c>
      <x:c r="M424" s="36" t="n">
        <x:f>IF(C424&lt;-I424,1,0)</x:f>
        <x:v>0</x:v>
      </x:c>
      <x:c r="N424" s="34" t="n">
        <x:f>-F424</x:f>
        <x:v>-2.361383412907833</x:v>
      </x:c>
      <x:c r="O424" s="34" t="n">
        <x:f>-H424</x:f>
        <x:v>-2.240785813593814</x:v>
      </x:c>
      <x:c r="P424" s="34" t="n">
        <x:f>-G424</x:f>
        <x:v>-3.33974962416246</x:v>
      </x:c>
      <x:c r="Q424" s="34" t="n">
        <x:f>-I424</x:f>
        <x:v>-3.7418890869868306</x:v>
      </x:c>
      <x:c r="R424" s="36" t="n">
        <x:f>YEAR(A424)</x:f>
        <x:v>2022</x:v>
      </x:c>
    </x:row>
    <x:row r="425">
      <x:c r="A425" s="30" t="n">
        <x:v>44803</x:v>
      </x:c>
      <x:c r="B425" s="38" t="n">
        <x:v>3986.16</x:v>
      </x:c>
      <x:c r="C425" s="34" t="n">
        <x:f>(B425/B424-1)*100</x:f>
        <x:v>-1.1028107408059928</x:v>
      </x:c>
      <x:c r="D425" s="34" t="n">
        <x:f>Assumptions!$B$4*D424+(1-Assumptions!$B$4)*C424^2</x:f>
        <x:v>1.9640068442052585</x:v>
      </x:c>
      <x:c r="E425" s="34" t="n">
        <x:f>SQRT(D425)</x:f>
        <x:v>1.401430285174849</x:v>
      </x:c>
      <x:c r="F425" s="34" t="n">
        <x:f>-Assumptions!$B$7*E425</x:f>
        <x:v>2.3051476874894874</x:v>
      </x:c>
      <x:c r="G425" s="34" t="n">
        <x:f>-Assumptions!$B$8*E425</x:f>
        <x:v>3.2602143645329584</x:v>
      </x:c>
      <x:c r="H425" s="34" t="n">
        <x:f>-Assumptions!$B$9*E425</x:f>
        <x:v>2.18742208831067</x:v>
      </x:c>
      <x:c r="I425" s="34" t="n">
        <x:f>-Assumptions!$B$10*E425</x:f>
        <x:v>3.6527769817304585</x:v>
      </x:c>
      <x:c r="J425" s="36" t="n">
        <x:f>IF(C425&lt;-F425,1,0)</x:f>
        <x:v>0</x:v>
      </x:c>
      <x:c r="K425" s="36" t="n">
        <x:f>IF(C425&lt;-G425,1,0)</x:f>
        <x:v>0</x:v>
      </x:c>
      <x:c r="L425" s="36" t="n">
        <x:f>IF(C425&lt;-H425,1,0)</x:f>
        <x:v>0</x:v>
      </x:c>
      <x:c r="M425" s="36" t="n">
        <x:f>IF(C425&lt;-I425,1,0)</x:f>
        <x:v>0</x:v>
      </x:c>
      <x:c r="N425" s="34" t="n">
        <x:f>-F425</x:f>
        <x:v>-2.3051476874894874</x:v>
      </x:c>
      <x:c r="O425" s="34" t="n">
        <x:f>-H425</x:f>
        <x:v>-2.18742208831067</x:v>
      </x:c>
      <x:c r="P425" s="34" t="n">
        <x:f>-G425</x:f>
        <x:v>-3.2602143645329584</x:v>
      </x:c>
      <x:c r="Q425" s="34" t="n">
        <x:f>-I425</x:f>
        <x:v>-3.6527769817304585</x:v>
      </x:c>
      <x:c r="R425" s="36" t="n">
        <x:f>YEAR(A425)</x:f>
        <x:v>2022</x:v>
      </x:c>
    </x:row>
    <x:row r="426">
      <x:c r="A426" s="30" t="n">
        <x:v>44804</x:v>
      </x:c>
      <x:c r="B426" s="38" t="n">
        <x:v>3955</x:v>
      </x:c>
      <x:c r="C426" s="34" t="n">
        <x:f>(B426/B425-1)*100</x:f>
        <x:v>-0.7817046982559583</x:v>
      </x:c>
      <x:c r="D426" s="34" t="n">
        <x:f>Assumptions!$B$4*D425+(1-Assumptions!$B$4)*C425^2</x:f>
        <x:v>1.9191379253551666</x:v>
      </x:c>
      <x:c r="E426" s="34" t="n">
        <x:f>SQRT(D426)</x:f>
        <x:v>1.3853295367367169</x:v>
      </x:c>
      <x:c r="F426" s="34" t="n">
        <x:f>-Assumptions!$B$7*E426</x:f>
        <x:v>2.278664313024392</x:v>
      </x:c>
      <x:c r="G426" s="34" t="n">
        <x:f>-Assumptions!$B$8*E426</x:f>
        <x:v>3.2227584226334436</x:v>
      </x:c>
      <x:c r="H426" s="34" t="n">
        <x:f>-Assumptions!$B$9*E426</x:f>
        <x:v>2.1622912393883427</x:v>
      </x:c>
      <x:c r="I426" s="34" t="n">
        <x:f>-Assumptions!$B$10*E426</x:f>
        <x:v>3.6108109675051385</x:v>
      </x:c>
      <x:c r="J426" s="36" t="n">
        <x:f>IF(C426&lt;-F426,1,0)</x:f>
        <x:v>0</x:v>
      </x:c>
      <x:c r="K426" s="36" t="n">
        <x:f>IF(C426&lt;-G426,1,0)</x:f>
        <x:v>0</x:v>
      </x:c>
      <x:c r="L426" s="36" t="n">
        <x:f>IF(C426&lt;-H426,1,0)</x:f>
        <x:v>0</x:v>
      </x:c>
      <x:c r="M426" s="36" t="n">
        <x:f>IF(C426&lt;-I426,1,0)</x:f>
        <x:v>0</x:v>
      </x:c>
      <x:c r="N426" s="34" t="n">
        <x:f>-F426</x:f>
        <x:v>-2.278664313024392</x:v>
      </x:c>
      <x:c r="O426" s="34" t="n">
        <x:f>-H426</x:f>
        <x:v>-2.1622912393883427</x:v>
      </x:c>
      <x:c r="P426" s="34" t="n">
        <x:f>-G426</x:f>
        <x:v>-3.2227584226334436</x:v>
      </x:c>
      <x:c r="Q426" s="34" t="n">
        <x:f>-I426</x:f>
        <x:v>-3.6108109675051385</x:v>
      </x:c>
      <x:c r="R426" s="36" t="n">
        <x:f>YEAR(A426)</x:f>
        <x:v>2022</x:v>
      </x:c>
    </x:row>
    <x:row r="427">
      <x:c r="A427" s="30" t="n">
        <x:v>44805</x:v>
      </x:c>
      <x:c r="B427" s="38" t="n">
        <x:v>3966.85</x:v>
      </x:c>
      <x:c r="C427" s="34" t="n">
        <x:f>(B427/B426-1)*100</x:f>
        <x:v>0.2996207332490508</x:v>
      </x:c>
      <x:c r="D427" s="34" t="n">
        <x:f>Assumptions!$B$4*D426+(1-Assumptions!$B$4)*C426^2</x:f>
        <x:v>1.840653383950383</x:v>
      </x:c>
      <x:c r="E427" s="34" t="n">
        <x:f>SQRT(D427)</x:f>
        <x:v>1.3567068157676452</x:v>
      </x:c>
      <x:c r="F427" s="34" t="n">
        <x:f>-Assumptions!$B$7*E427</x:f>
        <x:v>2.231584126625195</x:v>
      </x:c>
      <x:c r="G427" s="34" t="n">
        <x:f>-Assumptions!$B$8*E427</x:f>
        <x:v>3.1561720165577793</x:v>
      </x:c>
      <x:c r="H427" s="34" t="n">
        <x:f>-Assumptions!$B$9*E427</x:f>
        <x:v>2.1176154729676897</x:v>
      </x:c>
      <x:c r="I427" s="34" t="n">
        <x:f>-Assumptions!$B$10*E427</x:f>
        <x:v>3.5362068880754762</x:v>
      </x:c>
      <x:c r="J427" s="36" t="n">
        <x:f>IF(C427&lt;-F427,1,0)</x:f>
        <x:v>0</x:v>
      </x:c>
      <x:c r="K427" s="36" t="n">
        <x:f>IF(C427&lt;-G427,1,0)</x:f>
        <x:v>0</x:v>
      </x:c>
      <x:c r="L427" s="36" t="n">
        <x:f>IF(C427&lt;-H427,1,0)</x:f>
        <x:v>0</x:v>
      </x:c>
      <x:c r="M427" s="36" t="n">
        <x:f>IF(C427&lt;-I427,1,0)</x:f>
        <x:v>0</x:v>
      </x:c>
      <x:c r="N427" s="34" t="n">
        <x:f>-F427</x:f>
        <x:v>-2.231584126625195</x:v>
      </x:c>
      <x:c r="O427" s="34" t="n">
        <x:f>-H427</x:f>
        <x:v>-2.1176154729676897</x:v>
      </x:c>
      <x:c r="P427" s="34" t="n">
        <x:f>-G427</x:f>
        <x:v>-3.1561720165577793</x:v>
      </x:c>
      <x:c r="Q427" s="34" t="n">
        <x:f>-I427</x:f>
        <x:v>-3.5362068880754762</x:v>
      </x:c>
      <x:c r="R427" s="36" t="n">
        <x:f>YEAR(A427)</x:f>
        <x:v>2022</x:v>
      </x:c>
    </x:row>
    <x:row r="428">
      <x:c r="A428" s="30" t="n">
        <x:v>44806</x:v>
      </x:c>
      <x:c r="B428" s="38" t="n">
        <x:v>3924.26</x:v>
      </x:c>
      <x:c r="C428" s="34" t="n">
        <x:f>(B428/B427-1)*100</x:f>
        <x:v>-1.0736478566116592</x:v>
      </x:c>
      <x:c r="D428" s="34" t="n">
        <x:f>Assumptions!$B$4*D427+(1-Assumptions!$B$4)*C427^2</x:f>
        <x:v>1.7356005359409217</x:v>
      </x:c>
      <x:c r="E428" s="34" t="n">
        <x:f>SQRT(D428)</x:f>
        <x:v>1.3174219278351647</x:v>
      </x:c>
      <x:c r="F428" s="34" t="n">
        <x:f>-Assumptions!$B$7*E428</x:f>
        <x:v>2.166966236225072</x:v>
      </x:c>
      <x:c r="G428" s="34" t="n">
        <x:f>-Assumptions!$B$8*E428</x:f>
        <x:v>3.0647817010341205</x:v>
      </x:c>
      <x:c r="H428" s="34" t="n">
        <x:f>-Assumptions!$B$9*E428</x:f>
        <x:v>2.0562976660747156</x:v>
      </x:c>
      <x:c r="I428" s="34" t="n">
        <x:f>-Assumptions!$B$10*E428</x:f>
        <x:v>3.433812258897242</x:v>
      </x:c>
      <x:c r="J428" s="36" t="n">
        <x:f>IF(C428&lt;-F428,1,0)</x:f>
        <x:v>0</x:v>
      </x:c>
      <x:c r="K428" s="36" t="n">
        <x:f>IF(C428&lt;-G428,1,0)</x:f>
        <x:v>0</x:v>
      </x:c>
      <x:c r="L428" s="36" t="n">
        <x:f>IF(C428&lt;-H428,1,0)</x:f>
        <x:v>0</x:v>
      </x:c>
      <x:c r="M428" s="36" t="n">
        <x:f>IF(C428&lt;-I428,1,0)</x:f>
        <x:v>0</x:v>
      </x:c>
      <x:c r="N428" s="34" t="n">
        <x:f>-F428</x:f>
        <x:v>-2.166966236225072</x:v>
      </x:c>
      <x:c r="O428" s="34" t="n">
        <x:f>-H428</x:f>
        <x:v>-2.0562976660747156</x:v>
      </x:c>
      <x:c r="P428" s="34" t="n">
        <x:f>-G428</x:f>
        <x:v>-3.0647817010341205</x:v>
      </x:c>
      <x:c r="Q428" s="34" t="n">
        <x:f>-I428</x:f>
        <x:v>-3.433812258897242</x:v>
      </x:c>
      <x:c r="R428" s="36" t="n">
        <x:f>YEAR(A428)</x:f>
        <x:v>2022</x:v>
      </x:c>
    </x:row>
    <x:row r="429">
      <x:c r="A429" s="30" t="n">
        <x:v>44810</x:v>
      </x:c>
      <x:c r="B429" s="38" t="n">
        <x:v>3908.19</x:v>
      </x:c>
      <x:c r="C429" s="34" t="n">
        <x:f>(B429/B428-1)*100</x:f>
        <x:v>-0.4095039574340209</x:v>
      </x:c>
      <x:c r="D429" s="34" t="n">
        <x:f>Assumptions!$B$4*D428+(1-Assumptions!$B$4)*C428^2</x:f>
        <x:v>1.700627686984875</x:v>
      </x:c>
      <x:c r="E429" s="34" t="n">
        <x:f>SQRT(D429)</x:f>
        <x:v>1.3040811657963913</x:v>
      </x:c>
      <x:c r="F429" s="34" t="n">
        <x:f>-Assumptions!$B$7*E429</x:f>
        <x:v>2.1450226353992994</x:v>
      </x:c>
      <x:c r="G429" s="34" t="n">
        <x:f>-Assumptions!$B$8*E429</x:f>
        <x:v>3.0337464476271356</x:v>
      </x:c>
      <x:c r="H429" s="34" t="n">
        <x:f>-Assumptions!$B$9*E429</x:f>
        <x:v>2.035474741190608</x:v>
      </x:c>
      <x:c r="I429" s="34" t="n">
        <x:f>-Assumptions!$B$10*E429</x:f>
        <x:v>3.399040048670677</x:v>
      </x:c>
      <x:c r="J429" s="36" t="n">
        <x:f>IF(C429&lt;-F429,1,0)</x:f>
        <x:v>0</x:v>
      </x:c>
      <x:c r="K429" s="36" t="n">
        <x:f>IF(C429&lt;-G429,1,0)</x:f>
        <x:v>0</x:v>
      </x:c>
      <x:c r="L429" s="36" t="n">
        <x:f>IF(C429&lt;-H429,1,0)</x:f>
        <x:v>0</x:v>
      </x:c>
      <x:c r="M429" s="36" t="n">
        <x:f>IF(C429&lt;-I429,1,0)</x:f>
        <x:v>0</x:v>
      </x:c>
      <x:c r="N429" s="34" t="n">
        <x:f>-F429</x:f>
        <x:v>-2.1450226353992994</x:v>
      </x:c>
      <x:c r="O429" s="34" t="n">
        <x:f>-H429</x:f>
        <x:v>-2.035474741190608</x:v>
      </x:c>
      <x:c r="P429" s="34" t="n">
        <x:f>-G429</x:f>
        <x:v>-3.0337464476271356</x:v>
      </x:c>
      <x:c r="Q429" s="34" t="n">
        <x:f>-I429</x:f>
        <x:v>-3.399040048670677</x:v>
      </x:c>
      <x:c r="R429" s="36" t="n">
        <x:f>YEAR(A429)</x:f>
        <x:v>2022</x:v>
      </x:c>
    </x:row>
    <x:row r="430">
      <x:c r="A430" s="30" t="n">
        <x:v>44811</x:v>
      </x:c>
      <x:c r="B430" s="38" t="n">
        <x:v>3979.87</x:v>
      </x:c>
      <x:c r="C430" s="34" t="n">
        <x:f>(B430/B429-1)*100</x:f>
        <x:v>1.8340971140093032</x:v>
      </x:c>
      <x:c r="D430" s="34" t="n">
        <x:f>Assumptions!$B$4*D429+(1-Assumptions!$B$4)*C429^2</x:f>
        <x:v>1.60865163523503</x:v>
      </x:c>
      <x:c r="E430" s="34" t="n">
        <x:f>SQRT(D430)</x:f>
        <x:v>1.2683263126005981</x:v>
      </x:c>
      <x:c r="F430" s="34" t="n">
        <x:f>-Assumptions!$B$7*E430</x:f>
        <x:v>2.0862111354390813</x:v>
      </x:c>
      <x:c r="G430" s="34" t="n">
        <x:f>-Assumptions!$B$8*E430</x:f>
        <x:v>2.9505682209084596</x:v>
      </x:c>
      <x:c r="H430" s="34" t="n">
        <x:f>-Assumptions!$B$9*E430</x:f>
        <x:v>1.9796667880786019</x:v>
      </x:c>
      <x:c r="I430" s="34" t="n">
        <x:f>-Assumptions!$B$10*E430</x:f>
        <x:v>3.305846326428225</x:v>
      </x:c>
      <x:c r="J430" s="36" t="n">
        <x:f>IF(C430&lt;-F430,1,0)</x:f>
        <x:v>0</x:v>
      </x:c>
      <x:c r="K430" s="36" t="n">
        <x:f>IF(C430&lt;-G430,1,0)</x:f>
        <x:v>0</x:v>
      </x:c>
      <x:c r="L430" s="36" t="n">
        <x:f>IF(C430&lt;-H430,1,0)</x:f>
        <x:v>0</x:v>
      </x:c>
      <x:c r="M430" s="36" t="n">
        <x:f>IF(C430&lt;-I430,1,0)</x:f>
        <x:v>0</x:v>
      </x:c>
      <x:c r="N430" s="34" t="n">
        <x:f>-F430</x:f>
        <x:v>-2.0862111354390813</x:v>
      </x:c>
      <x:c r="O430" s="34" t="n">
        <x:f>-H430</x:f>
        <x:v>-1.9796667880786019</x:v>
      </x:c>
      <x:c r="P430" s="34" t="n">
        <x:f>-G430</x:f>
        <x:v>-2.9505682209084596</x:v>
      </x:c>
      <x:c r="Q430" s="34" t="n">
        <x:f>-I430</x:f>
        <x:v>-3.305846326428225</x:v>
      </x:c>
      <x:c r="R430" s="36" t="n">
        <x:f>YEAR(A430)</x:f>
        <x:v>2022</x:v>
      </x:c>
    </x:row>
    <x:row r="431">
      <x:c r="A431" s="30" t="n">
        <x:v>44812</x:v>
      </x:c>
      <x:c r="B431" s="38" t="n">
        <x:v>4006.18</x:v>
      </x:c>
      <x:c r="C431" s="34" t="n">
        <x:f>(B431/B430-1)*100</x:f>
        <x:v>0.6610768693449787</x:v>
      </x:c>
      <x:c r="D431" s="34" t="n">
        <x:f>Assumptions!$B$4*D430+(1-Assumptions!$B$4)*C430^2</x:f>
        <x:v>1.7139672705379634</x:v>
      </x:c>
      <x:c r="E431" s="34" t="n">
        <x:f>SQRT(D431)</x:f>
        <x:v>1.3091857280531145</x:v>
      </x:c>
      <x:c r="F431" s="34" t="n">
        <x:f>-Assumptions!$B$7*E431</x:f>
        <x:v>2.15341889314127</x:v>
      </x:c>
      <x:c r="G431" s="34" t="n">
        <x:f>-Assumptions!$B$8*E431</x:f>
        <x:v>3.0456214351809727</x:v>
      </x:c>
      <x:c r="H431" s="34" t="n">
        <x:f>-Assumptions!$B$9*E431</x:f>
        <x:v>2.0434421958329345</x:v>
      </x:c>
      <x:c r="I431" s="34" t="n">
        <x:f>-Assumptions!$B$10*E431</x:f>
        <x:v>3.4123449042246174</x:v>
      </x:c>
      <x:c r="J431" s="36" t="n">
        <x:f>IF(C431&lt;-F431,1,0)</x:f>
        <x:v>0</x:v>
      </x:c>
      <x:c r="K431" s="36" t="n">
        <x:f>IF(C431&lt;-G431,1,0)</x:f>
        <x:v>0</x:v>
      </x:c>
      <x:c r="L431" s="36" t="n">
        <x:f>IF(C431&lt;-H431,1,0)</x:f>
        <x:v>0</x:v>
      </x:c>
      <x:c r="M431" s="36" t="n">
        <x:f>IF(C431&lt;-I431,1,0)</x:f>
        <x:v>0</x:v>
      </x:c>
      <x:c r="N431" s="34" t="n">
        <x:f>-F431</x:f>
        <x:v>-2.15341889314127</x:v>
      </x:c>
      <x:c r="O431" s="34" t="n">
        <x:f>-H431</x:f>
        <x:v>-2.0434421958329345</x:v>
      </x:c>
      <x:c r="P431" s="34" t="n">
        <x:f>-G431</x:f>
        <x:v>-3.0456214351809727</x:v>
      </x:c>
      <x:c r="Q431" s="34" t="n">
        <x:f>-I431</x:f>
        <x:v>-3.4123449042246174</x:v>
      </x:c>
      <x:c r="R431" s="36" t="n">
        <x:f>YEAR(A431)</x:f>
        <x:v>2022</x:v>
      </x:c>
    </x:row>
    <x:row r="432">
      <x:c r="A432" s="30" t="n">
        <x:v>44813</x:v>
      </x:c>
      <x:c r="B432" s="38" t="n">
        <x:v>4067.36</x:v>
      </x:c>
      <x:c r="C432" s="34" t="n">
        <x:f>(B432/B431-1)*100</x:f>
        <x:v>1.5271405678227268</x:v>
      </x:c>
      <x:c r="D432" s="34" t="n">
        <x:f>Assumptions!$B$4*D431+(1-Assumptions!$B$4)*C431^2</x:f>
        <x:v>1.637350591936663</x:v>
      </x:c>
      <x:c r="E432" s="34" t="n">
        <x:f>SQRT(D432)</x:f>
        <x:v>1.2795900093141799</x:v>
      </x:c>
      <x:c r="F432" s="34" t="n">
        <x:f>-Assumptions!$B$7*E432</x:f>
        <x:v>2.104738267831298</x:v>
      </x:c>
      <x:c r="G432" s="34" t="n">
        <x:f>-Assumptions!$B$8*E432</x:f>
        <x:v>2.9767714978119413</x:v>
      </x:c>
      <x:c r="H432" s="34" t="n">
        <x:f>-Assumptions!$B$9*E432</x:f>
        <x:v>1.997247726101678</x:v>
      </x:c>
      <x:c r="I432" s="34" t="n">
        <x:f>-Assumptions!$B$10*E432</x:f>
        <x:v>3.3352047415558324</x:v>
      </x:c>
      <x:c r="J432" s="36" t="n">
        <x:f>IF(C432&lt;-F432,1,0)</x:f>
        <x:v>0</x:v>
      </x:c>
      <x:c r="K432" s="36" t="n">
        <x:f>IF(C432&lt;-G432,1,0)</x:f>
        <x:v>0</x:v>
      </x:c>
      <x:c r="L432" s="36" t="n">
        <x:f>IF(C432&lt;-H432,1,0)</x:f>
        <x:v>0</x:v>
      </x:c>
      <x:c r="M432" s="36" t="n">
        <x:f>IF(C432&lt;-I432,1,0)</x:f>
        <x:v>0</x:v>
      </x:c>
      <x:c r="N432" s="34" t="n">
        <x:f>-F432</x:f>
        <x:v>-2.104738267831298</x:v>
      </x:c>
      <x:c r="O432" s="34" t="n">
        <x:f>-H432</x:f>
        <x:v>-1.997247726101678</x:v>
      </x:c>
      <x:c r="P432" s="34" t="n">
        <x:f>-G432</x:f>
        <x:v>-2.9767714978119413</x:v>
      </x:c>
      <x:c r="Q432" s="34" t="n">
        <x:f>-I432</x:f>
        <x:v>-3.3352047415558324</x:v>
      </x:c>
      <x:c r="R432" s="36" t="n">
        <x:f>YEAR(A432)</x:f>
        <x:v>2022</x:v>
      </x:c>
    </x:row>
    <x:row r="433">
      <x:c r="A433" s="30" t="n">
        <x:v>44816</x:v>
      </x:c>
      <x:c r="B433" s="38" t="n">
        <x:v>4110.41</x:v>
      </x:c>
      <x:c r="C433" s="34" t="n">
        <x:f>(B433/B432-1)*100</x:f>
        <x:v>1.058426104401855</x:v>
      </x:c>
      <x:c r="D433" s="34" t="n">
        <x:f>Assumptions!$B$4*D432+(1-Assumptions!$B$4)*C432^2</x:f>
        <x:v>1.6790390552538588</x:v>
      </x:c>
      <x:c r="E433" s="34" t="n">
        <x:f>SQRT(D433)</x:f>
        <x:v>1.2957773941745776</x:v>
      </x:c>
      <x:c r="F433" s="34" t="n">
        <x:f>-Assumptions!$B$7*E433</x:f>
        <x:v>2.131364146529782</x:v>
      </x:c>
      <x:c r="G433" s="34" t="n">
        <x:f>-Assumptions!$B$8*E433</x:f>
        <x:v>3.0144289861682085</x:v>
      </x:c>
      <x:c r="H433" s="34" t="n">
        <x:f>-Assumptions!$B$9*E433</x:f>
        <x:v>2.022513801460683</x:v>
      </x:c>
      <x:c r="I433" s="34" t="n">
        <x:f>-Assumptions!$B$10*E433</x:f>
        <x:v>3.37739657045947</x:v>
      </x:c>
      <x:c r="J433" s="36" t="n">
        <x:f>IF(C433&lt;-F433,1,0)</x:f>
        <x:v>0</x:v>
      </x:c>
      <x:c r="K433" s="36" t="n">
        <x:f>IF(C433&lt;-G433,1,0)</x:f>
        <x:v>0</x:v>
      </x:c>
      <x:c r="L433" s="36" t="n">
        <x:f>IF(C433&lt;-H433,1,0)</x:f>
        <x:v>0</x:v>
      </x:c>
      <x:c r="M433" s="36" t="n">
        <x:f>IF(C433&lt;-I433,1,0)</x:f>
        <x:v>0</x:v>
      </x:c>
      <x:c r="N433" s="34" t="n">
        <x:f>-F433</x:f>
        <x:v>-2.131364146529782</x:v>
      </x:c>
      <x:c r="O433" s="34" t="n">
        <x:f>-H433</x:f>
        <x:v>-2.022513801460683</x:v>
      </x:c>
      <x:c r="P433" s="34" t="n">
        <x:f>-G433</x:f>
        <x:v>-3.0144289861682085</x:v>
      </x:c>
      <x:c r="Q433" s="34" t="n">
        <x:f>-I433</x:f>
        <x:v>-3.37739657045947</x:v>
      </x:c>
      <x:c r="R433" s="36" t="n">
        <x:f>YEAR(A433)</x:f>
        <x:v>2022</x:v>
      </x:c>
    </x:row>
    <x:row r="434">
      <x:c r="A434" s="30" t="n">
        <x:v>44817</x:v>
      </x:c>
      <x:c r="B434" s="38" t="n">
        <x:v>3932.69</x:v>
      </x:c>
      <x:c r="C434" s="34" t="n">
        <x:f>(B434/B433-1)*100</x:f>
        <x:v>-4.3236562775976095</x:v>
      </x:c>
      <x:c r="D434" s="34" t="n">
        <x:f>Assumptions!$B$4*D433+(1-Assumptions!$B$4)*C433^2</x:f>
        <x:v>1.6455126610473843</x:v>
      </x:c>
      <x:c r="E434" s="34" t="n">
        <x:f>SQRT(D434)</x:f>
        <x:v>1.2827753743533528</x:v>
      </x:c>
      <x:c r="F434" s="34" t="n">
        <x:f>-Assumptions!$B$7*E434</x:f>
        <x:v>2.1099777270691455</x:v>
      </x:c>
      <x:c r="G434" s="34" t="n">
        <x:f>-Assumptions!$B$8*E434</x:f>
        <x:v>2.984181764998865</x:v>
      </x:c>
      <x:c r="H434" s="34" t="n">
        <x:f>-Assumptions!$B$9*E434</x:f>
        <x:v>2.002219602276846</x:v>
      </x:c>
      <x:c r="I434" s="34" t="n">
        <x:f>-Assumptions!$B$10*E434</x:f>
        <x:v>3.3435072794819685</x:v>
      </x:c>
      <x:c r="J434" s="36" t="n">
        <x:f>IF(C434&lt;-F434,1,0)</x:f>
        <x:v>1</x:v>
      </x:c>
      <x:c r="K434" s="36" t="n">
        <x:f>IF(C434&lt;-G434,1,0)</x:f>
        <x:v>1</x:v>
      </x:c>
      <x:c r="L434" s="36" t="n">
        <x:f>IF(C434&lt;-H434,1,0)</x:f>
        <x:v>1</x:v>
      </x:c>
      <x:c r="M434" s="36" t="n">
        <x:f>IF(C434&lt;-I434,1,0)</x:f>
        <x:v>1</x:v>
      </x:c>
      <x:c r="N434" s="34" t="n">
        <x:f>-F434</x:f>
        <x:v>-2.1099777270691455</x:v>
      </x:c>
      <x:c r="O434" s="34" t="n">
        <x:f>-H434</x:f>
        <x:v>-2.002219602276846</x:v>
      </x:c>
      <x:c r="P434" s="34" t="n">
        <x:f>-G434</x:f>
        <x:v>-2.984181764998865</x:v>
      </x:c>
      <x:c r="Q434" s="34" t="n">
        <x:f>-I434</x:f>
        <x:v>-3.3435072794819685</x:v>
      </x:c>
      <x:c r="R434" s="36" t="n">
        <x:f>YEAR(A434)</x:f>
        <x:v>2022</x:v>
      </x:c>
    </x:row>
    <x:row r="435">
      <x:c r="A435" s="30" t="n">
        <x:v>44818</x:v>
      </x:c>
      <x:c r="B435" s="38" t="n">
        <x:v>3946.01</x:v>
      </x:c>
      <x:c r="C435" s="34" t="n">
        <x:f>(B435/B434-1)*100</x:f>
        <x:v>0.33869946525153516</x:v>
      </x:c>
      <x:c r="D435" s="34" t="n">
        <x:f>Assumptions!$B$4*D434+(1-Assumptions!$B$4)*C434^2</x:f>
        <x:v>2.6684221177930953</x:v>
      </x:c>
      <x:c r="E435" s="34" t="n">
        <x:f>SQRT(D435)</x:f>
        <x:v>1.6335305683681267</x:v>
      </x:c>
      <x:c r="F435" s="34" t="n">
        <x:f>-Assumptions!$B$7*E435</x:f>
        <x:v>2.686918680116414</x:v>
      </x:c>
      <x:c r="G435" s="34" t="n">
        <x:f>-Assumptions!$B$8*E435</x:f>
        <x:v>3.8001603649039173</x:v>
      </x:c>
      <x:c r="H435" s="34" t="n">
        <x:f>-Assumptions!$B$9*E435</x:f>
        <x:v>2.54969575367305</x:v>
      </x:c>
      <x:c r="I435" s="34" t="n">
        <x:f>-Assumptions!$B$10*E435</x:f>
        <x:v>4.257737914050933</x:v>
      </x:c>
      <x:c r="J435" s="36" t="n">
        <x:f>IF(C435&lt;-F435,1,0)</x:f>
        <x:v>0</x:v>
      </x:c>
      <x:c r="K435" s="36" t="n">
        <x:f>IF(C435&lt;-G435,1,0)</x:f>
        <x:v>0</x:v>
      </x:c>
      <x:c r="L435" s="36" t="n">
        <x:f>IF(C435&lt;-H435,1,0)</x:f>
        <x:v>0</x:v>
      </x:c>
      <x:c r="M435" s="36" t="n">
        <x:f>IF(C435&lt;-I435,1,0)</x:f>
        <x:v>0</x:v>
      </x:c>
      <x:c r="N435" s="34" t="n">
        <x:f>-F435</x:f>
        <x:v>-2.686918680116414</x:v>
      </x:c>
      <x:c r="O435" s="34" t="n">
        <x:f>-H435</x:f>
        <x:v>-2.54969575367305</x:v>
      </x:c>
      <x:c r="P435" s="34" t="n">
        <x:f>-G435</x:f>
        <x:v>-3.8001603649039173</x:v>
      </x:c>
      <x:c r="Q435" s="34" t="n">
        <x:f>-I435</x:f>
        <x:v>-4.257737914050933</x:v>
      </x:c>
      <x:c r="R435" s="36" t="n">
        <x:f>YEAR(A435)</x:f>
        <x:v>2022</x:v>
      </x:c>
    </x:row>
    <x:row r="436">
      <x:c r="A436" s="30" t="n">
        <x:v>44819</x:v>
      </x:c>
      <x:c r="B436" s="38" t="n">
        <x:v>3901.35</x:v>
      </x:c>
      <x:c r="C436" s="34" t="n">
        <x:f>(B436/B435-1)*100</x:f>
        <x:v>-1.1317761485652666</x:v>
      </x:c>
      <x:c r="D436" s="34" t="n">
        <x:f>Assumptions!$B$4*D435+(1-Assumptions!$B$4)*C435^2</x:f>
        <x:v>2.51519983039121</x:v>
      </x:c>
      <x:c r="E436" s="34" t="n">
        <x:f>SQRT(D436)</x:f>
        <x:v>1.5859381546552218</x:v>
      </x:c>
      <x:c r="F436" s="34" t="n">
        <x:f>-Assumptions!$B$7*E436</x:f>
        <x:v>2.6086361258053676</x:v>
      </x:c>
      <x:c r="G436" s="34" t="n">
        <x:f>-Assumptions!$B$8*E436</x:f>
        <x:v>3.6894438544424286</x:v>
      </x:c>
      <x:c r="H436" s="34" t="n">
        <x:f>-Assumptions!$B$9*E436</x:f>
        <x:v>2.4754111473726805</x:v>
      </x:c>
      <x:c r="I436" s="34" t="n">
        <x:f>-Assumptions!$B$10*E436</x:f>
        <x:v>4.133690021583844</x:v>
      </x:c>
      <x:c r="J436" s="36" t="n">
        <x:f>IF(C436&lt;-F436,1,0)</x:f>
        <x:v>0</x:v>
      </x:c>
      <x:c r="K436" s="36" t="n">
        <x:f>IF(C436&lt;-G436,1,0)</x:f>
        <x:v>0</x:v>
      </x:c>
      <x:c r="L436" s="36" t="n">
        <x:f>IF(C436&lt;-H436,1,0)</x:f>
        <x:v>0</x:v>
      </x:c>
      <x:c r="M436" s="36" t="n">
        <x:f>IF(C436&lt;-I436,1,0)</x:f>
        <x:v>0</x:v>
      </x:c>
      <x:c r="N436" s="34" t="n">
        <x:f>-F436</x:f>
        <x:v>-2.6086361258053676</x:v>
      </x:c>
      <x:c r="O436" s="34" t="n">
        <x:f>-H436</x:f>
        <x:v>-2.4754111473726805</x:v>
      </x:c>
      <x:c r="P436" s="34" t="n">
        <x:f>-G436</x:f>
        <x:v>-3.6894438544424286</x:v>
      </x:c>
      <x:c r="Q436" s="34" t="n">
        <x:f>-I436</x:f>
        <x:v>-4.133690021583844</x:v>
      </x:c>
      <x:c r="R436" s="36" t="n">
        <x:f>YEAR(A436)</x:f>
        <x:v>2022</x:v>
      </x:c>
    </x:row>
    <x:row r="437">
      <x:c r="A437" s="30" t="n">
        <x:v>44820</x:v>
      </x:c>
      <x:c r="B437" s="38" t="n">
        <x:v>3873.33</x:v>
      </x:c>
      <x:c r="C437" s="34" t="n">
        <x:f>(B437/B436-1)*100</x:f>
        <x:v>-0.7182129262947479</x:v>
      </x:c>
      <x:c r="D437" s="34" t="n">
        <x:f>Assumptions!$B$4*D436+(1-Assumptions!$B$4)*C436^2</x:f>
        <x:v>2.441142875595411</x:v>
      </x:c>
      <x:c r="E437" s="34" t="n">
        <x:f>SQRT(D437)</x:f>
        <x:v>1.5624157179174214</x:v>
      </x:c>
      <x:c r="F437" s="34" t="n">
        <x:f>-Assumptions!$B$7*E437</x:f>
        <x:v>2.56994516042246</x:v>
      </x:c>
      <x:c r="G437" s="34" t="n">
        <x:f>-Assumptions!$B$8*E437</x:f>
        <x:v>3.6347224837451866</x:v>
      </x:c>
      <x:c r="H437" s="34" t="n">
        <x:f>-Assumptions!$B$9*E437</x:f>
        <x:v>2.438696158239464</x:v>
      </x:c>
      <x:c r="I437" s="34" t="n">
        <x:f>-Assumptions!$B$10*E437</x:f>
        <x:v>4.072379647190637</x:v>
      </x:c>
      <x:c r="J437" s="36" t="n">
        <x:f>IF(C437&lt;-F437,1,0)</x:f>
        <x:v>0</x:v>
      </x:c>
      <x:c r="K437" s="36" t="n">
        <x:f>IF(C437&lt;-G437,1,0)</x:f>
        <x:v>0</x:v>
      </x:c>
      <x:c r="L437" s="36" t="n">
        <x:f>IF(C437&lt;-H437,1,0)</x:f>
        <x:v>0</x:v>
      </x:c>
      <x:c r="M437" s="36" t="n">
        <x:f>IF(C437&lt;-I437,1,0)</x:f>
        <x:v>0</x:v>
      </x:c>
      <x:c r="N437" s="34" t="n">
        <x:f>-F437</x:f>
        <x:v>-2.56994516042246</x:v>
      </x:c>
      <x:c r="O437" s="34" t="n">
        <x:f>-H437</x:f>
        <x:v>-2.438696158239464</x:v>
      </x:c>
      <x:c r="P437" s="34" t="n">
        <x:f>-G437</x:f>
        <x:v>-3.6347224837451866</x:v>
      </x:c>
      <x:c r="Q437" s="34" t="n">
        <x:f>-I437</x:f>
        <x:v>-4.072379647190637</x:v>
      </x:c>
      <x:c r="R437" s="36" t="n">
        <x:f>YEAR(A437)</x:f>
        <x:v>2022</x:v>
      </x:c>
    </x:row>
    <x:row r="438">
      <x:c r="A438" s="30" t="n">
        <x:v>44823</x:v>
      </x:c>
      <x:c r="B438" s="38" t="n">
        <x:v>3899.89</x:v>
      </x:c>
      <x:c r="C438" s="34" t="n">
        <x:f>(B438/B437-1)*100</x:f>
        <x:v>0.6857148758303566</x:v>
      </x:c>
      <x:c r="D438" s="34" t="n">
        <x:f>Assumptions!$B$4*D437+(1-Assumptions!$B$4)*C437^2</x:f>
        <x:v>2.325624091509498</x:v>
      </x:c>
      <x:c r="E438" s="34" t="n">
        <x:f>SQRT(D438)</x:f>
        <x:v>1.5249997021342325</x:v>
      </x:c>
      <x:c r="F438" s="34" t="n">
        <x:f>-Assumptions!$B$7*E438</x:f>
        <x:v>2.5084012911554083</x:v>
      </x:c>
      <x:c r="G438" s="34" t="n">
        <x:f>-Assumptions!$B$8*E438</x:f>
        <x:v>3.5476798149728865</x:v>
      </x:c>
      <x:c r="H438" s="34" t="n">
        <x:f>-Assumptions!$B$9*E438</x:f>
        <x:v>2.3802953799442266</x:v>
      </x:c>
      <x:c r="I438" s="34" t="n">
        <x:f>-Assumptions!$B$10*E438</x:f>
        <x:v>3.974856165183222</x:v>
      </x:c>
      <x:c r="J438" s="36" t="n">
        <x:f>IF(C438&lt;-F438,1,0)</x:f>
        <x:v>0</x:v>
      </x:c>
      <x:c r="K438" s="36" t="n">
        <x:f>IF(C438&lt;-G438,1,0)</x:f>
        <x:v>0</x:v>
      </x:c>
      <x:c r="L438" s="36" t="n">
        <x:f>IF(C438&lt;-H438,1,0)</x:f>
        <x:v>0</x:v>
      </x:c>
      <x:c r="M438" s="36" t="n">
        <x:f>IF(C438&lt;-I438,1,0)</x:f>
        <x:v>0</x:v>
      </x:c>
      <x:c r="N438" s="34" t="n">
        <x:f>-F438</x:f>
        <x:v>-2.5084012911554083</x:v>
      </x:c>
      <x:c r="O438" s="34" t="n">
        <x:f>-H438</x:f>
        <x:v>-2.3802953799442266</x:v>
      </x:c>
      <x:c r="P438" s="34" t="n">
        <x:f>-G438</x:f>
        <x:v>-3.5476798149728865</x:v>
      </x:c>
      <x:c r="Q438" s="34" t="n">
        <x:f>-I438</x:f>
        <x:v>-3.974856165183222</x:v>
      </x:c>
      <x:c r="R438" s="36" t="n">
        <x:f>YEAR(A438)</x:f>
        <x:v>2022</x:v>
      </x:c>
    </x:row>
    <x:row r="439">
      <x:c r="A439" s="30" t="n">
        <x:v>44824</x:v>
      </x:c>
      <x:c r="B439" s="38" t="n">
        <x:v>3855.93</x:v>
      </x:c>
      <x:c r="C439" s="34" t="n">
        <x:f>(B439/B438-1)*100</x:f>
        <x:v>-1.1272112803181633</x:v>
      </x:c>
      <x:c r="D439" s="34" t="n">
        <x:f>Assumptions!$B$4*D438+(1-Assumptions!$B$4)*C438^2</x:f>
        <x:v>2.2142989394750305</x:v>
      </x:c>
      <x:c r="E439" s="34" t="n">
        <x:f>SQRT(D439)</x:f>
        <x:v>1.488052062084869</x:v>
      </x:c>
      <x:c r="F439" s="34" t="n">
        <x:f>-Assumptions!$B$7*E439</x:f>
        <x:v>2.447627831412915</x:v>
      </x:c>
      <x:c r="G439" s="34" t="n">
        <x:f>-Assumptions!$B$8*E439</x:f>
        <x:v>3.4617267510932233</x:v>
      </x:c>
      <x:c r="H439" s="34" t="n">
        <x:f>-Assumptions!$B$9*E439</x:f>
        <x:v>2.3226256657887014</x:v>
      </x:c>
      <x:c r="I439" s="34" t="n">
        <x:f>-Assumptions!$B$10*E439</x:f>
        <x:v>3.8785534874622685</x:v>
      </x:c>
      <x:c r="J439" s="36" t="n">
        <x:f>IF(C439&lt;-F439,1,0)</x:f>
        <x:v>0</x:v>
      </x:c>
      <x:c r="K439" s="36" t="n">
        <x:f>IF(C439&lt;-G439,1,0)</x:f>
        <x:v>0</x:v>
      </x:c>
      <x:c r="L439" s="36" t="n">
        <x:f>IF(C439&lt;-H439,1,0)</x:f>
        <x:v>0</x:v>
      </x:c>
      <x:c r="M439" s="36" t="n">
        <x:f>IF(C439&lt;-I439,1,0)</x:f>
        <x:v>0</x:v>
      </x:c>
      <x:c r="N439" s="34" t="n">
        <x:f>-F439</x:f>
        <x:v>-2.447627831412915</x:v>
      </x:c>
      <x:c r="O439" s="34" t="n">
        <x:f>-H439</x:f>
        <x:v>-2.3226256657887014</x:v>
      </x:c>
      <x:c r="P439" s="34" t="n">
        <x:f>-G439</x:f>
        <x:v>-3.4617267510932233</x:v>
      </x:c>
      <x:c r="Q439" s="34" t="n">
        <x:f>-I439</x:f>
        <x:v>-3.8785534874622685</x:v>
      </x:c>
      <x:c r="R439" s="36" t="n">
        <x:f>YEAR(A439)</x:f>
        <x:v>2022</x:v>
      </x:c>
    </x:row>
    <x:row r="440">
      <x:c r="A440" s="30" t="n">
        <x:v>44825</x:v>
      </x:c>
      <x:c r="B440" s="38" t="n">
        <x:v>3789.93</x:v>
      </x:c>
      <x:c r="C440" s="34" t="n">
        <x:f>(B440/B439-1)*100</x:f>
        <x:v>-1.7116493297336777</x:v>
      </x:c>
      <x:c r="D440" s="34" t="n">
        <x:f>Assumptions!$B$4*D439+(1-Assumptions!$B$4)*C439^2</x:f>
        <x:v>2.1576773193351197</x:v>
      </x:c>
      <x:c r="E440" s="34" t="n">
        <x:f>SQRT(D440)</x:f>
        <x:v>1.4689034411203208</x:v>
      </x:c>
      <x:c r="F440" s="34" t="n">
        <x:f>-Assumptions!$B$7*E440</x:f>
        <x:v>2.416131152768259</x:v>
      </x:c>
      <x:c r="G440" s="34" t="n">
        <x:f>-Assumptions!$B$8*E440</x:f>
        <x:v>3.417180397421533</x:v>
      </x:c>
      <x:c r="H440" s="34" t="n">
        <x:f>-Assumptions!$B$9*E440</x:f>
        <x:v>2.292737545843216</x:v>
      </x:c>
      <x:c r="I440" s="34" t="n">
        <x:f>-Assumptions!$B$10*E440</x:f>
        <x:v>3.828643304536219</x:v>
      </x:c>
      <x:c r="J440" s="36" t="n">
        <x:f>IF(C440&lt;-F440,1,0)</x:f>
        <x:v>0</x:v>
      </x:c>
      <x:c r="K440" s="36" t="n">
        <x:f>IF(C440&lt;-G440,1,0)</x:f>
        <x:v>0</x:v>
      </x:c>
      <x:c r="L440" s="36" t="n">
        <x:f>IF(C440&lt;-H440,1,0)</x:f>
        <x:v>0</x:v>
      </x:c>
      <x:c r="M440" s="36" t="n">
        <x:f>IF(C440&lt;-I440,1,0)</x:f>
        <x:v>0</x:v>
      </x:c>
      <x:c r="N440" s="34" t="n">
        <x:f>-F440</x:f>
        <x:v>-2.416131152768259</x:v>
      </x:c>
      <x:c r="O440" s="34" t="n">
        <x:f>-H440</x:f>
        <x:v>-2.292737545843216</x:v>
      </x:c>
      <x:c r="P440" s="34" t="n">
        <x:f>-G440</x:f>
        <x:v>-3.417180397421533</x:v>
      </x:c>
      <x:c r="Q440" s="34" t="n">
        <x:f>-I440</x:f>
        <x:v>-3.828643304536219</x:v>
      </x:c>
      <x:c r="R440" s="36" t="n">
        <x:f>YEAR(A440)</x:f>
        <x:v>2022</x:v>
      </x:c>
    </x:row>
    <x:row r="441">
      <x:c r="A441" s="30" t="n">
        <x:v>44826</x:v>
      </x:c>
      <x:c r="B441" s="38" t="n">
        <x:v>3757.99</x:v>
      </x:c>
      <x:c r="C441" s="34" t="n">
        <x:f>(B441/B440-1)*100</x:f>
        <x:v>-0.8427596288058115</x:v>
      </x:c>
      <x:c r="D441" s="34" t="n">
        <x:f>Assumptions!$B$4*D440+(1-Assumptions!$B$4)*C440^2</x:f>
        <x:v>2.2040012858536775</x:v>
      </x:c>
      <x:c r="E441" s="34" t="n">
        <x:f>SQRT(D441)</x:f>
        <x:v>1.4845879178592547</x:v>
      </x:c>
      <x:c r="F441" s="34" t="n">
        <x:f>-Assumptions!$B$7*E441</x:f>
        <x:v>2.4419298212191305</x:v>
      </x:c>
      <x:c r="G441" s="34" t="n">
        <x:f>-Assumptions!$B$8*E441</x:f>
        <x:v>3.453667946538595</x:v>
      </x:c>
      <x:c r="H441" s="34" t="n">
        <x:f>-Assumptions!$B$9*E441</x:f>
        <x:v>2.317218657194437</x:v>
      </x:c>
      <x:c r="I441" s="34" t="n">
        <x:f>-Assumptions!$B$10*E441</x:f>
        <x:v>3.8695243217430906</x:v>
      </x:c>
      <x:c r="J441" s="36" t="n">
        <x:f>IF(C441&lt;-F441,1,0)</x:f>
        <x:v>0</x:v>
      </x:c>
      <x:c r="K441" s="36" t="n">
        <x:f>IF(C441&lt;-G441,1,0)</x:f>
        <x:v>0</x:v>
      </x:c>
      <x:c r="L441" s="36" t="n">
        <x:f>IF(C441&lt;-H441,1,0)</x:f>
        <x:v>0</x:v>
      </x:c>
      <x:c r="M441" s="36" t="n">
        <x:f>IF(C441&lt;-I441,1,0)</x:f>
        <x:v>0</x:v>
      </x:c>
      <x:c r="N441" s="34" t="n">
        <x:f>-F441</x:f>
        <x:v>-2.4419298212191305</x:v>
      </x:c>
      <x:c r="O441" s="34" t="n">
        <x:f>-H441</x:f>
        <x:v>-2.317218657194437</x:v>
      </x:c>
      <x:c r="P441" s="34" t="n">
        <x:f>-G441</x:f>
        <x:v>-3.453667946538595</x:v>
      </x:c>
      <x:c r="Q441" s="34" t="n">
        <x:f>-I441</x:f>
        <x:v>-3.8695243217430906</x:v>
      </x:c>
      <x:c r="R441" s="36" t="n">
        <x:f>YEAR(A441)</x:f>
        <x:v>2022</x:v>
      </x:c>
    </x:row>
    <x:row r="442">
      <x:c r="A442" s="30" t="n">
        <x:v>44827</x:v>
      </x:c>
      <x:c r="B442" s="38" t="n">
        <x:v>3693.23</x:v>
      </x:c>
      <x:c r="C442" s="34" t="n">
        <x:f>(B442/B441-1)*100</x:f>
        <x:v>-1.723261637204987</x:v>
      </x:c>
      <x:c r="D442" s="34" t="n">
        <x:f>Assumptions!$B$4*D441+(1-Assumptions!$B$4)*C441^2</x:f>
        <x:v>2.114375836219151</x:v>
      </x:c>
      <x:c r="E442" s="34" t="n">
        <x:f>SQRT(D442)</x:f>
        <x:v>1.454089349462113</x:v>
      </x:c>
      <x:c r="F442" s="34" t="n">
        <x:f>-Assumptions!$B$7*E442</x:f>
        <x:v>2.3917641403742644</x:v>
      </x:c>
      <x:c r="G442" s="34" t="n">
        <x:f>-Assumptions!$B$8*E442</x:f>
        <x:v>3.3827176667866152</x:v>
      </x:c>
      <x:c r="H442" s="34" t="n">
        <x:f>-Assumptions!$B$9*E442</x:f>
        <x:v>2.2696149748140195</x:v>
      </x:c>
      <x:c r="I442" s="34" t="n">
        <x:f>-Assumptions!$B$10*E442</x:f>
        <x:v>3.790030914332595</x:v>
      </x:c>
      <x:c r="J442" s="36" t="n">
        <x:f>IF(C442&lt;-F442,1,0)</x:f>
        <x:v>0</x:v>
      </x:c>
      <x:c r="K442" s="36" t="n">
        <x:f>IF(C442&lt;-G442,1,0)</x:f>
        <x:v>0</x:v>
      </x:c>
      <x:c r="L442" s="36" t="n">
        <x:f>IF(C442&lt;-H442,1,0)</x:f>
        <x:v>0</x:v>
      </x:c>
      <x:c r="M442" s="36" t="n">
        <x:f>IF(C442&lt;-I442,1,0)</x:f>
        <x:v>0</x:v>
      </x:c>
      <x:c r="N442" s="34" t="n">
        <x:f>-F442</x:f>
        <x:v>-2.3917641403742644</x:v>
      </x:c>
      <x:c r="O442" s="34" t="n">
        <x:f>-H442</x:f>
        <x:v>-2.2696149748140195</x:v>
      </x:c>
      <x:c r="P442" s="34" t="n">
        <x:f>-G442</x:f>
        <x:v>-3.3827176667866152</x:v>
      </x:c>
      <x:c r="Q442" s="34" t="n">
        <x:f>-I442</x:f>
        <x:v>-3.790030914332595</x:v>
      </x:c>
      <x:c r="R442" s="36" t="n">
        <x:f>YEAR(A442)</x:f>
        <x:v>2022</x:v>
      </x:c>
    </x:row>
    <x:row r="443">
      <x:c r="A443" s="30" t="n">
        <x:v>44830</x:v>
      </x:c>
      <x:c r="B443" s="38" t="n">
        <x:v>3655.04</x:v>
      </x:c>
      <x:c r="C443" s="34" t="n">
        <x:f>(B443/B442-1)*100</x:f>
        <x:v>-1.0340542018774879</x:v>
      </x:c>
      <x:c r="D443" s="34" t="n">
        <x:f>Assumptions!$B$4*D442+(1-Assumptions!$B$4)*C442^2</x:f>
        <x:v>2.1656911262617466</x:v>
      </x:c>
      <x:c r="E443" s="34" t="n">
        <x:f>SQRT(D443)</x:f>
        <x:v>1.4716287324803585</x:v>
      </x:c>
      <x:c r="F443" s="34" t="n">
        <x:f>-Assumptions!$B$7*E443</x:f>
        <x:v>2.4206138581463166</x:v>
      </x:c>
      <x:c r="G443" s="34" t="n">
        <x:f>-Assumptions!$B$8*E443</x:f>
        <x:v>3.4235203731830985</x:v>
      </x:c>
      <x:c r="H443" s="34" t="n">
        <x:f>-Assumptions!$B$9*E443</x:f>
        <x:v>2.296991316138529</x:v>
      </x:c>
      <x:c r="I443" s="34" t="n">
        <x:f>-Assumptions!$B$10*E443</x:f>
        <x:v>3.8357466771789848</x:v>
      </x:c>
      <x:c r="J443" s="36" t="n">
        <x:f>IF(C443&lt;-F443,1,0)</x:f>
        <x:v>0</x:v>
      </x:c>
      <x:c r="K443" s="36" t="n">
        <x:f>IF(C443&lt;-G443,1,0)</x:f>
        <x:v>0</x:v>
      </x:c>
      <x:c r="L443" s="36" t="n">
        <x:f>IF(C443&lt;-H443,1,0)</x:f>
        <x:v>0</x:v>
      </x:c>
      <x:c r="M443" s="36" t="n">
        <x:f>IF(C443&lt;-I443,1,0)</x:f>
        <x:v>0</x:v>
      </x:c>
      <x:c r="N443" s="34" t="n">
        <x:f>-F443</x:f>
        <x:v>-2.4206138581463166</x:v>
      </x:c>
      <x:c r="O443" s="34" t="n">
        <x:f>-H443</x:f>
        <x:v>-2.296991316138529</x:v>
      </x:c>
      <x:c r="P443" s="34" t="n">
        <x:f>-G443</x:f>
        <x:v>-3.4235203731830985</x:v>
      </x:c>
      <x:c r="Q443" s="34" t="n">
        <x:f>-I443</x:f>
        <x:v>-3.8357466771789848</x:v>
      </x:c>
      <x:c r="R443" s="36" t="n">
        <x:f>YEAR(A443)</x:f>
        <x:v>2022</x:v>
      </x:c>
    </x:row>
    <x:row r="444">
      <x:c r="A444" s="30" t="n">
        <x:v>44831</x:v>
      </x:c>
      <x:c r="B444" s="38" t="n">
        <x:v>3647.29</x:v>
      </x:c>
      <x:c r="C444" s="34" t="n">
        <x:f>(B444/B443-1)*100</x:f>
        <x:v>-0.21203598319033956</x:v>
      </x:c>
      <x:c r="D444" s="34" t="n">
        <x:f>Assumptions!$B$4*D443+(1-Assumptions!$B$4)*C443^2</x:f>
        <x:v>2.099905744231271</x:v>
      </x:c>
      <x:c r="E444" s="34" t="n">
        <x:f>SQRT(D444)</x:f>
        <x:v>1.4491051529241317</x:v>
      </x:c>
      <x:c r="F444" s="34" t="n">
        <x:f>-Assumptions!$B$7*E444</x:f>
        <x:v>2.3835658666213266</x:v>
      </x:c>
      <x:c r="G444" s="34" t="n">
        <x:f>-Assumptions!$B$8*E444</x:f>
        <x:v>3.3711226917666806</x:v>
      </x:c>
      <x:c r="H444" s="34" t="n">
        <x:f>-Assumptions!$B$9*E444</x:f>
        <x:v>2.2618353929718147</x:v>
      </x:c>
      <x:c r="I444" s="34" t="n">
        <x:f>-Assumptions!$B$10*E444</x:f>
        <x:v>3.77703978763942</x:v>
      </x:c>
      <x:c r="J444" s="36" t="n">
        <x:f>IF(C444&lt;-F444,1,0)</x:f>
        <x:v>0</x:v>
      </x:c>
      <x:c r="K444" s="36" t="n">
        <x:f>IF(C444&lt;-G444,1,0)</x:f>
        <x:v>0</x:v>
      </x:c>
      <x:c r="L444" s="36" t="n">
        <x:f>IF(C444&lt;-H444,1,0)</x:f>
        <x:v>0</x:v>
      </x:c>
      <x:c r="M444" s="36" t="n">
        <x:f>IF(C444&lt;-I444,1,0)</x:f>
        <x:v>0</x:v>
      </x:c>
      <x:c r="N444" s="34" t="n">
        <x:f>-F444</x:f>
        <x:v>-2.3835658666213266</x:v>
      </x:c>
      <x:c r="O444" s="34" t="n">
        <x:f>-H444</x:f>
        <x:v>-2.2618353929718147</x:v>
      </x:c>
      <x:c r="P444" s="34" t="n">
        <x:f>-G444</x:f>
        <x:v>-3.3711226917666806</x:v>
      </x:c>
      <x:c r="Q444" s="34" t="n">
        <x:f>-I444</x:f>
        <x:v>-3.77703978763942</x:v>
      </x:c>
      <x:c r="R444" s="36" t="n">
        <x:f>YEAR(A444)</x:f>
        <x:v>2022</x:v>
      </x:c>
    </x:row>
    <x:row r="445">
      <x:c r="A445" s="30" t="n">
        <x:v>44832</x:v>
      </x:c>
      <x:c r="B445" s="38" t="n">
        <x:v>3719.04</x:v>
      </x:c>
      <x:c r="C445" s="34" t="n">
        <x:f>(B445/B444-1)*100</x:f>
        <x:v>1.9672140136923533</x:v>
      </x:c>
      <x:c r="D445" s="34" t="n">
        <x:f>Assumptions!$B$4*D444+(1-Assumptions!$B$4)*C444^2</x:f>
        <x:v>1.9766089550674444</x:v>
      </x:c>
      <x:c r="E445" s="34" t="n">
        <x:f>SQRT(D445)</x:f>
        <x:v>1.405919256240359</x:v>
      </x:c>
      <x:c r="F445" s="34" t="n">
        <x:f>-Assumptions!$B$7*E445</x:f>
        <x:v>2.312531387827872</x:v>
      </x:c>
      <x:c r="G445" s="34" t="n">
        <x:f>-Assumptions!$B$8*E445</x:f>
        <x:v>3.270657272827839</x:v>
      </x:c>
      <x:c r="H445" s="34" t="n">
        <x:f>-Assumptions!$B$9*E445</x:f>
        <x:v>2.19442869760573</x:v>
      </x:c>
      <x:c r="I445" s="34" t="n">
        <x:f>-Assumptions!$B$10*E445</x:f>
        <x:v>3.6644773212715744</x:v>
      </x:c>
      <x:c r="J445" s="36" t="n">
        <x:f>IF(C445&lt;-F445,1,0)</x:f>
        <x:v>0</x:v>
      </x:c>
      <x:c r="K445" s="36" t="n">
        <x:f>IF(C445&lt;-G445,1,0)</x:f>
        <x:v>0</x:v>
      </x:c>
      <x:c r="L445" s="36" t="n">
        <x:f>IF(C445&lt;-H445,1,0)</x:f>
        <x:v>0</x:v>
      </x:c>
      <x:c r="M445" s="36" t="n">
        <x:f>IF(C445&lt;-I445,1,0)</x:f>
        <x:v>0</x:v>
      </x:c>
      <x:c r="N445" s="34" t="n">
        <x:f>-F445</x:f>
        <x:v>-2.312531387827872</x:v>
      </x:c>
      <x:c r="O445" s="34" t="n">
        <x:f>-H445</x:f>
        <x:v>-2.19442869760573</x:v>
      </x:c>
      <x:c r="P445" s="34" t="n">
        <x:f>-G445</x:f>
        <x:v>-3.270657272827839</x:v>
      </x:c>
      <x:c r="Q445" s="34" t="n">
        <x:f>-I445</x:f>
        <x:v>-3.6644773212715744</x:v>
      </x:c>
      <x:c r="R445" s="36" t="n">
        <x:f>YEAR(A445)</x:f>
        <x:v>2022</x:v>
      </x:c>
    </x:row>
    <x:row r="446">
      <x:c r="A446" s="30" t="n">
        <x:v>44833</x:v>
      </x:c>
      <x:c r="B446" s="38" t="n">
        <x:v>3640.47</x:v>
      </x:c>
      <x:c r="C446" s="34" t="n">
        <x:f>(B446/B445-1)*100</x:f>
        <x:v>-2.1126419721218426</x:v>
      </x:c>
      <x:c r="D446" s="34" t="n">
        <x:f>Assumptions!$B$4*D445+(1-Assumptions!$B$4)*C445^2</x:f>
        <x:v>2.0902082763034526</x:v>
      </x:c>
      <x:c r="E446" s="34" t="n">
        <x:f>SQRT(D446)</x:f>
        <x:v>1.4457552615513638</x:v>
      </x:c>
      <x:c r="F446" s="34" t="n">
        <x:f>-Assumptions!$B$7*E446</x:f>
        <x:v>2.378055785646936</x:v>
      </x:c>
      <x:c r="G446" s="34" t="n">
        <x:f>-Assumptions!$B$8*E446</x:f>
        <x:v>3.363329679093374</x:v>
      </x:c>
      <x:c r="H446" s="34" t="n">
        <x:f>-Assumptions!$B$9*E446</x:f>
        <x:v>2.2566067159125636</x:v>
      </x:c>
      <x:c r="I446" s="34" t="n">
        <x:f>-Assumptions!$B$10*E446</x:f>
        <x:v>3.7683084178187536</x:v>
      </x:c>
      <x:c r="J446" s="36" t="n">
        <x:f>IF(C446&lt;-F446,1,0)</x:f>
        <x:v>0</x:v>
      </x:c>
      <x:c r="K446" s="36" t="n">
        <x:f>IF(C446&lt;-G446,1,0)</x:f>
        <x:v>0</x:v>
      </x:c>
      <x:c r="L446" s="36" t="n">
        <x:f>IF(C446&lt;-H446,1,0)</x:f>
        <x:v>0</x:v>
      </x:c>
      <x:c r="M446" s="36" t="n">
        <x:f>IF(C446&lt;-I446,1,0)</x:f>
        <x:v>0</x:v>
      </x:c>
      <x:c r="N446" s="34" t="n">
        <x:f>-F446</x:f>
        <x:v>-2.378055785646936</x:v>
      </x:c>
      <x:c r="O446" s="34" t="n">
        <x:f>-H446</x:f>
        <x:v>-2.2566067159125636</x:v>
      </x:c>
      <x:c r="P446" s="34" t="n">
        <x:f>-G446</x:f>
        <x:v>-3.363329679093374</x:v>
      </x:c>
      <x:c r="Q446" s="34" t="n">
        <x:f>-I446</x:f>
        <x:v>-3.7683084178187536</x:v>
      </x:c>
      <x:c r="R446" s="36" t="n">
        <x:f>YEAR(A446)</x:f>
        <x:v>2022</x:v>
      </x:c>
    </x:row>
    <x:row r="447">
      <x:c r="A447" s="30" t="n">
        <x:v>44834</x:v>
      </x:c>
      <x:c r="B447" s="38" t="n">
        <x:v>3585.62</x:v>
      </x:c>
      <x:c r="C447" s="34" t="n">
        <x:f>(B447/B446-1)*100</x:f>
        <x:v>-1.506673588849794</x:v>
      </x:c>
      <x:c r="D447" s="34" t="n">
        <x:f>Assumptions!$B$4*D446+(1-Assumptions!$B$4)*C446^2</x:f>
        <x:v>2.232591145867498</x:v>
      </x:c>
      <x:c r="E447" s="34" t="n">
        <x:f>SQRT(D447)</x:f>
        <x:v>1.4941857802386884</x:v>
      </x:c>
      <x:c r="F447" s="34" t="n">
        <x:f>-Assumptions!$B$7*E447</x:f>
        <x:v>2.457716899964923</x:v>
      </x:c>
      <x:c r="G447" s="34" t="n">
        <x:f>-Assumptions!$B$8*E447</x:f>
        <x:v>3.475995913280327</x:v>
      </x:c>
      <x:c r="H447" s="34" t="n">
        <x:f>-Assumptions!$B$9*E447</x:f>
        <x:v>2.3321994781396045</x:v>
      </x:c>
      <x:c r="I447" s="34" t="n">
        <x:f>-Assumptions!$B$10*E447</x:f>
        <x:v>3.8945408003680253</x:v>
      </x:c>
      <x:c r="J447" s="36" t="n">
        <x:f>IF(C447&lt;-F447,1,0)</x:f>
        <x:v>0</x:v>
      </x:c>
      <x:c r="K447" s="36" t="n">
        <x:f>IF(C447&lt;-G447,1,0)</x:f>
        <x:v>0</x:v>
      </x:c>
      <x:c r="L447" s="36" t="n">
        <x:f>IF(C447&lt;-H447,1,0)</x:f>
        <x:v>0</x:v>
      </x:c>
      <x:c r="M447" s="36" t="n">
        <x:f>IF(C447&lt;-I447,1,0)</x:f>
        <x:v>0</x:v>
      </x:c>
      <x:c r="N447" s="34" t="n">
        <x:f>-F447</x:f>
        <x:v>-2.457716899964923</x:v>
      </x:c>
      <x:c r="O447" s="34" t="n">
        <x:f>-H447</x:f>
        <x:v>-2.3321994781396045</x:v>
      </x:c>
      <x:c r="P447" s="34" t="n">
        <x:f>-G447</x:f>
        <x:v>-3.475995913280327</x:v>
      </x:c>
      <x:c r="Q447" s="34" t="n">
        <x:f>-I447</x:f>
        <x:v>-3.8945408003680253</x:v>
      </x:c>
      <x:c r="R447" s="36" t="n">
        <x:f>YEAR(A447)</x:f>
        <x:v>2022</x:v>
      </x:c>
    </x:row>
    <x:row r="448">
      <x:c r="A448" s="30" t="n">
        <x:v>44837</x:v>
      </x:c>
      <x:c r="B448" s="38" t="n">
        <x:v>3678.43</x:v>
      </x:c>
      <x:c r="C448" s="34" t="n">
        <x:f>(B448/B447-1)*100</x:f>
        <x:v>2.588394754603107</x:v>
      </x:c>
      <x:c r="D448" s="34" t="n">
        <x:f>Assumptions!$B$4*D447+(1-Assumptions!$B$4)*C447^2</x:f>
        <x:v>2.234839595315699</x:v>
      </x:c>
      <x:c r="E448" s="34" t="n">
        <x:f>SQRT(D448)</x:f>
        <x:v>1.4949379904583664</x:v>
      </x:c>
      <x:c r="F448" s="34" t="n">
        <x:f>-Assumptions!$B$7*E448</x:f>
        <x:v>2.4589541756729902</x:v>
      </x:c>
      <x:c r="G448" s="34" t="n">
        <x:f>-Assumptions!$B$8*E448</x:f>
        <x:v>3.4777458159257066</x:v>
      </x:c>
      <x:c r="H448" s="34" t="n">
        <x:f>-Assumptions!$B$9*E448</x:f>
        <x:v>2.3333735652611565</x:v>
      </x:c>
      <x:c r="I448" s="34" t="n">
        <x:f>-Assumptions!$B$10*E448</x:f>
        <x:v>3.8965014089012704</x:v>
      </x:c>
      <x:c r="J448" s="36" t="n">
        <x:f>IF(C448&lt;-F448,1,0)</x:f>
        <x:v>0</x:v>
      </x:c>
      <x:c r="K448" s="36" t="n">
        <x:f>IF(C448&lt;-G448,1,0)</x:f>
        <x:v>0</x:v>
      </x:c>
      <x:c r="L448" s="36" t="n">
        <x:f>IF(C448&lt;-H448,1,0)</x:f>
        <x:v>0</x:v>
      </x:c>
      <x:c r="M448" s="36" t="n">
        <x:f>IF(C448&lt;-I448,1,0)</x:f>
        <x:v>0</x:v>
      </x:c>
      <x:c r="N448" s="34" t="n">
        <x:f>-F448</x:f>
        <x:v>-2.4589541756729902</x:v>
      </x:c>
      <x:c r="O448" s="34" t="n">
        <x:f>-H448</x:f>
        <x:v>-2.3333735652611565</x:v>
      </x:c>
      <x:c r="P448" s="34" t="n">
        <x:f>-G448</x:f>
        <x:v>-3.4777458159257066</x:v>
      </x:c>
      <x:c r="Q448" s="34" t="n">
        <x:f>-I448</x:f>
        <x:v>-3.8965014089012704</x:v>
      </x:c>
      <x:c r="R448" s="36" t="n">
        <x:f>YEAR(A448)</x:f>
        <x:v>2022</x:v>
      </x:c>
    </x:row>
    <x:row r="449">
      <x:c r="A449" s="30" t="n">
        <x:v>44838</x:v>
      </x:c>
      <x:c r="B449" s="38" t="n">
        <x:v>3790.93</x:v>
      </x:c>
      <x:c r="C449" s="34" t="n">
        <x:f>(B449/B448-1)*100</x:f>
        <x:v>3.0583700111188827</x:v>
      </x:c>
      <x:c r="D449" s="34" t="n">
        <x:f>Assumptions!$B$4*D448+(1-Assumptions!$B$4)*C448^2</x:f>
        <x:v>2.50273646393617</x:v>
      </x:c>
      <x:c r="E449" s="34" t="n">
        <x:f>SQRT(D449)</x:f>
        <x:v>1.5820039392922414</x:v>
      </x:c>
      <x:c r="F449" s="34" t="n">
        <x:f>-Assumptions!$B$7*E449</x:f>
        <x:v>2.602164917396361</x:v>
      </x:c>
      <x:c r="G449" s="34" t="n">
        <x:f>-Assumptions!$B$8*E449</x:f>
        <x:v>3.6802915008967405</x:v>
      </x:c>
      <x:c r="H449" s="34" t="n">
        <x:f>-Assumptions!$B$9*E449</x:f>
        <x:v>2.469270428368538</x:v>
      </x:c>
      <x:c r="I449" s="34" t="n">
        <x:f>-Assumptions!$B$10*E449</x:f>
        <x:v>4.123435632570642</x:v>
      </x:c>
      <x:c r="J449" s="36" t="n">
        <x:f>IF(C449&lt;-F449,1,0)</x:f>
        <x:v>0</x:v>
      </x:c>
      <x:c r="K449" s="36" t="n">
        <x:f>IF(C449&lt;-G449,1,0)</x:f>
        <x:v>0</x:v>
      </x:c>
      <x:c r="L449" s="36" t="n">
        <x:f>IF(C449&lt;-H449,1,0)</x:f>
        <x:v>0</x:v>
      </x:c>
      <x:c r="M449" s="36" t="n">
        <x:f>IF(C449&lt;-I449,1,0)</x:f>
        <x:v>0</x:v>
      </x:c>
      <x:c r="N449" s="34" t="n">
        <x:f>-F449</x:f>
        <x:v>-2.602164917396361</x:v>
      </x:c>
      <x:c r="O449" s="34" t="n">
        <x:f>-H449</x:f>
        <x:v>-2.469270428368538</x:v>
      </x:c>
      <x:c r="P449" s="34" t="n">
        <x:f>-G449</x:f>
        <x:v>-3.6802915008967405</x:v>
      </x:c>
      <x:c r="Q449" s="34" t="n">
        <x:f>-I449</x:f>
        <x:v>-4.123435632570642</x:v>
      </x:c>
      <x:c r="R449" s="36" t="n">
        <x:f>YEAR(A449)</x:f>
        <x:v>2022</x:v>
      </x:c>
    </x:row>
    <x:row r="450">
      <x:c r="A450" s="30" t="n">
        <x:v>44839</x:v>
      </x:c>
      <x:c r="B450" s="38" t="n">
        <x:v>3783.28</x:v>
      </x:c>
      <x:c r="C450" s="34" t="n">
        <x:f>(B450/B449-1)*100</x:f>
        <x:v>-0.20179744811957834</x:v>
      </x:c>
      <x:c r="D450" s="34" t="n">
        <x:f>Assumptions!$B$4*D449+(1-Assumptions!$B$4)*C449^2</x:f>
        <x:v>2.913789903594679</x:v>
      </x:c>
      <x:c r="E450" s="34" t="n">
        <x:f>SQRT(D450)</x:f>
        <x:v>1.7069826898930989</x:v>
      </x:c>
      <x:c r="F450" s="34" t="n">
        <x:f>-Assumptions!$B$7*E450</x:f>
        <x:v>2.807736668614045</x:v>
      </x:c>
      <x:c r="G450" s="34" t="n">
        <x:f>-Assumptions!$B$8*E450</x:f>
        <x:v>3.9710355516573257</x:v>
      </x:c>
      <x:c r="H450" s="34" t="n">
        <x:f>-Assumptions!$B$9*E450</x:f>
        <x:v>2.664343478041985</x:v>
      </x:c>
      <x:c r="I450" s="34" t="n">
        <x:f>-Assumptions!$B$10*E450</x:f>
        <x:v>4.449188192815397</x:v>
      </x:c>
      <x:c r="J450" s="36" t="n">
        <x:f>IF(C450&lt;-F450,1,0)</x:f>
        <x:v>0</x:v>
      </x:c>
      <x:c r="K450" s="36" t="n">
        <x:f>IF(C450&lt;-G450,1,0)</x:f>
        <x:v>0</x:v>
      </x:c>
      <x:c r="L450" s="36" t="n">
        <x:f>IF(C450&lt;-H450,1,0)</x:f>
        <x:v>0</x:v>
      </x:c>
      <x:c r="M450" s="36" t="n">
        <x:f>IF(C450&lt;-I450,1,0)</x:f>
        <x:v>0</x:v>
      </x:c>
      <x:c r="N450" s="34" t="n">
        <x:f>-F450</x:f>
        <x:v>-2.807736668614045</x:v>
      </x:c>
      <x:c r="O450" s="34" t="n">
        <x:f>-H450</x:f>
        <x:v>-2.664343478041985</x:v>
      </x:c>
      <x:c r="P450" s="34" t="n">
        <x:f>-G450</x:f>
        <x:v>-3.9710355516573257</x:v>
      </x:c>
      <x:c r="Q450" s="34" t="n">
        <x:f>-I450</x:f>
        <x:v>-4.449188192815397</x:v>
      </x:c>
      <x:c r="R450" s="36" t="n">
        <x:f>YEAR(A450)</x:f>
        <x:v>2022</x:v>
      </x:c>
    </x:row>
    <x:row r="451">
      <x:c r="A451" s="30" t="n">
        <x:v>44840</x:v>
      </x:c>
      <x:c r="B451" s="38" t="n">
        <x:v>3744.52</x:v>
      </x:c>
      <x:c r="C451" s="34" t="n">
        <x:f>(B451/B450-1)*100</x:f>
        <x:v>-1.0245078344716774</x:v>
      </x:c>
      <x:c r="D451" s="34" t="n">
        <x:f>Assumptions!$B$4*D450+(1-Assumptions!$B$4)*C450^2</x:f>
        <x:v>2.7414058419830525</x:v>
      </x:c>
      <x:c r="E451" s="34" t="n">
        <x:f>SQRT(D451)</x:f>
        <x:v>1.6557191313695245</x:v>
      </x:c>
      <x:c r="F451" s="34" t="n">
        <x:f>-Assumptions!$B$7*E451</x:f>
        <x:v>2.7234156184461047</x:v>
      </x:c>
      <x:c r="G451" s="34" t="n">
        <x:f>-Assumptions!$B$8*E451</x:f>
        <x:v>3.85177868127024</x:v>
      </x:c>
      <x:c r="H451" s="34" t="n">
        <x:f>-Assumptions!$B$9*E451</x:f>
        <x:v>2.58432876633916</x:v>
      </x:c>
      <x:c r="I451" s="34" t="n">
        <x:f>-Assumptions!$B$10*E451</x:f>
        <x:v>4.31557159514558</x:v>
      </x:c>
      <x:c r="J451" s="36" t="n">
        <x:f>IF(C451&lt;-F451,1,0)</x:f>
        <x:v>0</x:v>
      </x:c>
      <x:c r="K451" s="36" t="n">
        <x:f>IF(C451&lt;-G451,1,0)</x:f>
        <x:v>0</x:v>
      </x:c>
      <x:c r="L451" s="36" t="n">
        <x:f>IF(C451&lt;-H451,1,0)</x:f>
        <x:v>0</x:v>
      </x:c>
      <x:c r="M451" s="36" t="n">
        <x:f>IF(C451&lt;-I451,1,0)</x:f>
        <x:v>0</x:v>
      </x:c>
      <x:c r="N451" s="34" t="n">
        <x:f>-F451</x:f>
        <x:v>-2.7234156184461047</x:v>
      </x:c>
      <x:c r="O451" s="34" t="n">
        <x:f>-H451</x:f>
        <x:v>-2.58432876633916</x:v>
      </x:c>
      <x:c r="P451" s="34" t="n">
        <x:f>-G451</x:f>
        <x:v>-3.85177868127024</x:v>
      </x:c>
      <x:c r="Q451" s="34" t="n">
        <x:f>-I451</x:f>
        <x:v>-4.31557159514558</x:v>
      </x:c>
      <x:c r="R451" s="36" t="n">
        <x:f>YEAR(A451)</x:f>
        <x:v>2022</x:v>
      </x:c>
    </x:row>
    <x:row r="452">
      <x:c r="A452" s="30" t="n">
        <x:v>44841</x:v>
      </x:c>
      <x:c r="B452" s="38" t="n">
        <x:v>3639.66</x:v>
      </x:c>
      <x:c r="C452" s="34" t="n">
        <x:f>(B452/B451-1)*100</x:f>
        <x:v>-2.8003589245083504</x:v>
      </x:c>
      <x:c r="D452" s="34" t="n">
        <x:f>Assumptions!$B$4*D451+(1-Assumptions!$B$4)*C451^2</x:f>
        <x:v>2.6398984696377</x:v>
      </x:c>
      <x:c r="E452" s="34" t="n">
        <x:f>SQRT(D452)</x:f>
        <x:v>1.624776436817601</x:v>
      </x:c>
      <x:c r="F452" s="34" t="n">
        <x:f>-Assumptions!$B$7*E452</x:f>
        <x:v>2.6725194150847216</x:v>
      </x:c>
      <x:c r="G452" s="34" t="n">
        <x:f>-Assumptions!$B$8*E452</x:f>
        <x:v>3.7797952095822778</x:v>
      </x:c>
      <x:c r="H452" s="34" t="n">
        <x:f>-Assumptions!$B$9*E452</x:f>
        <x:v>2.5360318697680375</x:v>
      </x:c>
      <x:c r="I452" s="34" t="n">
        <x:f>-Assumptions!$B$10*E452</x:f>
        <x:v>4.234920589092945</x:v>
      </x:c>
      <x:c r="J452" s="36" t="n">
        <x:f>IF(C452&lt;-F452,1,0)</x:f>
        <x:v>1</x:v>
      </x:c>
      <x:c r="K452" s="36" t="n">
        <x:f>IF(C452&lt;-G452,1,0)</x:f>
        <x:v>0</x:v>
      </x:c>
      <x:c r="L452" s="36" t="n">
        <x:f>IF(C452&lt;-H452,1,0)</x:f>
        <x:v>1</x:v>
      </x:c>
      <x:c r="M452" s="36" t="n">
        <x:f>IF(C452&lt;-I452,1,0)</x:f>
        <x:v>0</x:v>
      </x:c>
      <x:c r="N452" s="34" t="n">
        <x:f>-F452</x:f>
        <x:v>-2.6725194150847216</x:v>
      </x:c>
      <x:c r="O452" s="34" t="n">
        <x:f>-H452</x:f>
        <x:v>-2.5360318697680375</x:v>
      </x:c>
      <x:c r="P452" s="34" t="n">
        <x:f>-G452</x:f>
        <x:v>-3.7797952095822778</x:v>
      </x:c>
      <x:c r="Q452" s="34" t="n">
        <x:f>-I452</x:f>
        <x:v>-4.234920589092945</x:v>
      </x:c>
      <x:c r="R452" s="36" t="n">
        <x:f>YEAR(A452)</x:f>
        <x:v>2022</x:v>
      </x:c>
    </x:row>
    <x:row r="453">
      <x:c r="A453" s="30" t="n">
        <x:v>44844</x:v>
      </x:c>
      <x:c r="B453" s="38" t="n">
        <x:v>3612.39</x:v>
      </x:c>
      <x:c r="C453" s="34" t="n">
        <x:f>(B453/B452-1)*100</x:f>
        <x:v>-0.7492458086744369</x:v>
      </x:c>
      <x:c r="D453" s="34" t="n">
        <x:f>Assumptions!$B$4*D452+(1-Assumptions!$B$4)*C452^2</x:f>
        <x:v>2.952025167823852</x:v>
      </x:c>
      <x:c r="E453" s="34" t="n">
        <x:f>SQRT(D453)</x:f>
        <x:v>1.7181458517319919</x:v>
      </x:c>
      <x:c r="F453" s="34" t="n">
        <x:f>-Assumptions!$B$7*E453</x:f>
        <x:v>2.826098435852994</x:v>
      </x:c>
      <x:c r="G453" s="34" t="n">
        <x:f>-Assumptions!$B$8*E453</x:f>
        <x:v>3.997004949468808</x:v>
      </x:c>
      <x:c r="H453" s="34" t="n">
        <x:f>-Assumptions!$B$9*E453</x:f>
        <x:v>2.681767496232611</x:v>
      </x:c>
      <x:c r="I453" s="34" t="n">
        <x:f>-Assumptions!$B$10*E453</x:f>
        <x:v>4.478284567454791</x:v>
      </x:c>
      <x:c r="J453" s="36" t="n">
        <x:f>IF(C453&lt;-F453,1,0)</x:f>
        <x:v>0</x:v>
      </x:c>
      <x:c r="K453" s="36" t="n">
        <x:f>IF(C453&lt;-G453,1,0)</x:f>
        <x:v>0</x:v>
      </x:c>
      <x:c r="L453" s="36" t="n">
        <x:f>IF(C453&lt;-H453,1,0)</x:f>
        <x:v>0</x:v>
      </x:c>
      <x:c r="M453" s="36" t="n">
        <x:f>IF(C453&lt;-I453,1,0)</x:f>
        <x:v>0</x:v>
      </x:c>
      <x:c r="N453" s="34" t="n">
        <x:f>-F453</x:f>
        <x:v>-2.826098435852994</x:v>
      </x:c>
      <x:c r="O453" s="34" t="n">
        <x:f>-H453</x:f>
        <x:v>-2.681767496232611</x:v>
      </x:c>
      <x:c r="P453" s="34" t="n">
        <x:f>-G453</x:f>
        <x:v>-3.997004949468808</x:v>
      </x:c>
      <x:c r="Q453" s="34" t="n">
        <x:f>-I453</x:f>
        <x:v>-4.478284567454791</x:v>
      </x:c>
      <x:c r="R453" s="36" t="n">
        <x:f>YEAR(A453)</x:f>
        <x:v>2022</x:v>
      </x:c>
    </x:row>
    <x:row r="454">
      <x:c r="A454" s="30" t="n">
        <x:v>44845</x:v>
      </x:c>
      <x:c r="B454" s="38" t="n">
        <x:v>3588.84</x:v>
      </x:c>
      <x:c r="C454" s="34" t="n">
        <x:f>(B454/B453-1)*100</x:f>
        <x:v>-0.6519229651283376</x:v>
      </x:c>
      <x:c r="D454" s="34" t="n">
        <x:f>Assumptions!$B$4*D453+(1-Assumptions!$B$4)*C453^2</x:f>
        <x:v>2.8085858146633935</x:v>
      </x:c>
      <x:c r="E454" s="34" t="n">
        <x:f>SQRT(D454)</x:f>
        <x:v>1.6758835922173692</x:v>
      </x:c>
      <x:c r="F454" s="34" t="n">
        <x:f>-Assumptions!$B$7*E454</x:f>
        <x:v>2.7565832050072028</x:v>
      </x:c>
      <x:c r="G454" s="34" t="n">
        <x:f>-Assumptions!$B$8*E454</x:f>
        <x:v>3.8986882318948033</x:v>
      </x:c>
      <x:c r="H454" s="34" t="n">
        <x:f>-Assumptions!$B$9*E454</x:f>
        <x:v>2.61580245969662</x:v>
      </x:c>
      <x:c r="I454" s="34" t="n">
        <x:f>-Assumptions!$B$10*E454</x:f>
        <x:v>4.368129527718603</x:v>
      </x:c>
      <x:c r="J454" s="36" t="n">
        <x:f>IF(C454&lt;-F454,1,0)</x:f>
        <x:v>0</x:v>
      </x:c>
      <x:c r="K454" s="36" t="n">
        <x:f>IF(C454&lt;-G454,1,0)</x:f>
        <x:v>0</x:v>
      </x:c>
      <x:c r="L454" s="36" t="n">
        <x:f>IF(C454&lt;-H454,1,0)</x:f>
        <x:v>0</x:v>
      </x:c>
      <x:c r="M454" s="36" t="n">
        <x:f>IF(C454&lt;-I454,1,0)</x:f>
        <x:v>0</x:v>
      </x:c>
      <x:c r="N454" s="34" t="n">
        <x:f>-F454</x:f>
        <x:v>-2.7565832050072028</x:v>
      </x:c>
      <x:c r="O454" s="34" t="n">
        <x:f>-H454</x:f>
        <x:v>-2.61580245969662</x:v>
      </x:c>
      <x:c r="P454" s="34" t="n">
        <x:f>-G454</x:f>
        <x:v>-3.8986882318948033</x:v>
      </x:c>
      <x:c r="Q454" s="34" t="n">
        <x:f>-I454</x:f>
        <x:v>-4.368129527718603</x:v>
      </x:c>
      <x:c r="R454" s="36" t="n">
        <x:f>YEAR(A454)</x:f>
        <x:v>2022</x:v>
      </x:c>
    </x:row>
    <x:row r="455">
      <x:c r="A455" s="30" t="n">
        <x:v>44846</x:v>
      </x:c>
      <x:c r="B455" s="38" t="n">
        <x:v>3577.03</x:v>
      </x:c>
      <x:c r="C455" s="34" t="n">
        <x:f>(B455/B454-1)*100</x:f>
        <x:v>-0.3290756901951575</x:v>
      </x:c>
      <x:c r="D455" s="34" t="n">
        <x:f>Assumptions!$B$4*D454+(1-Assumptions!$B$4)*C454^2</x:f>
        <x:v>2.6655708789312933</x:v>
      </x:c>
      <x:c r="E455" s="34" t="n">
        <x:f>SQRT(D455)</x:f>
        <x:v>1.6326576122786103</x:v>
      </x:c>
      <x:c r="F455" s="34" t="n">
        <x:f>-Assumptions!$B$7*E455</x:f>
        <x:v>2.6854827951264038</x:v>
      </x:c>
      <x:c r="G455" s="34" t="n">
        <x:f>-Assumptions!$B$8*E455</x:f>
        <x:v>3.7981295653609397</x:v>
      </x:c>
      <x:c r="H455" s="34" t="n">
        <x:f>-Assumptions!$B$9*E455</x:f>
        <x:v>2.548333200392638</x:v>
      </x:c>
      <x:c r="I455" s="34" t="n">
        <x:f>-Assumptions!$B$10*E455</x:f>
        <x:v>4.255462585806939</x:v>
      </x:c>
      <x:c r="J455" s="36" t="n">
        <x:f>IF(C455&lt;-F455,1,0)</x:f>
        <x:v>0</x:v>
      </x:c>
      <x:c r="K455" s="36" t="n">
        <x:f>IF(C455&lt;-G455,1,0)</x:f>
        <x:v>0</x:v>
      </x:c>
      <x:c r="L455" s="36" t="n">
        <x:f>IF(C455&lt;-H455,1,0)</x:f>
        <x:v>0</x:v>
      </x:c>
      <x:c r="M455" s="36" t="n">
        <x:f>IF(C455&lt;-I455,1,0)</x:f>
        <x:v>0</x:v>
      </x:c>
      <x:c r="N455" s="34" t="n">
        <x:f>-F455</x:f>
        <x:v>-2.6854827951264038</x:v>
      </x:c>
      <x:c r="O455" s="34" t="n">
        <x:f>-H455</x:f>
        <x:v>-2.548333200392638</x:v>
      </x:c>
      <x:c r="P455" s="34" t="n">
        <x:f>-G455</x:f>
        <x:v>-3.7981295653609397</x:v>
      </x:c>
      <x:c r="Q455" s="34" t="n">
        <x:f>-I455</x:f>
        <x:v>-4.255462585806939</x:v>
      </x:c>
      <x:c r="R455" s="36" t="n">
        <x:f>YEAR(A455)</x:f>
        <x:v>2022</x:v>
      </x:c>
    </x:row>
    <x:row r="456">
      <x:c r="A456" s="30" t="n">
        <x:v>44847</x:v>
      </x:c>
      <x:c r="B456" s="38" t="n">
        <x:v>3669.91</x:v>
      </x:c>
      <x:c r="C456" s="34" t="n">
        <x:f>(B456/B455-1)*100</x:f>
        <x:v>2.5965675434648228</x:v>
      </x:c>
      <x:c r="D456" s="34" t="n">
        <x:f>Assumptions!$B$4*D455+(1-Assumptions!$B$4)*C455^2</x:f>
        <x:v>2.5121340747880607</x:v>
      </x:c>
      <x:c r="E456" s="34" t="n">
        <x:f>SQRT(D456)</x:f>
        <x:v>1.584971316708306</x:v>
      </x:c>
      <x:c r="F456" s="34" t="n">
        <x:f>-Assumptions!$B$7*E456</x:f>
        <x:v>2.6070458189017085</x:v>
      </x:c>
      <x:c r="G456" s="34" t="n">
        <x:f>-Assumptions!$B$8*E456</x:f>
        <x:v>3.6871946530400788</x:v>
      </x:c>
      <x:c r="H456" s="34" t="n">
        <x:f>-Assumptions!$B$9*E456</x:f>
        <x:v>2.4739020586200873</x:v>
      </x:c>
      <x:c r="I456" s="34" t="n">
        <x:f>-Assumptions!$B$10*E456</x:f>
        <x:v>4.13116999369882</x:v>
      </x:c>
      <x:c r="J456" s="36" t="n">
        <x:f>IF(C456&lt;-F456,1,0)</x:f>
        <x:v>0</x:v>
      </x:c>
      <x:c r="K456" s="36" t="n">
        <x:f>IF(C456&lt;-G456,1,0)</x:f>
        <x:v>0</x:v>
      </x:c>
      <x:c r="L456" s="36" t="n">
        <x:f>IF(C456&lt;-H456,1,0)</x:f>
        <x:v>0</x:v>
      </x:c>
      <x:c r="M456" s="36" t="n">
        <x:f>IF(C456&lt;-I456,1,0)</x:f>
        <x:v>0</x:v>
      </x:c>
      <x:c r="N456" s="34" t="n">
        <x:f>-F456</x:f>
        <x:v>-2.6070458189017085</x:v>
      </x:c>
      <x:c r="O456" s="34" t="n">
        <x:f>-H456</x:f>
        <x:v>-2.4739020586200873</x:v>
      </x:c>
      <x:c r="P456" s="34" t="n">
        <x:f>-G456</x:f>
        <x:v>-3.6871946530400788</x:v>
      </x:c>
      <x:c r="Q456" s="34" t="n">
        <x:f>-I456</x:f>
        <x:v>-4.13116999369882</x:v>
      </x:c>
      <x:c r="R456" s="36" t="n">
        <x:f>YEAR(A456)</x:f>
        <x:v>2022</x:v>
      </x:c>
    </x:row>
    <x:row r="457">
      <x:c r="A457" s="30" t="n">
        <x:v>44848</x:v>
      </x:c>
      <x:c r="B457" s="38" t="n">
        <x:v>3583.07</x:v>
      </x:c>
      <x:c r="C457" s="34" t="n">
        <x:f>(B457/B456-1)*100</x:f>
        <x:v>-2.3662705624933444</x:v>
      </x:c>
      <x:c r="D457" s="34" t="n">
        <x:f>Assumptions!$B$4*D456+(1-Assumptions!$B$4)*C456^2</x:f>
        <x:v>2.765935810767274</x:v>
      </x:c>
      <x:c r="E457" s="34" t="n">
        <x:f>SQRT(D457)</x:f>
        <x:v>1.6631102822023782</x:v>
      </x:c>
      <x:c r="F457" s="34" t="n">
        <x:f>-Assumptions!$B$7*E457</x:f>
        <x:v>2.735572979700869</x:v>
      </x:c>
      <x:c r="G457" s="34" t="n">
        <x:f>-Assumptions!$B$8*E457</x:f>
        <x:v>3.8689730692969646</x:v>
      </x:c>
      <x:c r="H457" s="34" t="n">
        <x:f>-Assumptions!$B$9*E457</x:f>
        <x:v>2.5958652421530837</x:v>
      </x:c>
      <x:c r="I457" s="34" t="n">
        <x:f>-Assumptions!$B$10*E457</x:f>
        <x:v>4.334836360518748</x:v>
      </x:c>
      <x:c r="J457" s="36" t="n">
        <x:f>IF(C457&lt;-F457,1,0)</x:f>
        <x:v>0</x:v>
      </x:c>
      <x:c r="K457" s="36" t="n">
        <x:f>IF(C457&lt;-G457,1,0)</x:f>
        <x:v>0</x:v>
      </x:c>
      <x:c r="L457" s="36" t="n">
        <x:f>IF(C457&lt;-H457,1,0)</x:f>
        <x:v>0</x:v>
      </x:c>
      <x:c r="M457" s="36" t="n">
        <x:f>IF(C457&lt;-I457,1,0)</x:f>
        <x:v>0</x:v>
      </x:c>
      <x:c r="N457" s="34" t="n">
        <x:f>-F457</x:f>
        <x:v>-2.735572979700869</x:v>
      </x:c>
      <x:c r="O457" s="34" t="n">
        <x:f>-H457</x:f>
        <x:v>-2.5958652421530837</x:v>
      </x:c>
      <x:c r="P457" s="34" t="n">
        <x:f>-G457</x:f>
        <x:v>-3.8689730692969646</x:v>
      </x:c>
      <x:c r="Q457" s="34" t="n">
        <x:f>-I457</x:f>
        <x:v>-4.334836360518748</x:v>
      </x:c>
      <x:c r="R457" s="36" t="n">
        <x:f>YEAR(A457)</x:f>
        <x:v>2022</x:v>
      </x:c>
    </x:row>
    <x:row r="458">
      <x:c r="A458" s="30" t="n">
        <x:v>44851</x:v>
      </x:c>
      <x:c r="B458" s="38" t="n">
        <x:v>3677.95</x:v>
      </x:c>
      <x:c r="C458" s="34" t="n">
        <x:f>(B458/B457-1)*100</x:f>
        <x:v>2.6480085513260976</x:v>
      </x:c>
      <x:c r="D458" s="34" t="n">
        <x:f>Assumptions!$B$4*D457+(1-Assumptions!$B$4)*C457^2</x:f>
        <x:v>2.9359338446165917</x:v>
      </x:c>
      <x:c r="E458" s="34" t="n">
        <x:f>SQRT(D458)</x:f>
        <x:v>1.7134566947012673</x:v>
      </x:c>
      <x:c r="F458" s="34" t="n">
        <x:f>-Assumptions!$B$7*E458</x:f>
        <x:v>2.818385458903662</x:v>
      </x:c>
      <x:c r="G458" s="34" t="n">
        <x:f>-Assumptions!$B$8*E458</x:f>
        <x:v>3.9860963389793382</x:v>
      </x:c>
      <x:c r="H458" s="34" t="n">
        <x:f>-Assumptions!$B$9*E458</x:f>
        <x:v>2.6744484267269275</x:v>
      </x:c>
      <x:c r="I458" s="34" t="n">
        <x:f>-Assumptions!$B$10*E458</x:f>
        <x:v>4.4660624504884705</x:v>
      </x:c>
      <x:c r="J458" s="36" t="n">
        <x:f>IF(C458&lt;-F458,1,0)</x:f>
        <x:v>0</x:v>
      </x:c>
      <x:c r="K458" s="36" t="n">
        <x:f>IF(C458&lt;-G458,1,0)</x:f>
        <x:v>0</x:v>
      </x:c>
      <x:c r="L458" s="36" t="n">
        <x:f>IF(C458&lt;-H458,1,0)</x:f>
        <x:v>0</x:v>
      </x:c>
      <x:c r="M458" s="36" t="n">
        <x:f>IF(C458&lt;-I458,1,0)</x:f>
        <x:v>0</x:v>
      </x:c>
      <x:c r="N458" s="34" t="n">
        <x:f>-F458</x:f>
        <x:v>-2.818385458903662</x:v>
      </x:c>
      <x:c r="O458" s="34" t="n">
        <x:f>-H458</x:f>
        <x:v>-2.6744484267269275</x:v>
      </x:c>
      <x:c r="P458" s="34" t="n">
        <x:f>-G458</x:f>
        <x:v>-3.9860963389793382</x:v>
      </x:c>
      <x:c r="Q458" s="34" t="n">
        <x:f>-I458</x:f>
        <x:v>-4.4660624504884705</x:v>
      </x:c>
      <x:c r="R458" s="36" t="n">
        <x:f>YEAR(A458)</x:f>
        <x:v>2022</x:v>
      </x:c>
    </x:row>
    <x:row r="459">
      <x:c r="A459" s="30" t="n">
        <x:v>44852</x:v>
      </x:c>
      <x:c r="B459" s="38" t="n">
        <x:v>3719.98</x:v>
      </x:c>
      <x:c r="C459" s="34" t="n">
        <x:f>(B459/B458-1)*100</x:f>
        <x:v>1.1427561549232745</x:v>
      </x:c>
      <x:c r="D459" s="34" t="n">
        <x:f>Assumptions!$B$4*D458+(1-Assumptions!$B$4)*C458^2</x:f>
        <x:v>3.1804947712133647</x:v>
      </x:c>
      <x:c r="E459" s="34" t="n">
        <x:f>SQRT(D459)</x:f>
        <x:v>1.7833941715765935</x:v>
      </x:c>
      <x:c r="F459" s="34" t="n">
        <x:f>-Assumptions!$B$7*E459</x:f>
        <x:v>2.933422371401877</x:v>
      </x:c>
      <x:c r="G459" s="34" t="n">
        <x:f>-Assumptions!$B$8*E459</x:f>
        <x:v>4.148795239624034</x:v>
      </x:c>
      <x:c r="H459" s="34" t="n">
        <x:f>-Assumptions!$B$9*E459</x:f>
        <x:v>2.7836103189281642</x:v>
      </x:c>
      <x:c r="I459" s="34" t="n">
        <x:f>-Assumptions!$B$10*E459</x:f>
        <x:v>4.648351936018337</x:v>
      </x:c>
      <x:c r="J459" s="36" t="n">
        <x:f>IF(C459&lt;-F459,1,0)</x:f>
        <x:v>0</x:v>
      </x:c>
      <x:c r="K459" s="36" t="n">
        <x:f>IF(C459&lt;-G459,1,0)</x:f>
        <x:v>0</x:v>
      </x:c>
      <x:c r="L459" s="36" t="n">
        <x:f>IF(C459&lt;-H459,1,0)</x:f>
        <x:v>0</x:v>
      </x:c>
      <x:c r="M459" s="36" t="n">
        <x:f>IF(C459&lt;-I459,1,0)</x:f>
        <x:v>0</x:v>
      </x:c>
      <x:c r="N459" s="34" t="n">
        <x:f>-F459</x:f>
        <x:v>-2.933422371401877</x:v>
      </x:c>
      <x:c r="O459" s="34" t="n">
        <x:f>-H459</x:f>
        <x:v>-2.7836103189281642</x:v>
      </x:c>
      <x:c r="P459" s="34" t="n">
        <x:f>-G459</x:f>
        <x:v>-4.148795239624034</x:v>
      </x:c>
      <x:c r="Q459" s="34" t="n">
        <x:f>-I459</x:f>
        <x:v>-4.648351936018337</x:v>
      </x:c>
      <x:c r="R459" s="36" t="n">
        <x:f>YEAR(A459)</x:f>
        <x:v>2022</x:v>
      </x:c>
    </x:row>
    <x:row r="460">
      <x:c r="A460" s="30" t="n">
        <x:v>44853</x:v>
      </x:c>
      <x:c r="B460" s="38" t="n">
        <x:v>3695.16</x:v>
      </x:c>
      <x:c r="C460" s="34" t="n">
        <x:f>(B460/B459-1)*100</x:f>
        <x:v>-0.6672078882144605</x:v>
      </x:c>
      <x:c r="D460" s="34" t="n">
        <x:f>Assumptions!$B$4*D459+(1-Assumptions!$B$4)*C459^2</x:f>
        <x:v>3.0680185827174644</x:v>
      </x:c>
      <x:c r="E460" s="34" t="n">
        <x:f>SQRT(D460)</x:f>
        <x:v>1.7515760282435542</x:v>
      </x:c>
      <x:c r="F460" s="34" t="n">
        <x:f>-Assumptions!$B$7*E460</x:f>
        <x:v>2.8810861829376657</x:v>
      </x:c>
      <x:c r="G460" s="34" t="n">
        <x:f>-Assumptions!$B$8*E460</x:f>
        <x:v>4.074775169525291</x:v>
      </x:c>
      <x:c r="H460" s="34" t="n">
        <x:f>-Assumptions!$B$9*E460</x:f>
        <x:v>2.7339469783596098</x:v>
      </x:c>
      <x:c r="I460" s="34" t="n">
        <x:f>-Assumptions!$B$10*E460</x:f>
        <x:v>4.565419104611868</x:v>
      </x:c>
      <x:c r="J460" s="36" t="n">
        <x:f>IF(C460&lt;-F460,1,0)</x:f>
        <x:v>0</x:v>
      </x:c>
      <x:c r="K460" s="36" t="n">
        <x:f>IF(C460&lt;-G460,1,0)</x:f>
        <x:v>0</x:v>
      </x:c>
      <x:c r="L460" s="36" t="n">
        <x:f>IF(C460&lt;-H460,1,0)</x:f>
        <x:v>0</x:v>
      </x:c>
      <x:c r="M460" s="36" t="n">
        <x:f>IF(C460&lt;-I460,1,0)</x:f>
        <x:v>0</x:v>
      </x:c>
      <x:c r="N460" s="34" t="n">
        <x:f>-F460</x:f>
        <x:v>-2.8810861829376657</x:v>
      </x:c>
      <x:c r="O460" s="34" t="n">
        <x:f>-H460</x:f>
        <x:v>-2.7339469783596098</x:v>
      </x:c>
      <x:c r="P460" s="34" t="n">
        <x:f>-G460</x:f>
        <x:v>-4.074775169525291</x:v>
      </x:c>
      <x:c r="Q460" s="34" t="n">
        <x:f>-I460</x:f>
        <x:v>-4.565419104611868</x:v>
      </x:c>
      <x:c r="R460" s="36" t="n">
        <x:f>YEAR(A460)</x:f>
        <x:v>2022</x:v>
      </x:c>
    </x:row>
    <x:row r="461">
      <x:c r="A461" s="30" t="n">
        <x:v>44854</x:v>
      </x:c>
      <x:c r="B461" s="38" t="n">
        <x:v>3665.78</x:v>
      </x:c>
      <x:c r="C461" s="34" t="n">
        <x:f>(B461/B460-1)*100</x:f>
        <x:v>-0.7950941231232078</x:v>
      </x:c>
      <x:c r="D461" s="34" t="n">
        <x:f>Assumptions!$B$4*D460+(1-Assumptions!$B$4)*C460^2</x:f>
        <x:v>2.9106474497201527</x:v>
      </x:c>
      <x:c r="E461" s="34" t="n">
        <x:f>SQRT(D461)</x:f>
        <x:v>1.7060619712425902</x:v>
      </x:c>
      <x:c r="F461" s="34" t="n">
        <x:f>-Assumptions!$B$7*E461</x:f>
        <x:v>2.8062222212023538</x:v>
      </x:c>
      <x:c r="G461" s="34" t="n">
        <x:f>-Assumptions!$B$8*E461</x:f>
        <x:v>3.968893639782125</x:v>
      </x:c>
      <x:c r="H461" s="34" t="n">
        <x:f>-Assumptions!$B$9*E461</x:f>
        <x:v>2.6629063745809365</x:v>
      </x:c>
      <x:c r="I461" s="34" t="n">
        <x:f>-Assumptions!$B$10*E461</x:f>
        <x:v>4.4467883731962505</x:v>
      </x:c>
      <x:c r="J461" s="36" t="n">
        <x:f>IF(C461&lt;-F461,1,0)</x:f>
        <x:v>0</x:v>
      </x:c>
      <x:c r="K461" s="36" t="n">
        <x:f>IF(C461&lt;-G461,1,0)</x:f>
        <x:v>0</x:v>
      </x:c>
      <x:c r="L461" s="36" t="n">
        <x:f>IF(C461&lt;-H461,1,0)</x:f>
        <x:v>0</x:v>
      </x:c>
      <x:c r="M461" s="36" t="n">
        <x:f>IF(C461&lt;-I461,1,0)</x:f>
        <x:v>0</x:v>
      </x:c>
      <x:c r="N461" s="34" t="n">
        <x:f>-F461</x:f>
        <x:v>-2.8062222212023538</x:v>
      </x:c>
      <x:c r="O461" s="34" t="n">
        <x:f>-H461</x:f>
        <x:v>-2.6629063745809365</x:v>
      </x:c>
      <x:c r="P461" s="34" t="n">
        <x:f>-G461</x:f>
        <x:v>-3.968893639782125</x:v>
      </x:c>
      <x:c r="Q461" s="34" t="n">
        <x:f>-I461</x:f>
        <x:v>-4.4467883731962505</x:v>
      </x:c>
      <x:c r="R461" s="36" t="n">
        <x:f>YEAR(A461)</x:f>
        <x:v>2022</x:v>
      </x:c>
    </x:row>
    <x:row r="462">
      <x:c r="A462" s="30" t="n">
        <x:v>44855</x:v>
      </x:c>
      <x:c r="B462" s="38" t="n">
        <x:v>3752.75</x:v>
      </x:c>
      <x:c r="C462" s="34" t="n">
        <x:f>(B462/B461-1)*100</x:f>
        <x:v>2.3724828003862664</x:v>
      </x:c>
      <x:c r="D462" s="34" t="n">
        <x:f>Assumptions!$B$4*D461+(1-Assumptions!$B$4)*C461^2</x:f>
        <x:v>2.773939082614447</x:v>
      </x:c>
      <x:c r="E462" s="34" t="n">
        <x:f>SQRT(D462)</x:f>
        <x:v>1.665514659981847</x:v>
      </x:c>
      <x:c r="F462" s="34" t="n">
        <x:f>-Assumptions!$B$7*E462</x:f>
        <x:v>2.73952782921199</x:v>
      </x:c>
      <x:c r="G462" s="34" t="n">
        <x:f>-Assumptions!$B$8*E462</x:f>
        <x:v>3.8745664884326225</x:v>
      </x:c>
      <x:c r="H462" s="34" t="n">
        <x:f>-Assumptions!$B$9*E462</x:f>
        <x:v>2.5996181145714194</x:v>
      </x:c>
      <x:c r="I462" s="34" t="n">
        <x:f>-Assumptions!$B$10*E462</x:f>
        <x:v>4.341103283605209</x:v>
      </x:c>
      <x:c r="J462" s="36" t="n">
        <x:f>IF(C462&lt;-F462,1,0)</x:f>
        <x:v>0</x:v>
      </x:c>
      <x:c r="K462" s="36" t="n">
        <x:f>IF(C462&lt;-G462,1,0)</x:f>
        <x:v>0</x:v>
      </x:c>
      <x:c r="L462" s="36" t="n">
        <x:f>IF(C462&lt;-H462,1,0)</x:f>
        <x:v>0</x:v>
      </x:c>
      <x:c r="M462" s="36" t="n">
        <x:f>IF(C462&lt;-I462,1,0)</x:f>
        <x:v>0</x:v>
      </x:c>
      <x:c r="N462" s="34" t="n">
        <x:f>-F462</x:f>
        <x:v>-2.73952782921199</x:v>
      </x:c>
      <x:c r="O462" s="34" t="n">
        <x:f>-H462</x:f>
        <x:v>-2.5996181145714194</x:v>
      </x:c>
      <x:c r="P462" s="34" t="n">
        <x:f>-G462</x:f>
        <x:v>-3.8745664884326225</x:v>
      </x:c>
      <x:c r="Q462" s="34" t="n">
        <x:f>-I462</x:f>
        <x:v>-4.341103283605209</x:v>
      </x:c>
      <x:c r="R462" s="36" t="n">
        <x:f>YEAR(A462)</x:f>
        <x:v>2022</x:v>
      </x:c>
    </x:row>
    <x:row r="463">
      <x:c r="A463" s="30" t="n">
        <x:v>44858</x:v>
      </x:c>
      <x:c r="B463" s="38" t="n">
        <x:v>3797.34</x:v>
      </x:c>
      <x:c r="C463" s="34" t="n">
        <x:f>(B463/B462-1)*100</x:f>
        <x:v>1.1881953234294862</x:v>
      </x:c>
      <x:c r="D463" s="34" t="n">
        <x:f>Assumptions!$B$4*D462+(1-Assumptions!$B$4)*C462^2</x:f>
        <x:v>2.9452232159453002</x:v>
      </x:c>
      <x:c r="E463" s="34" t="n">
        <x:f>SQRT(D463)</x:f>
        <x:v>1.7161652647531649</x:v>
      </x:c>
      <x:c r="F463" s="34" t="n">
        <x:f>-Assumptions!$B$7*E463</x:f>
        <x:v>2.822840660177378</x:v>
      </x:c>
      <x:c r="G463" s="34" t="n">
        <x:f>-Assumptions!$B$8*E463</x:f>
        <x:v>3.992397415161261</x:v>
      </x:c>
      <x:c r="H463" s="34" t="n">
        <x:f>-Assumptions!$B$9*E463</x:f>
        <x:v>2.6786760975728723</x:v>
      </x:c>
      <x:c r="I463" s="34" t="n">
        <x:f>-Assumptions!$B$10*E463</x:f>
        <x:v>4.473122239650756</x:v>
      </x:c>
      <x:c r="J463" s="36" t="n">
        <x:f>IF(C463&lt;-F463,1,0)</x:f>
        <x:v>0</x:v>
      </x:c>
      <x:c r="K463" s="36" t="n">
        <x:f>IF(C463&lt;-G463,1,0)</x:f>
        <x:v>0</x:v>
      </x:c>
      <x:c r="L463" s="36" t="n">
        <x:f>IF(C463&lt;-H463,1,0)</x:f>
        <x:v>0</x:v>
      </x:c>
      <x:c r="M463" s="36" t="n">
        <x:f>IF(C463&lt;-I463,1,0)</x:f>
        <x:v>0</x:v>
      </x:c>
      <x:c r="N463" s="34" t="n">
        <x:f>-F463</x:f>
        <x:v>-2.822840660177378</x:v>
      </x:c>
      <x:c r="O463" s="34" t="n">
        <x:f>-H463</x:f>
        <x:v>-2.6786760975728723</x:v>
      </x:c>
      <x:c r="P463" s="34" t="n">
        <x:f>-G463</x:f>
        <x:v>-3.992397415161261</x:v>
      </x:c>
      <x:c r="Q463" s="34" t="n">
        <x:f>-I463</x:f>
        <x:v>-4.473122239650756</x:v>
      </x:c>
      <x:c r="R463" s="36" t="n">
        <x:f>YEAR(A463)</x:f>
        <x:v>2022</x:v>
      </x:c>
    </x:row>
    <x:row r="464">
      <x:c r="A464" s="30" t="n">
        <x:v>44859</x:v>
      </x:c>
      <x:c r="B464" s="38" t="n">
        <x:v>3859.11</x:v>
      </x:c>
      <x:c r="C464" s="34" t="n">
        <x:f>(B464/B463-1)*100</x:f>
        <x:v>1.6266649812763712</x:v>
      </x:c>
      <x:c r="D464" s="34" t="n">
        <x:f>Assumptions!$B$4*D463+(1-Assumptions!$B$4)*C463^2</x:f>
        <x:v>2.8532183105857643</x:v>
      </x:c>
      <x:c r="E464" s="34" t="n">
        <x:f>SQRT(D464)</x:f>
        <x:v>1.6891472140064536</x:v>
      </x:c>
      <x:c r="F464" s="34" t="n">
        <x:f>-Assumptions!$B$7*E464</x:f>
        <x:v>2.778399921413491</x:v>
      </x:c>
      <x:c r="G464" s="34" t="n">
        <x:f>-Assumptions!$B$8*E464</x:f>
        <x:v>3.9295440302459217</x:v>
      </x:c>
      <x:c r="H464" s="34" t="n">
        <x:f>-Assumptions!$B$9*E464</x:f>
        <x:v>2.6365049802424934</x:v>
      </x:c>
      <x:c r="I464" s="34" t="n">
        <x:f>-Assumptions!$B$10*E464</x:f>
        <x:v>4.402700674694709</x:v>
      </x:c>
      <x:c r="J464" s="36" t="n">
        <x:f>IF(C464&lt;-F464,1,0)</x:f>
        <x:v>0</x:v>
      </x:c>
      <x:c r="K464" s="36" t="n">
        <x:f>IF(C464&lt;-G464,1,0)</x:f>
        <x:v>0</x:v>
      </x:c>
      <x:c r="L464" s="36" t="n">
        <x:f>IF(C464&lt;-H464,1,0)</x:f>
        <x:v>0</x:v>
      </x:c>
      <x:c r="M464" s="36" t="n">
        <x:f>IF(C464&lt;-I464,1,0)</x:f>
        <x:v>0</x:v>
      </x:c>
      <x:c r="N464" s="34" t="n">
        <x:f>-F464</x:f>
        <x:v>-2.778399921413491</x:v>
      </x:c>
      <x:c r="O464" s="34" t="n">
        <x:f>-H464</x:f>
        <x:v>-2.6365049802424934</x:v>
      </x:c>
      <x:c r="P464" s="34" t="n">
        <x:f>-G464</x:f>
        <x:v>-3.9295440302459217</x:v>
      </x:c>
      <x:c r="Q464" s="34" t="n">
        <x:f>-I464</x:f>
        <x:v>-4.402700674694709</x:v>
      </x:c>
      <x:c r="R464" s="36" t="n">
        <x:f>YEAR(A464)</x:f>
        <x:v>2022</x:v>
      </x:c>
    </x:row>
    <x:row r="465">
      <x:c r="A465" s="30" t="n">
        <x:v>44860</x:v>
      </x:c>
      <x:c r="B465" s="38" t="n">
        <x:v>3830.6</x:v>
      </x:c>
      <x:c r="C465" s="34" t="n">
        <x:f>(B465/B464-1)*100</x:f>
        <x:v>-0.7387713747470381</x:v>
      </x:c>
      <x:c r="D465" s="34" t="n">
        <x:f>Assumptions!$B$4*D464+(1-Assumptions!$B$4)*C464^2</x:f>
        <x:v>2.84078754962927</x:v>
      </x:c>
      <x:c r="E465" s="34" t="n">
        <x:f>SQRT(D465)</x:f>
        <x:v>1.685463600802245</x:v>
      </x:c>
      <x:c r="F465" s="34" t="n">
        <x:f>-Assumptions!$B$7*E465</x:f>
        <x:v>2.772340916874262</x:v>
      </x:c>
      <x:c r="G465" s="34" t="n">
        <x:f>-Assumptions!$B$8*E465</x:f>
        <x:v>3.9209746644995223</x:v>
      </x:c>
      <x:c r="H465" s="34" t="n">
        <x:f>-Assumptions!$B$9*E465</x:f>
        <x:v>2.6307554135512947</x:v>
      </x:c>
      <x:c r="I465" s="34" t="n">
        <x:f>-Assumptions!$B$10*E465</x:f>
        <x:v>4.393099471078467</x:v>
      </x:c>
      <x:c r="J465" s="36" t="n">
        <x:f>IF(C465&lt;-F465,1,0)</x:f>
        <x:v>0</x:v>
      </x:c>
      <x:c r="K465" s="36" t="n">
        <x:f>IF(C465&lt;-G465,1,0)</x:f>
        <x:v>0</x:v>
      </x:c>
      <x:c r="L465" s="36" t="n">
        <x:f>IF(C465&lt;-H465,1,0)</x:f>
        <x:v>0</x:v>
      </x:c>
      <x:c r="M465" s="36" t="n">
        <x:f>IF(C465&lt;-I465,1,0)</x:f>
        <x:v>0</x:v>
      </x:c>
      <x:c r="N465" s="34" t="n">
        <x:f>-F465</x:f>
        <x:v>-2.772340916874262</x:v>
      </x:c>
      <x:c r="O465" s="34" t="n">
        <x:f>-H465</x:f>
        <x:v>-2.6307554135512947</x:v>
      </x:c>
      <x:c r="P465" s="34" t="n">
        <x:f>-G465</x:f>
        <x:v>-3.9209746644995223</x:v>
      </x:c>
      <x:c r="Q465" s="34" t="n">
        <x:f>-I465</x:f>
        <x:v>-4.393099471078467</x:v>
      </x:c>
      <x:c r="R465" s="36" t="n">
        <x:f>YEAR(A465)</x:f>
        <x:v>2022</x:v>
      </x:c>
    </x:row>
    <x:row r="466">
      <x:c r="A466" s="30" t="n">
        <x:v>44861</x:v>
      </x:c>
      <x:c r="B466" s="38" t="n">
        <x:v>3807.3</x:v>
      </x:c>
      <x:c r="C466" s="34" t="n">
        <x:f>(B466/B465-1)*100</x:f>
        <x:v>-0.6082598026418751</x:v>
      </x:c>
      <x:c r="D466" s="34" t="n">
        <x:f>Assumptions!$B$4*D465+(1-Assumptions!$B$4)*C465^2</x:f>
        <x:v>2.7030872853002514</x:v>
      </x:c>
      <x:c r="E466" s="34" t="n">
        <x:f>SQRT(D466)</x:f>
        <x:v>1.6441068351236339</x:v>
      </x:c>
      <x:c r="F466" s="34" t="n">
        <x:f>-Assumptions!$B$7*E466</x:f>
        <x:v>2.7043150908488163</x:v>
      </x:c>
      <x:c r="G466" s="34" t="n">
        <x:f>-Assumptions!$B$8*E466</x:f>
        <x:v>3.82476444058588</x:v>
      </x:c>
      <x:c r="H466" s="34" t="n">
        <x:f>-Assumptions!$B$9*E466</x:f>
        <x:v>2.566203716828688</x:v>
      </x:c>
      <x:c r="I466" s="34" t="n">
        <x:f>-Assumptions!$B$10*E466</x:f>
        <x:v>4.285304568037105</x:v>
      </x:c>
      <x:c r="J466" s="36" t="n">
        <x:f>IF(C466&lt;-F466,1,0)</x:f>
        <x:v>0</x:v>
      </x:c>
      <x:c r="K466" s="36" t="n">
        <x:f>IF(C466&lt;-G466,1,0)</x:f>
        <x:v>0</x:v>
      </x:c>
      <x:c r="L466" s="36" t="n">
        <x:f>IF(C466&lt;-H466,1,0)</x:f>
        <x:v>0</x:v>
      </x:c>
      <x:c r="M466" s="36" t="n">
        <x:f>IF(C466&lt;-I466,1,0)</x:f>
        <x:v>0</x:v>
      </x:c>
      <x:c r="N466" s="34" t="n">
        <x:f>-F466</x:f>
        <x:v>-2.7043150908488163</x:v>
      </x:c>
      <x:c r="O466" s="34" t="n">
        <x:f>-H466</x:f>
        <x:v>-2.566203716828688</x:v>
      </x:c>
      <x:c r="P466" s="34" t="n">
        <x:f>-G466</x:f>
        <x:v>-3.82476444058588</x:v>
      </x:c>
      <x:c r="Q466" s="34" t="n">
        <x:f>-I466</x:f>
        <x:v>-4.285304568037105</x:v>
      </x:c>
      <x:c r="R466" s="36" t="n">
        <x:f>YEAR(A466)</x:f>
        <x:v>2022</x:v>
      </x:c>
    </x:row>
    <x:row r="467">
      <x:c r="A467" s="30" t="n">
        <x:v>44862</x:v>
      </x:c>
      <x:c r="B467" s="38" t="n">
        <x:v>3901.06</x:v>
      </x:c>
      <x:c r="C467" s="34" t="n">
        <x:f>(B467/B466-1)*100</x:f>
        <x:v>2.4626375646783716</x:v>
      </x:c>
      <x:c r="D467" s="34" t="n">
        <x:f>Assumptions!$B$4*D466+(1-Assumptions!$B$4)*C466^2</x:f>
        <x:v>2.5631008474328323</x:v>
      </x:c>
      <x:c r="E467" s="34" t="n">
        <x:f>SQRT(D467)</x:f>
        <x:v>1.60096872156605</x:v>
      </x:c>
      <x:c r="F467" s="34" t="n">
        <x:f>-Assumptions!$B$7*E467</x:f>
        <x:v>2.63335920830378</x:v>
      </x:c>
      <x:c r="G467" s="34" t="n">
        <x:f>-Assumptions!$B$8*E467</x:f>
        <x:v>3.7244101818210624</x:v>
      </x:c>
      <x:c r="H467" s="34" t="n">
        <x:f>-Assumptions!$B$9*E467</x:f>
        <x:v>2.498871603742421</x:v>
      </x:c>
      <x:c r="I467" s="34" t="n">
        <x:f>-Assumptions!$B$10*E467</x:f>
        <x:v>4.172866646646847</x:v>
      </x:c>
      <x:c r="J467" s="36" t="n">
        <x:f>IF(C467&lt;-F467,1,0)</x:f>
        <x:v>0</x:v>
      </x:c>
      <x:c r="K467" s="36" t="n">
        <x:f>IF(C467&lt;-G467,1,0)</x:f>
        <x:v>0</x:v>
      </x:c>
      <x:c r="L467" s="36" t="n">
        <x:f>IF(C467&lt;-H467,1,0)</x:f>
        <x:v>0</x:v>
      </x:c>
      <x:c r="M467" s="36" t="n">
        <x:f>IF(C467&lt;-I467,1,0)</x:f>
        <x:v>0</x:v>
      </x:c>
      <x:c r="N467" s="34" t="n">
        <x:f>-F467</x:f>
        <x:v>-2.63335920830378</x:v>
      </x:c>
      <x:c r="O467" s="34" t="n">
        <x:f>-H467</x:f>
        <x:v>-2.498871603742421</x:v>
      </x:c>
      <x:c r="P467" s="34" t="n">
        <x:f>-G467</x:f>
        <x:v>-3.7244101818210624</x:v>
      </x:c>
      <x:c r="Q467" s="34" t="n">
        <x:f>-I467</x:f>
        <x:v>-4.172866646646847</x:v>
      </x:c>
      <x:c r="R467" s="36" t="n">
        <x:f>YEAR(A467)</x:f>
        <x:v>2022</x:v>
      </x:c>
    </x:row>
    <x:row r="468">
      <x:c r="A468" s="30" t="n">
        <x:v>44865</x:v>
      </x:c>
      <x:c r="B468" s="38" t="n">
        <x:v>3871.98</x:v>
      </x:c>
      <x:c r="C468" s="34" t="n">
        <x:f>(B468/B467-1)*100</x:f>
        <x:v>-0.7454384193014141</x:v>
      </x:c>
      <x:c r="D468" s="34" t="n">
        <x:f>Assumptions!$B$4*D467+(1-Assumptions!$B$4)*C467^2</x:f>
        <x:v>2.7731898230847642</x:v>
      </x:c>
      <x:c r="E468" s="34" t="n">
        <x:f>SQRT(D468)</x:f>
        <x:v>1.665289711457068</x:v>
      </x:c>
      <x:c r="F468" s="34" t="n">
        <x:f>-Assumptions!$B$7*E468</x:f>
        <x:v>2.73915782181513</x:v>
      </x:c>
      <x:c r="G468" s="34" t="n">
        <x:f>-Assumptions!$B$8*E468</x:f>
        <x:v>3.8740431799102346</x:v>
      </x:c>
      <x:c r="H468" s="34" t="n">
        <x:f>-Assumptions!$B$9*E468</x:f>
        <x:v>2.5992670037262777</x:v>
      </x:c>
      <x:c r="I468" s="34" t="n">
        <x:f>-Assumptions!$B$10*E468</x:f>
        <x:v>4.340516963470644</x:v>
      </x:c>
      <x:c r="J468" s="36" t="n">
        <x:f>IF(C468&lt;-F468,1,0)</x:f>
        <x:v>0</x:v>
      </x:c>
      <x:c r="K468" s="36" t="n">
        <x:f>IF(C468&lt;-G468,1,0)</x:f>
        <x:v>0</x:v>
      </x:c>
      <x:c r="L468" s="36" t="n">
        <x:f>IF(C468&lt;-H468,1,0)</x:f>
        <x:v>0</x:v>
      </x:c>
      <x:c r="M468" s="36" t="n">
        <x:f>IF(C468&lt;-I468,1,0)</x:f>
        <x:v>0</x:v>
      </x:c>
      <x:c r="N468" s="34" t="n">
        <x:f>-F468</x:f>
        <x:v>-2.73915782181513</x:v>
      </x:c>
      <x:c r="O468" s="34" t="n">
        <x:f>-H468</x:f>
        <x:v>-2.5992670037262777</x:v>
      </x:c>
      <x:c r="P468" s="34" t="n">
        <x:f>-G468</x:f>
        <x:v>-3.8740431799102346</x:v>
      </x:c>
      <x:c r="Q468" s="34" t="n">
        <x:f>-I468</x:f>
        <x:v>-4.340516963470644</x:v>
      </x:c>
      <x:c r="R468" s="36" t="n">
        <x:f>YEAR(A468)</x:f>
        <x:v>2022</x:v>
      </x:c>
    </x:row>
    <x:row r="469">
      <x:c r="A469" s="30" t="n">
        <x:v>44866</x:v>
      </x:c>
      <x:c r="B469" s="38" t="n">
        <x:v>3856.1</x:v>
      </x:c>
      <x:c r="C469" s="34" t="n">
        <x:f>(B469/B468-1)*100</x:f>
        <x:v>-0.410126085362017</x:v>
      </x:c>
      <x:c r="D469" s="34" t="n">
        <x:f>Assumptions!$B$4*D468+(1-Assumptions!$B$4)*C468^2</x:f>
        <x:v>2.6401391399179137</x:v>
      </x:c>
      <x:c r="E469" s="34" t="n">
        <x:f>SQRT(D469)</x:f>
        <x:v>1.6248504977129168</x:v>
      </x:c>
      <x:c r="F469" s="34" t="n">
        <x:f>-Assumptions!$B$7*E469</x:f>
        <x:v>2.672641234416997</x:v>
      </x:c>
      <x:c r="G469" s="34" t="n">
        <x:f>-Assumptions!$B$8*E469</x:f>
        <x:v>3.7799675009886453</x:v>
      </x:c>
      <x:c r="H469" s="34" t="n">
        <x:f>-Assumptions!$B$9*E469</x:f>
        <x:v>2.536147467696816</x:v>
      </x:c>
      <x:c r="I469" s="34" t="n">
        <x:f>-Assumptions!$B$10*E469</x:f>
        <x:v>4.235113626118416</x:v>
      </x:c>
      <x:c r="J469" s="36" t="n">
        <x:f>IF(C469&lt;-F469,1,0)</x:f>
        <x:v>0</x:v>
      </x:c>
      <x:c r="K469" s="36" t="n">
        <x:f>IF(C469&lt;-G469,1,0)</x:f>
        <x:v>0</x:v>
      </x:c>
      <x:c r="L469" s="36" t="n">
        <x:f>IF(C469&lt;-H469,1,0)</x:f>
        <x:v>0</x:v>
      </x:c>
      <x:c r="M469" s="36" t="n">
        <x:f>IF(C469&lt;-I469,1,0)</x:f>
        <x:v>0</x:v>
      </x:c>
      <x:c r="N469" s="34" t="n">
        <x:f>-F469</x:f>
        <x:v>-2.672641234416997</x:v>
      </x:c>
      <x:c r="O469" s="34" t="n">
        <x:f>-H469</x:f>
        <x:v>-2.536147467696816</x:v>
      </x:c>
      <x:c r="P469" s="34" t="n">
        <x:f>-G469</x:f>
        <x:v>-3.7799675009886453</x:v>
      </x:c>
      <x:c r="Q469" s="34" t="n">
        <x:f>-I469</x:f>
        <x:v>-4.235113626118416</x:v>
      </x:c>
      <x:c r="R469" s="36" t="n">
        <x:f>YEAR(A469)</x:f>
        <x:v>2022</x:v>
      </x:c>
    </x:row>
    <x:row r="470">
      <x:c r="A470" s="30" t="n">
        <x:v>44867</x:v>
      </x:c>
      <x:c r="B470" s="38" t="n">
        <x:v>3759.69</x:v>
      </x:c>
      <x:c r="C470" s="34" t="n">
        <x:f>(B470/B469-1)*100</x:f>
        <x:v>-2.500194497030672</x:v>
      </x:c>
      <x:c r="D470" s="34" t="n">
        <x:f>Assumptions!$B$4*D469+(1-Assumptions!$B$4)*C469^2</x:f>
        <x:v>2.491822995876501</x:v>
      </x:c>
      <x:c r="E470" s="34" t="n">
        <x:f>SQRT(D470)</x:f>
        <x:v>1.5785509164662699</x:v>
      </x:c>
      <x:c r="F470" s="34" t="n">
        <x:f>-Assumptions!$B$7*E470</x:f>
        <x:v>2.5964852002771153</x:v>
      </x:c>
      <x:c r="G470" s="34" t="n">
        <x:f>-Assumptions!$B$8*E470</x:f>
        <x:v>3.672258568586527</x:v>
      </x:c>
      <x:c r="H470" s="34" t="n">
        <x:f>-Assumptions!$B$9*E470</x:f>
        <x:v>2.4638807786079515</x:v>
      </x:c>
      <x:c r="I470" s="34" t="n">
        <x:f>-Assumptions!$B$10*E470</x:f>
        <x:v>4.114435454374461</x:v>
      </x:c>
      <x:c r="J470" s="36" t="n">
        <x:f>IF(C470&lt;-F470,1,0)</x:f>
        <x:v>0</x:v>
      </x:c>
      <x:c r="K470" s="36" t="n">
        <x:f>IF(C470&lt;-G470,1,0)</x:f>
        <x:v>0</x:v>
      </x:c>
      <x:c r="L470" s="36" t="n">
        <x:f>IF(C470&lt;-H470,1,0)</x:f>
        <x:v>1</x:v>
      </x:c>
      <x:c r="M470" s="36" t="n">
        <x:f>IF(C470&lt;-I470,1,0)</x:f>
        <x:v>0</x:v>
      </x:c>
      <x:c r="N470" s="34" t="n">
        <x:f>-F470</x:f>
        <x:v>-2.5964852002771153</x:v>
      </x:c>
      <x:c r="O470" s="34" t="n">
        <x:f>-H470</x:f>
        <x:v>-2.4638807786079515</x:v>
      </x:c>
      <x:c r="P470" s="34" t="n">
        <x:f>-G470</x:f>
        <x:v>-3.672258568586527</x:v>
      </x:c>
      <x:c r="Q470" s="34" t="n">
        <x:f>-I470</x:f>
        <x:v>-4.114435454374461</x:v>
      </x:c>
      <x:c r="R470" s="36" t="n">
        <x:f>YEAR(A470)</x:f>
        <x:v>2022</x:v>
      </x:c>
    </x:row>
    <x:row r="471">
      <x:c r="A471" s="30" t="n">
        <x:v>44868</x:v>
      </x:c>
      <x:c r="B471" s="38" t="n">
        <x:v>3719.89</x:v>
      </x:c>
      <x:c r="C471" s="34" t="n">
        <x:f>(B471/B470-1)*100</x:f>
        <x:v>-1.0585979163175718</x:v>
      </x:c>
      <x:c r="D471" s="34" t="n">
        <x:f>Assumptions!$B$4*D470+(1-Assumptions!$B$4)*C470^2</x:f>
        <x:v>2.7173719675028583</x:v>
      </x:c>
      <x:c r="E471" s="34" t="n">
        <x:f>SQRT(D471)</x:f>
        <x:v>1.6484453183235586</x:v>
      </x:c>
      <x:c r="F471" s="34" t="n">
        <x:f>-Assumptions!$B$7*E471</x:f>
        <x:v>2.7114512606756804</x:v>
      </x:c>
      <x:c r="G471" s="34" t="n">
        <x:f>-Assumptions!$B$8*E471</x:f>
        <x:v>3.834857261754587</x:v>
      </x:c>
      <x:c r="H471" s="34" t="n">
        <x:f>-Assumptions!$B$9*E471</x:f>
        <x:v>2.5729754371787275</x:v>
      </x:c>
      <x:c r="I471" s="34" t="n">
        <x:f>-Assumptions!$B$10*E471</x:f>
        <x:v>4.2966126664391115</x:v>
      </x:c>
      <x:c r="J471" s="36" t="n">
        <x:f>IF(C471&lt;-F471,1,0)</x:f>
        <x:v>0</x:v>
      </x:c>
      <x:c r="K471" s="36" t="n">
        <x:f>IF(C471&lt;-G471,1,0)</x:f>
        <x:v>0</x:v>
      </x:c>
      <x:c r="L471" s="36" t="n">
        <x:f>IF(C471&lt;-H471,1,0)</x:f>
        <x:v>0</x:v>
      </x:c>
      <x:c r="M471" s="36" t="n">
        <x:f>IF(C471&lt;-I471,1,0)</x:f>
        <x:v>0</x:v>
      </x:c>
      <x:c r="N471" s="34" t="n">
        <x:f>-F471</x:f>
        <x:v>-2.7114512606756804</x:v>
      </x:c>
      <x:c r="O471" s="34" t="n">
        <x:f>-H471</x:f>
        <x:v>-2.5729754371787275</x:v>
      </x:c>
      <x:c r="P471" s="34" t="n">
        <x:f>-G471</x:f>
        <x:v>-3.834857261754587</x:v>
      </x:c>
      <x:c r="Q471" s="34" t="n">
        <x:f>-I471</x:f>
        <x:v>-4.2966126664391115</x:v>
      </x:c>
      <x:c r="R471" s="36" t="n">
        <x:f>YEAR(A471)</x:f>
        <x:v>2022</x:v>
      </x:c>
    </x:row>
    <x:row r="472">
      <x:c r="A472" s="30" t="n">
        <x:v>44869</x:v>
      </x:c>
      <x:c r="B472" s="38" t="n">
        <x:v>3770.55</x:v>
      </x:c>
      <x:c r="C472" s="34" t="n">
        <x:f>(B472/B471-1)*100</x:f>
        <x:v>1.3618682272863003</x:v>
      </x:c>
      <x:c r="D472" s="34" t="n">
        <x:f>Assumptions!$B$4*D471+(1-Assumptions!$B$4)*C471^2</x:f>
        <x:v>2.621567422358601</x:v>
      </x:c>
      <x:c r="E472" s="34" t="n">
        <x:f>SQRT(D472)</x:f>
        <x:v>1.619125511613785</x:v>
      </x:c>
      <x:c r="F472" s="34" t="n">
        <x:f>-Assumptions!$B$7*E472</x:f>
        <x:v>2.6632244702675933</x:v>
      </x:c>
      <x:c r="G472" s="34" t="n">
        <x:f>-Assumptions!$B$8*E472</x:f>
        <x:v>3.7666491917480167</x:v>
      </x:c>
      <x:c r="H472" s="34" t="n">
        <x:f>-Assumptions!$B$9*E472</x:f>
        <x:v>2.5272116246648886</x:v>
      </x:c>
      <x:c r="I472" s="34" t="n">
        <x:f>-Assumptions!$B$10*E472</x:f>
        <x:v>4.220191658422373</x:v>
      </x:c>
      <x:c r="J472" s="36" t="n">
        <x:f>IF(C472&lt;-F472,1,0)</x:f>
        <x:v>0</x:v>
      </x:c>
      <x:c r="K472" s="36" t="n">
        <x:f>IF(C472&lt;-G472,1,0)</x:f>
        <x:v>0</x:v>
      </x:c>
      <x:c r="L472" s="36" t="n">
        <x:f>IF(C472&lt;-H472,1,0)</x:f>
        <x:v>0</x:v>
      </x:c>
      <x:c r="M472" s="36" t="n">
        <x:f>IF(C472&lt;-I472,1,0)</x:f>
        <x:v>0</x:v>
      </x:c>
      <x:c r="N472" s="34" t="n">
        <x:f>-F472</x:f>
        <x:v>-2.6632244702675933</x:v>
      </x:c>
      <x:c r="O472" s="34" t="n">
        <x:f>-H472</x:f>
        <x:v>-2.5272116246648886</x:v>
      </x:c>
      <x:c r="P472" s="34" t="n">
        <x:f>-G472</x:f>
        <x:v>-3.7666491917480167</x:v>
      </x:c>
      <x:c r="Q472" s="34" t="n">
        <x:f>-I472</x:f>
        <x:v>-4.220191658422373</x:v>
      </x:c>
      <x:c r="R472" s="36" t="n">
        <x:f>YEAR(A472)</x:f>
        <x:v>2022</x:v>
      </x:c>
    </x:row>
    <x:row r="473">
      <x:c r="A473" s="30" t="n">
        <x:v>44872</x:v>
      </x:c>
      <x:c r="B473" s="38" t="n">
        <x:v>3806.8</x:v>
      </x:c>
      <x:c r="C473" s="34" t="n">
        <x:f>(B473/B472-1)*100</x:f>
        <x:v>0.961398204505981</x:v>
      </x:c>
      <x:c r="D473" s="34" t="n">
        <x:f>Assumptions!$B$4*D472+(1-Assumptions!$B$4)*C472^2</x:f>
        <x:v>2.575554481126601</x:v>
      </x:c>
      <x:c r="E473" s="34" t="n">
        <x:f>SQRT(D473)</x:f>
        <x:v>1.6048534142178223</x:v>
      </x:c>
      <x:c r="F473" s="34" t="n">
        <x:f>-Assumptions!$B$7*E473</x:f>
        <x:v>2.6397489591016394</x:v>
      </x:c>
      <x:c r="G473" s="34" t="n">
        <x:f>-Assumptions!$B$8*E473</x:f>
        <x:v>3.733447328312815</x:v>
      </x:c>
      <x:c r="H473" s="34" t="n">
        <x:f>-Assumptions!$B$9*E473</x:f>
        <x:v>2.504935025235931</x:v>
      </x:c>
      <x:c r="I473" s="34" t="n">
        <x:f>-Assumptions!$B$10*E473</x:f>
        <x:v>4.182991956517484</x:v>
      </x:c>
      <x:c r="J473" s="36" t="n">
        <x:f>IF(C473&lt;-F473,1,0)</x:f>
        <x:v>0</x:v>
      </x:c>
      <x:c r="K473" s="36" t="n">
        <x:f>IF(C473&lt;-G473,1,0)</x:f>
        <x:v>0</x:v>
      </x:c>
      <x:c r="L473" s="36" t="n">
        <x:f>IF(C473&lt;-H473,1,0)</x:f>
        <x:v>0</x:v>
      </x:c>
      <x:c r="M473" s="36" t="n">
        <x:f>IF(C473&lt;-I473,1,0)</x:f>
        <x:v>0</x:v>
      </x:c>
      <x:c r="N473" s="34" t="n">
        <x:f>-F473</x:f>
        <x:v>-2.6397489591016394</x:v>
      </x:c>
      <x:c r="O473" s="34" t="n">
        <x:f>-H473</x:f>
        <x:v>-2.504935025235931</x:v>
      </x:c>
      <x:c r="P473" s="34" t="n">
        <x:f>-G473</x:f>
        <x:v>-3.733447328312815</x:v>
      </x:c>
      <x:c r="Q473" s="34" t="n">
        <x:f>-I473</x:f>
        <x:v>-4.182991956517484</x:v>
      </x:c>
      <x:c r="R473" s="36" t="n">
        <x:f>YEAR(A473)</x:f>
        <x:v>2022</x:v>
      </x:c>
    </x:row>
    <x:row r="474">
      <x:c r="A474" s="30" t="n">
        <x:v>44873</x:v>
      </x:c>
      <x:c r="B474" s="38" t="n">
        <x:v>3828.11</x:v>
      </x:c>
      <x:c r="C474" s="34" t="n">
        <x:f>(B474/B473-1)*100</x:f>
        <x:v>0.5597877482399927</x:v>
      </x:c>
      <x:c r="D474" s="34" t="n">
        <x:f>Assumptions!$B$4*D473+(1-Assumptions!$B$4)*C473^2</x:f>
        <x:v>2.4764784027166447</x:v>
      </x:c>
      <x:c r="E474" s="34" t="n">
        <x:f>SQRT(D474)</x:f>
        <x:v>1.5736830693365944</x:v>
      </x:c>
      <x:c r="F474" s="34" t="n">
        <x:f>-Assumptions!$B$7*E474</x:f>
        <x:v>2.5884783042704234</x:v>
      </x:c>
      <x:c r="G474" s="34" t="n">
        <x:f>-Assumptions!$B$8*E474</x:f>
        <x:v>3.6609342627652506</x:v>
      </x:c>
      <x:c r="H474" s="34" t="n">
        <x:f>-Assumptions!$B$9*E474</x:f>
        <x:v>2.4562828007087916</x:v>
      </x:c>
      <x:c r="I474" s="34" t="n">
        <x:f>-Assumptions!$B$10*E474</x:f>
        <x:v>4.101747588175221</x:v>
      </x:c>
      <x:c r="J474" s="36" t="n">
        <x:f>IF(C474&lt;-F474,1,0)</x:f>
        <x:v>0</x:v>
      </x:c>
      <x:c r="K474" s="36" t="n">
        <x:f>IF(C474&lt;-G474,1,0)</x:f>
        <x:v>0</x:v>
      </x:c>
      <x:c r="L474" s="36" t="n">
        <x:f>IF(C474&lt;-H474,1,0)</x:f>
        <x:v>0</x:v>
      </x:c>
      <x:c r="M474" s="36" t="n">
        <x:f>IF(C474&lt;-I474,1,0)</x:f>
        <x:v>0</x:v>
      </x:c>
      <x:c r="N474" s="34" t="n">
        <x:f>-F474</x:f>
        <x:v>-2.5884783042704234</x:v>
      </x:c>
      <x:c r="O474" s="34" t="n">
        <x:f>-H474</x:f>
        <x:v>-2.4562828007087916</x:v>
      </x:c>
      <x:c r="P474" s="34" t="n">
        <x:f>-G474</x:f>
        <x:v>-3.6609342627652506</x:v>
      </x:c>
      <x:c r="Q474" s="34" t="n">
        <x:f>-I474</x:f>
        <x:v>-4.101747588175221</x:v>
      </x:c>
      <x:c r="R474" s="36" t="n">
        <x:f>YEAR(A474)</x:f>
        <x:v>2022</x:v>
      </x:c>
    </x:row>
    <x:row r="475">
      <x:c r="A475" s="30" t="n">
        <x:v>44874</x:v>
      </x:c>
      <x:c r="B475" s="38" t="n">
        <x:v>3748.57</x:v>
      </x:c>
      <x:c r="C475" s="34" t="n">
        <x:f>(B475/B474-1)*100</x:f>
        <x:v>-2.0777877333723382</x:v>
      </x:c>
      <x:c r="D475" s="34" t="n">
        <x:f>Assumptions!$B$4*D474+(1-Assumptions!$B$4)*C474^2</x:f>
        <x:v>2.346691437938422</x:v>
      </x:c>
      <x:c r="E475" s="34" t="n">
        <x:f>SQRT(D475)</x:f>
        <x:v>1.5318914576230334</x:v>
      </x:c>
      <x:c r="F475" s="34" t="n">
        <x:f>-Assumptions!$B$7*E475</x:f>
        <x:v>2.519737220167225</x:v>
      </x:c>
      <x:c r="G475" s="34" t="n">
        <x:f>-Assumptions!$B$8*E475</x:f>
        <x:v>3.5637124357026675</x:v>
      </x:c>
      <x:c r="H475" s="34" t="n">
        <x:f>-Assumptions!$B$9*E475</x:f>
        <x:v>2.391052374668055</x:v>
      </x:c>
      <x:c r="I475" s="34" t="n">
        <x:f>-Assumptions!$B$10*E475</x:f>
        <x:v>3.9928192747859703</x:v>
      </x:c>
      <x:c r="J475" s="36" t="n">
        <x:f>IF(C475&lt;-F475,1,0)</x:f>
        <x:v>0</x:v>
      </x:c>
      <x:c r="K475" s="36" t="n">
        <x:f>IF(C475&lt;-G475,1,0)</x:f>
        <x:v>0</x:v>
      </x:c>
      <x:c r="L475" s="36" t="n">
        <x:f>IF(C475&lt;-H475,1,0)</x:f>
        <x:v>0</x:v>
      </x:c>
      <x:c r="M475" s="36" t="n">
        <x:f>IF(C475&lt;-I475,1,0)</x:f>
        <x:v>0</x:v>
      </x:c>
      <x:c r="N475" s="34" t="n">
        <x:f>-F475</x:f>
        <x:v>-2.519737220167225</x:v>
      </x:c>
      <x:c r="O475" s="34" t="n">
        <x:f>-H475</x:f>
        <x:v>-2.391052374668055</x:v>
      </x:c>
      <x:c r="P475" s="34" t="n">
        <x:f>-G475</x:f>
        <x:v>-3.5637124357026675</x:v>
      </x:c>
      <x:c r="Q475" s="34" t="n">
        <x:f>-I475</x:f>
        <x:v>-3.9928192747859703</x:v>
      </x:c>
      <x:c r="R475" s="36" t="n">
        <x:f>YEAR(A475)</x:f>
        <x:v>2022</x:v>
      </x:c>
    </x:row>
    <x:row r="476">
      <x:c r="A476" s="30" t="n">
        <x:v>44875</x:v>
      </x:c>
      <x:c r="B476" s="38" t="n">
        <x:v>3956.37</x:v>
      </x:c>
      <x:c r="C476" s="34" t="n">
        <x:f>(B476/B475-1)*100</x:f>
        <x:v>5.543447234545429</x:v>
      </x:c>
      <x:c r="D476" s="34" t="n">
        <x:f>Assumptions!$B$4*D475+(1-Assumptions!$B$4)*C475^2</x:f>
        <x:v>2.46492206355927</x:v>
      </x:c>
      <x:c r="E476" s="34" t="n">
        <x:f>SQRT(D476)</x:f>
        <x:v>1.5700070265955086</x:v>
      </x:c>
      <x:c r="F476" s="34" t="n">
        <x:f>-Assumptions!$B$7*E476</x:f>
        <x:v>2.58243175203492</x:v>
      </x:c>
      <x:c r="G476" s="34" t="n">
        <x:f>-Assumptions!$B$8*E476</x:f>
        <x:v>3.6523825085496426</x:v>
      </x:c>
      <x:c r="H476" s="34" t="n">
        <x:f>-Assumptions!$B$9*E476</x:f>
        <x:v>2.4505450503729467</x:v>
      </x:c>
      <x:c r="I476" s="34" t="n">
        <x:f>-Assumptions!$B$10*E476</x:f>
        <x:v>4.092166116695303</x:v>
      </x:c>
      <x:c r="J476" s="36" t="n">
        <x:f>IF(C476&lt;-F476,1,0)</x:f>
        <x:v>0</x:v>
      </x:c>
      <x:c r="K476" s="36" t="n">
        <x:f>IF(C476&lt;-G476,1,0)</x:f>
        <x:v>0</x:v>
      </x:c>
      <x:c r="L476" s="36" t="n">
        <x:f>IF(C476&lt;-H476,1,0)</x:f>
        <x:v>0</x:v>
      </x:c>
      <x:c r="M476" s="36" t="n">
        <x:f>IF(C476&lt;-I476,1,0)</x:f>
        <x:v>0</x:v>
      </x:c>
      <x:c r="N476" s="34" t="n">
        <x:f>-F476</x:f>
        <x:v>-2.58243175203492</x:v>
      </x:c>
      <x:c r="O476" s="34" t="n">
        <x:f>-H476</x:f>
        <x:v>-2.4505450503729467</x:v>
      </x:c>
      <x:c r="P476" s="34" t="n">
        <x:f>-G476</x:f>
        <x:v>-3.6523825085496426</x:v>
      </x:c>
      <x:c r="Q476" s="34" t="n">
        <x:f>-I476</x:f>
        <x:v>-4.092166116695303</x:v>
      </x:c>
      <x:c r="R476" s="36" t="n">
        <x:f>YEAR(A476)</x:f>
        <x:v>2022</x:v>
      </x:c>
    </x:row>
    <x:row r="477">
      <x:c r="A477" s="30" t="n">
        <x:v>44876</x:v>
      </x:c>
      <x:c r="B477" s="38" t="n">
        <x:v>3992.93</x:v>
      </x:c>
      <x:c r="C477" s="34" t="n">
        <x:f>(B477/B476-1)*100</x:f>
        <x:v>0.9240793960120008</x:v>
      </x:c>
      <x:c r="D477" s="34" t="n">
        <x:f>Assumptions!$B$4*D476+(1-Assumptions!$B$4)*C476^2</x:f>
        <x:v>4.160815174277077</x:v>
      </x:c>
      <x:c r="E477" s="34" t="n">
        <x:f>SQRT(D477)</x:f>
        <x:v>2.039807631684193</x:v>
      </x:c>
      <x:c r="F477" s="34" t="n">
        <x:f>-Assumptions!$B$7*E477</x:f>
        <x:v>3.3551849812590393</x:v>
      </x:c>
      <x:c r="G477" s="34" t="n">
        <x:f>-Assumptions!$B$8*E477</x:f>
        <x:v>4.745302147420804</x:v>
      </x:c>
      <x:c r="H477" s="34" t="n">
        <x:f>-Assumptions!$B$9*E477</x:f>
        <x:v>3.1838332000182157</x:v>
      </x:c>
      <x:c r="I477" s="34" t="n">
        <x:f>-Assumptions!$B$10*E477</x:f>
        <x:v>5.316684278194063</x:v>
      </x:c>
      <x:c r="J477" s="36" t="n">
        <x:f>IF(C477&lt;-F477,1,0)</x:f>
        <x:v>0</x:v>
      </x:c>
      <x:c r="K477" s="36" t="n">
        <x:f>IF(C477&lt;-G477,1,0)</x:f>
        <x:v>0</x:v>
      </x:c>
      <x:c r="L477" s="36" t="n">
        <x:f>IF(C477&lt;-H477,1,0)</x:f>
        <x:v>0</x:v>
      </x:c>
      <x:c r="M477" s="36" t="n">
        <x:f>IF(C477&lt;-I477,1,0)</x:f>
        <x:v>0</x:v>
      </x:c>
      <x:c r="N477" s="34" t="n">
        <x:f>-F477</x:f>
        <x:v>-3.3551849812590393</x:v>
      </x:c>
      <x:c r="O477" s="34" t="n">
        <x:f>-H477</x:f>
        <x:v>-3.1838332000182157</x:v>
      </x:c>
      <x:c r="P477" s="34" t="n">
        <x:f>-G477</x:f>
        <x:v>-4.745302147420804</x:v>
      </x:c>
      <x:c r="Q477" s="34" t="n">
        <x:f>-I477</x:f>
        <x:v>-5.316684278194063</x:v>
      </x:c>
      <x:c r="R477" s="36" t="n">
        <x:f>YEAR(A477)</x:f>
        <x:v>2022</x:v>
      </x:c>
    </x:row>
    <x:row r="478">
      <x:c r="A478" s="30" t="n">
        <x:v>44879</x:v>
      </x:c>
      <x:c r="B478" s="38" t="n">
        <x:v>3957.25</x:v>
      </x:c>
      <x:c r="C478" s="34" t="n">
        <x:f>(B478/B477-1)*100</x:f>
        <x:v>-0.8935794015923149</x:v>
      </x:c>
      <x:c r="D478" s="34" t="n">
        <x:f>Assumptions!$B$4*D477+(1-Assumptions!$B$4)*C477^2</x:f>
        <x:v>3.9624016276284864</x:v>
      </x:c>
      <x:c r="E478" s="34" t="n">
        <x:f>SQRT(D478)</x:f>
        <x:v>1.9905782143961304</x:v>
      </x:c>
      <x:c r="F478" s="34" t="n">
        <x:f>-Assumptions!$B$7*E478</x:f>
        <x:v>3.2742097956800618</x:v>
      </x:c>
      <x:c r="G478" s="34" t="n">
        <x:f>-Assumptions!$B$8*E478</x:f>
        <x:v>4.63077739717245</x:v>
      </x:c>
      <x:c r="H478" s="34" t="n">
        <x:f>-Assumptions!$B$9*E478</x:f>
        <x:v>3.1069934771224483</x:v>
      </x:c>
      <x:c r="I478" s="34" t="n">
        <x:f>-Assumptions!$B$10*E478</x:f>
        <x:v>5.188369595547252</x:v>
      </x:c>
      <x:c r="J478" s="36" t="n">
        <x:f>IF(C478&lt;-F478,1,0)</x:f>
        <x:v>0</x:v>
      </x:c>
      <x:c r="K478" s="36" t="n">
        <x:f>IF(C478&lt;-G478,1,0)</x:f>
        <x:v>0</x:v>
      </x:c>
      <x:c r="L478" s="36" t="n">
        <x:f>IF(C478&lt;-H478,1,0)</x:f>
        <x:v>0</x:v>
      </x:c>
      <x:c r="M478" s="36" t="n">
        <x:f>IF(C478&lt;-I478,1,0)</x:f>
        <x:v>0</x:v>
      </x:c>
      <x:c r="N478" s="34" t="n">
        <x:f>-F478</x:f>
        <x:v>-3.2742097956800618</x:v>
      </x:c>
      <x:c r="O478" s="34" t="n">
        <x:f>-H478</x:f>
        <x:v>-3.1069934771224483</x:v>
      </x:c>
      <x:c r="P478" s="34" t="n">
        <x:f>-G478</x:f>
        <x:v>-4.63077739717245</x:v>
      </x:c>
      <x:c r="Q478" s="34" t="n">
        <x:f>-I478</x:f>
        <x:v>-5.188369595547252</x:v>
      </x:c>
      <x:c r="R478" s="36" t="n">
        <x:f>YEAR(A478)</x:f>
        <x:v>2022</x:v>
      </x:c>
    </x:row>
    <x:row r="479">
      <x:c r="A479" s="30" t="n">
        <x:v>44880</x:v>
      </x:c>
      <x:c r="B479" s="38" t="n">
        <x:v>3991.73</x:v>
      </x:c>
      <x:c r="C479" s="34" t="n">
        <x:f>(B479/B478-1)*100</x:f>
        <x:v>0.8713121485880437</x:v>
      </x:c>
      <x:c r="D479" s="34" t="n">
        <x:f>Assumptions!$B$4*D478+(1-Assumptions!$B$4)*C478^2</x:f>
        <x:v>3.772566578787782</x:v>
      </x:c>
      <x:c r="E479" s="34" t="n">
        <x:f>SQRT(D479)</x:f>
        <x:v>1.942309599108181</x:v>
      </x:c>
      <x:c r="F479" s="34" t="n">
        <x:f>-Assumptions!$B$7*E479</x:f>
        <x:v>3.1948149887557524</x:v>
      </x:c>
      <x:c r="G479" s="34" t="n">
        <x:f>-Assumptions!$B$8*E479</x:f>
        <x:v>4.518487806614433</x:v>
      </x:c>
      <x:c r="H479" s="34" t="n">
        <x:f>-Assumptions!$B$9*E479</x:f>
        <x:v>3.031653421773311</x:v>
      </x:c>
      <x:c r="I479" s="34" t="n">
        <x:f>-Assumptions!$B$10*E479</x:f>
        <x:v>5.062559208310026</x:v>
      </x:c>
      <x:c r="J479" s="36" t="n">
        <x:f>IF(C479&lt;-F479,1,0)</x:f>
        <x:v>0</x:v>
      </x:c>
      <x:c r="K479" s="36" t="n">
        <x:f>IF(C479&lt;-G479,1,0)</x:f>
        <x:v>0</x:v>
      </x:c>
      <x:c r="L479" s="36" t="n">
        <x:f>IF(C479&lt;-H479,1,0)</x:f>
        <x:v>0</x:v>
      </x:c>
      <x:c r="M479" s="36" t="n">
        <x:f>IF(C479&lt;-I479,1,0)</x:f>
        <x:v>0</x:v>
      </x:c>
      <x:c r="N479" s="34" t="n">
        <x:f>-F479</x:f>
        <x:v>-3.1948149887557524</x:v>
      </x:c>
      <x:c r="O479" s="34" t="n">
        <x:f>-H479</x:f>
        <x:v>-3.031653421773311</x:v>
      </x:c>
      <x:c r="P479" s="34" t="n">
        <x:f>-G479</x:f>
        <x:v>-4.518487806614433</x:v>
      </x:c>
      <x:c r="Q479" s="34" t="n">
        <x:f>-I479</x:f>
        <x:v>-5.062559208310026</x:v>
      </x:c>
      <x:c r="R479" s="36" t="n">
        <x:f>YEAR(A479)</x:f>
        <x:v>2022</x:v>
      </x:c>
    </x:row>
    <x:row r="480">
      <x:c r="A480" s="30" t="n">
        <x:v>44881</x:v>
      </x:c>
      <x:c r="B480" s="38" t="n">
        <x:v>3958.79</x:v>
      </x:c>
      <x:c r="C480" s="34" t="n">
        <x:f>(B480/B479-1)*100</x:f>
        <x:v>-0.8252061136399536</x:v>
      </x:c>
      <x:c r="D480" s="34" t="n">
        <x:f>Assumptions!$B$4*D479+(1-Assumptions!$B$4)*C479^2</x:f>
        <x:v>3.5917636756771416</x:v>
      </x:c>
      <x:c r="E480" s="34" t="n">
        <x:f>SQRT(D480)</x:f>
        <x:v>1.8951948912122842</x:v>
      </x:c>
      <x:c r="F480" s="34" t="n">
        <x:f>-Assumptions!$B$7*E480</x:f>
        <x:v>3.117318190590428</x:v>
      </x:c>
      <x:c r="G480" s="34" t="n">
        <x:f>-Assumptions!$B$8*E480</x:f>
        <x:v>4.4088826060647595</x:v>
      </x:c>
      <x:c r="H480" s="34" t="n">
        <x:f>-Assumptions!$B$9*E480</x:f>
        <x:v>2.9581144424705115</x:v>
      </x:c>
      <x:c r="I480" s="34" t="n">
        <x:f>-Assumptions!$B$10*E480</x:f>
        <x:v>4.939756438651303</x:v>
      </x:c>
      <x:c r="J480" s="36" t="n">
        <x:f>IF(C480&lt;-F480,1,0)</x:f>
        <x:v>0</x:v>
      </x:c>
      <x:c r="K480" s="36" t="n">
        <x:f>IF(C480&lt;-G480,1,0)</x:f>
        <x:v>0</x:v>
      </x:c>
      <x:c r="L480" s="36" t="n">
        <x:f>IF(C480&lt;-H480,1,0)</x:f>
        <x:v>0</x:v>
      </x:c>
      <x:c r="M480" s="36" t="n">
        <x:f>IF(C480&lt;-I480,1,0)</x:f>
        <x:v>0</x:v>
      </x:c>
      <x:c r="N480" s="34" t="n">
        <x:f>-F480</x:f>
        <x:v>-3.117318190590428</x:v>
      </x:c>
      <x:c r="O480" s="34" t="n">
        <x:f>-H480</x:f>
        <x:v>-2.9581144424705115</x:v>
      </x:c>
      <x:c r="P480" s="34" t="n">
        <x:f>-G480</x:f>
        <x:v>-4.4088826060647595</x:v>
      </x:c>
      <x:c r="Q480" s="34" t="n">
        <x:f>-I480</x:f>
        <x:v>-4.939756438651303</x:v>
      </x:c>
      <x:c r="R480" s="36" t="n">
        <x:f>YEAR(A480)</x:f>
        <x:v>2022</x:v>
      </x:c>
    </x:row>
    <x:row r="481">
      <x:c r="A481" s="30" t="n">
        <x:v>44882</x:v>
      </x:c>
      <x:c r="B481" s="38" t="n">
        <x:v>3946.56</x:v>
      </x:c>
      <x:c r="C481" s="34" t="n">
        <x:f>(B481/B480-1)*100</x:f>
        <x:v>-0.3089327799655983</x:v>
      </x:c>
      <x:c r="D481" s="34" t="n">
        <x:f>Assumptions!$B$4*D480+(1-Assumptions!$B$4)*C480^2</x:f>
        <x:v>3.4171157629358384</x:v>
      </x:c>
      <x:c r="E481" s="34" t="n">
        <x:f>SQRT(D481)</x:f>
        <x:v>1.848544228017236</x:v>
      </x:c>
      <x:c r="F481" s="34" t="n">
        <x:f>-Assumptions!$B$7*E481</x:f>
        <x:v>3.040584678034361</x:v>
      </x:c>
      <x:c r="G481" s="34" t="n">
        <x:f>-Assumptions!$B$8*E481</x:f>
        <x:v>4.300356934918363</x:v>
      </x:c>
      <x:c r="H481" s="34" t="n">
        <x:f>-Assumptions!$B$9*E481</x:f>
        <x:v>2.885299767215753</x:v>
      </x:c>
      <x:c r="I481" s="34" t="n">
        <x:f>-Assumptions!$B$10*E481</x:f>
        <x:v>4.818163184599374</x:v>
      </x:c>
      <x:c r="J481" s="36" t="n">
        <x:f>IF(C481&lt;-F481,1,0)</x:f>
        <x:v>0</x:v>
      </x:c>
      <x:c r="K481" s="36" t="n">
        <x:f>IF(C481&lt;-G481,1,0)</x:f>
        <x:v>0</x:v>
      </x:c>
      <x:c r="L481" s="36" t="n">
        <x:f>IF(C481&lt;-H481,1,0)</x:f>
        <x:v>0</x:v>
      </x:c>
      <x:c r="M481" s="36" t="n">
        <x:f>IF(C481&lt;-I481,1,0)</x:f>
        <x:v>0</x:v>
      </x:c>
      <x:c r="N481" s="34" t="n">
        <x:f>-F481</x:f>
        <x:v>-3.040584678034361</x:v>
      </x:c>
      <x:c r="O481" s="34" t="n">
        <x:f>-H481</x:f>
        <x:v>-2.885299767215753</x:v>
      </x:c>
      <x:c r="P481" s="34" t="n">
        <x:f>-G481</x:f>
        <x:v>-4.300356934918363</x:v>
      </x:c>
      <x:c r="Q481" s="34" t="n">
        <x:f>-I481</x:f>
        <x:v>-4.818163184599374</x:v>
      </x:c>
      <x:c r="R481" s="36" t="n">
        <x:f>YEAR(A481)</x:f>
        <x:v>2022</x:v>
      </x:c>
    </x:row>
    <x:row r="482">
      <x:c r="A482" s="30" t="n">
        <x:v>44883</x:v>
      </x:c>
      <x:c r="B482" s="38" t="n">
        <x:v>3965.34</x:v>
      </x:c>
      <x:c r="C482" s="34" t="n">
        <x:f>(B482/B481-1)*100</x:f>
        <x:v>0.4758574556069206</x:v>
      </x:c>
      <x:c r="D482" s="34" t="n">
        <x:f>Assumptions!$B$4*D481+(1-Assumptions!$B$4)*C481^2</x:f>
        <x:v>3.2178151849119243</x:v>
      </x:c>
      <x:c r="E482" s="34" t="n">
        <x:f>SQRT(D482)</x:f>
        <x:v>1.793826966268465</x:v>
      </x:c>
      <x:c r="F482" s="34" t="n">
        <x:f>-Assumptions!$B$7*E482</x:f>
        <x:v>2.9505827915900418</x:v>
      </x:c>
      <x:c r="G482" s="34" t="n">
        <x:f>-Assumptions!$B$8*E482</x:f>
        <x:v>4.173065549375774</x:v>
      </x:c>
      <x:c r="H482" s="34" t="n">
        <x:f>-Assumptions!$B$9*E482</x:f>
        <x:v>2.799894343751392</x:v>
      </x:c>
      <x:c r="I482" s="34" t="n">
        <x:f>-Assumptions!$B$10*E482</x:f>
        <x:v>4.675544635297584</x:v>
      </x:c>
      <x:c r="J482" s="36" t="n">
        <x:f>IF(C482&lt;-F482,1,0)</x:f>
        <x:v>0</x:v>
      </x:c>
      <x:c r="K482" s="36" t="n">
        <x:f>IF(C482&lt;-G482,1,0)</x:f>
        <x:v>0</x:v>
      </x:c>
      <x:c r="L482" s="36" t="n">
        <x:f>IF(C482&lt;-H482,1,0)</x:f>
        <x:v>0</x:v>
      </x:c>
      <x:c r="M482" s="36" t="n">
        <x:f>IF(C482&lt;-I482,1,0)</x:f>
        <x:v>0</x:v>
      </x:c>
      <x:c r="N482" s="34" t="n">
        <x:f>-F482</x:f>
        <x:v>-2.9505827915900418</x:v>
      </x:c>
      <x:c r="O482" s="34" t="n">
        <x:f>-H482</x:f>
        <x:v>-2.799894343751392</x:v>
      </x:c>
      <x:c r="P482" s="34" t="n">
        <x:f>-G482</x:f>
        <x:v>-4.173065549375774</x:v>
      </x:c>
      <x:c r="Q482" s="34" t="n">
        <x:f>-I482</x:f>
        <x:v>-4.675544635297584</x:v>
      </x:c>
      <x:c r="R482" s="36" t="n">
        <x:f>YEAR(A482)</x:f>
        <x:v>2022</x:v>
      </x:c>
    </x:row>
    <x:row r="483">
      <x:c r="A483" s="30" t="n">
        <x:v>44886</x:v>
      </x:c>
      <x:c r="B483" s="38" t="n">
        <x:v>3949.94</x:v>
      </x:c>
      <x:c r="C483" s="34" t="n">
        <x:f>(B483/B482-1)*100</x:f>
        <x:v>-0.38836518432215916</x:v>
      </x:c>
      <x:c r="D483" s="34" t="n">
        <x:f>Assumptions!$B$4*D482+(1-Assumptions!$B$4)*C482^2</x:f>
        <x:v>3.0383326929006103</x:v>
      </x:c>
      <x:c r="E483" s="34" t="n">
        <x:f>SQRT(D483)</x:f>
        <x:v>1.7430813787372665</x:v>
      </x:c>
      <x:c r="F483" s="34" t="n">
        <x:f>-Assumptions!$B$7*E483</x:f>
        <x:v>2.867113727887567</x:v>
      </x:c>
      <x:c r="G483" s="34" t="n">
        <x:f>-Assumptions!$B$8*E483</x:f>
        <x:v>4.055013659705617</x:v>
      </x:c>
      <x:c r="H483" s="34" t="n">
        <x:f>-Assumptions!$B$9*E483</x:f>
        <x:v>2.7206881069344124</x:v>
      </x:c>
      <x:c r="I483" s="34" t="n">
        <x:f>-Assumptions!$B$10*E483</x:f>
        <x:v>4.543278110148798</x:v>
      </x:c>
      <x:c r="J483" s="36" t="n">
        <x:f>IF(C483&lt;-F483,1,0)</x:f>
        <x:v>0</x:v>
      </x:c>
      <x:c r="K483" s="36" t="n">
        <x:f>IF(C483&lt;-G483,1,0)</x:f>
        <x:v>0</x:v>
      </x:c>
      <x:c r="L483" s="36" t="n">
        <x:f>IF(C483&lt;-H483,1,0)</x:f>
        <x:v>0</x:v>
      </x:c>
      <x:c r="M483" s="36" t="n">
        <x:f>IF(C483&lt;-I483,1,0)</x:f>
        <x:v>0</x:v>
      </x:c>
      <x:c r="N483" s="34" t="n">
        <x:f>-F483</x:f>
        <x:v>-2.867113727887567</x:v>
      </x:c>
      <x:c r="O483" s="34" t="n">
        <x:f>-H483</x:f>
        <x:v>-2.7206881069344124</x:v>
      </x:c>
      <x:c r="P483" s="34" t="n">
        <x:f>-G483</x:f>
        <x:v>-4.055013659705617</x:v>
      </x:c>
      <x:c r="Q483" s="34" t="n">
        <x:f>-I483</x:f>
        <x:v>-4.543278110148798</x:v>
      </x:c>
      <x:c r="R483" s="36" t="n">
        <x:f>YEAR(A483)</x:f>
        <x:v>2022</x:v>
      </x:c>
    </x:row>
    <x:row r="484">
      <x:c r="A484" s="30" t="n">
        <x:v>44887</x:v>
      </x:c>
      <x:c r="B484" s="38" t="n">
        <x:v>4003.58</x:v>
      </x:c>
      <x:c r="C484" s="34" t="n">
        <x:f>(B484/B483-1)*100</x:f>
        <x:v>1.3579953113211918</x:v>
      </x:c>
      <x:c r="D484" s="34" t="n">
        <x:f>Assumptions!$B$4*D483+(1-Assumptions!$B$4)*C483^2</x:f>
        <x:v>2.8650823823101885</x:v>
      </x:c>
      <x:c r="E484" s="34" t="n">
        <x:f>SQRT(D484)</x:f>
        <x:v>1.692655423383681</x:v>
      </x:c>
      <x:c r="F484" s="34" t="n">
        <x:f>-Assumptions!$B$7*E484</x:f>
        <x:v>2.784170412331729</x:v>
      </x:c>
      <x:c r="G484" s="34" t="n">
        <x:f>-Assumptions!$B$8*E484</x:f>
        <x:v>3.9377053456723248</x:v>
      </x:c>
      <x:c r="H484" s="34" t="n">
        <x:f>-Assumptions!$B$9*E484</x:f>
        <x:v>2.6419807679169467</x:v>
      </x:c>
      <x:c r="I484" s="34" t="n">
        <x:f>-Assumptions!$B$10*E484</x:f>
        <x:v>4.411844694626195</x:v>
      </x:c>
      <x:c r="J484" s="36" t="n">
        <x:f>IF(C484&lt;-F484,1,0)</x:f>
        <x:v>0</x:v>
      </x:c>
      <x:c r="K484" s="36" t="n">
        <x:f>IF(C484&lt;-G484,1,0)</x:f>
        <x:v>0</x:v>
      </x:c>
      <x:c r="L484" s="36" t="n">
        <x:f>IF(C484&lt;-H484,1,0)</x:f>
        <x:v>0</x:v>
      </x:c>
      <x:c r="M484" s="36" t="n">
        <x:f>IF(C484&lt;-I484,1,0)</x:f>
        <x:v>0</x:v>
      </x:c>
      <x:c r="N484" s="34" t="n">
        <x:f>-F484</x:f>
        <x:v>-2.784170412331729</x:v>
      </x:c>
      <x:c r="O484" s="34" t="n">
        <x:f>-H484</x:f>
        <x:v>-2.6419807679169467</x:v>
      </x:c>
      <x:c r="P484" s="34" t="n">
        <x:f>-G484</x:f>
        <x:v>-3.9377053456723248</x:v>
      </x:c>
      <x:c r="Q484" s="34" t="n">
        <x:f>-I484</x:f>
        <x:v>-4.411844694626195</x:v>
      </x:c>
      <x:c r="R484" s="36" t="n">
        <x:f>YEAR(A484)</x:f>
        <x:v>2022</x:v>
      </x:c>
    </x:row>
    <x:row r="485">
      <x:c r="A485" s="30" t="n">
        <x:v>44888</x:v>
      </x:c>
      <x:c r="B485" s="38" t="n">
        <x:v>4027.26</x:v>
      </x:c>
      <x:c r="C485" s="34" t="n">
        <x:f>(B485/B484-1)*100</x:f>
        <x:v>0.5914706337827758</x:v>
      </x:c>
      <x:c r="D485" s="34" t="n">
        <x:f>Assumptions!$B$4*D484+(1-Assumptions!$B$4)*C484^2</x:f>
        <x:v>2.803826515305798</x:v>
      </x:c>
      <x:c r="E485" s="34" t="n">
        <x:f>SQRT(D485)</x:f>
        <x:v>1.6744630528338922</x:v>
      </x:c>
      <x:c r="F485" s="34" t="n">
        <x:f>-Assumptions!$B$7*E485</x:f>
        <x:v>2.754246625650063</x:v>
      </x:c>
      <x:c r="G485" s="34" t="n">
        <x:f>-Assumptions!$B$8*E485</x:f>
        <x:v>3.89538356312006</x:v>
      </x:c>
      <x:c r="H485" s="34" t="n">
        <x:f>-Assumptions!$B$9*E485</x:f>
        <x:v>2.6135852111773006</x:v>
      </x:c>
      <x:c r="I485" s="34" t="n">
        <x:f>-Assumptions!$B$10*E485</x:f>
        <x:v>4.364426943568326</x:v>
      </x:c>
      <x:c r="J485" s="36" t="n">
        <x:f>IF(C485&lt;-F485,1,0)</x:f>
        <x:v>0</x:v>
      </x:c>
      <x:c r="K485" s="36" t="n">
        <x:f>IF(C485&lt;-G485,1,0)</x:f>
        <x:v>0</x:v>
      </x:c>
      <x:c r="L485" s="36" t="n">
        <x:f>IF(C485&lt;-H485,1,0)</x:f>
        <x:v>0</x:v>
      </x:c>
      <x:c r="M485" s="36" t="n">
        <x:f>IF(C485&lt;-I485,1,0)</x:f>
        <x:v>0</x:v>
      </x:c>
      <x:c r="N485" s="34" t="n">
        <x:f>-F485</x:f>
        <x:v>-2.754246625650063</x:v>
      </x:c>
      <x:c r="O485" s="34" t="n">
        <x:f>-H485</x:f>
        <x:v>-2.6135852111773006</x:v>
      </x:c>
      <x:c r="P485" s="34" t="n">
        <x:f>-G485</x:f>
        <x:v>-3.89538356312006</x:v>
      </x:c>
      <x:c r="Q485" s="34" t="n">
        <x:f>-I485</x:f>
        <x:v>-4.364426943568326</x:v>
      </x:c>
      <x:c r="R485" s="36" t="n">
        <x:f>YEAR(A485)</x:f>
        <x:v>2022</x:v>
      </x:c>
    </x:row>
    <x:row r="486">
      <x:c r="A486" s="30" t="n">
        <x:v>44890</x:v>
      </x:c>
      <x:c r="B486" s="38" t="n">
        <x:v>4026.12</x:v>
      </x:c>
      <x:c r="C486" s="34" t="n">
        <x:f>(B486/B485-1)*100</x:f>
        <x:v>-0.02830708720074071</x:v>
      </x:c>
      <x:c r="D486" s="34" t="n">
        <x:f>Assumptions!$B$4*D485+(1-Assumptions!$B$4)*C485^2</x:f>
        <x:v>2.6565871750250936</x:v>
      </x:c>
      <x:c r="E486" s="34" t="n">
        <x:f>SQRT(D486)</x:f>
        <x:v>1.6299040385940191</x:v>
      </x:c>
      <x:c r="F486" s="34" t="n">
        <x:f>-Assumptions!$B$7*E486</x:f>
        <x:v>2.6809535694642257</x:v>
      </x:c>
      <x:c r="G486" s="34" t="n">
        <x:f>-Assumptions!$B$8*E486</x:f>
        <x:v>3.791723795073776</x:v>
      </x:c>
      <x:c r="H486" s="34" t="n">
        <x:f>-Assumptions!$B$9*E486</x:f>
        <x:v>2.544035285638559</x:v>
      </x:c>
      <x:c r="I486" s="34" t="n">
        <x:f>-Assumptions!$B$10*E486</x:f>
        <x:v>4.248285496315599</x:v>
      </x:c>
      <x:c r="J486" s="36" t="n">
        <x:f>IF(C486&lt;-F486,1,0)</x:f>
        <x:v>0</x:v>
      </x:c>
      <x:c r="K486" s="36" t="n">
        <x:f>IF(C486&lt;-G486,1,0)</x:f>
        <x:v>0</x:v>
      </x:c>
      <x:c r="L486" s="36" t="n">
        <x:f>IF(C486&lt;-H486,1,0)</x:f>
        <x:v>0</x:v>
      </x:c>
      <x:c r="M486" s="36" t="n">
        <x:f>IF(C486&lt;-I486,1,0)</x:f>
        <x:v>0</x:v>
      </x:c>
      <x:c r="N486" s="34" t="n">
        <x:f>-F486</x:f>
        <x:v>-2.6809535694642257</x:v>
      </x:c>
      <x:c r="O486" s="34" t="n">
        <x:f>-H486</x:f>
        <x:v>-2.544035285638559</x:v>
      </x:c>
      <x:c r="P486" s="34" t="n">
        <x:f>-G486</x:f>
        <x:v>-3.791723795073776</x:v>
      </x:c>
      <x:c r="Q486" s="34" t="n">
        <x:f>-I486</x:f>
        <x:v>-4.248285496315599</x:v>
      </x:c>
      <x:c r="R486" s="36" t="n">
        <x:f>YEAR(A486)</x:f>
        <x:v>2022</x:v>
      </x:c>
    </x:row>
    <x:row r="487">
      <x:c r="A487" s="30" t="n">
        <x:v>44893</x:v>
      </x:c>
      <x:c r="B487" s="38" t="n">
        <x:v>3963.94</x:v>
      </x:c>
      <x:c r="C487" s="34" t="n">
        <x:f>(B487/B486-1)*100</x:f>
        <x:v>-1.544414970244301</x:v>
      </x:c>
      <x:c r="D487" s="34" t="n">
        <x:f>Assumptions!$B$4*D486+(1-Assumptions!$B$4)*C486^2</x:f>
        <x:v>2.497240021994735</x:v>
      </x:c>
      <x:c r="E487" s="34" t="n">
        <x:f>SQRT(D487)</x:f>
        <x:v>1.5802658073864457</x:v>
      </x:c>
      <x:c r="F487" s="34" t="n">
        <x:f>-Assumptions!$B$7*E487</x:f>
        <x:v>2.599305944826993</x:v>
      </x:c>
      <x:c r="G487" s="34" t="n">
        <x:f>-Assumptions!$B$8*E487</x:f>
        <x:v>3.67624800143289</x:v>
      </x:c>
      <x:c r="H487" s="34" t="n">
        <x:f>-Assumptions!$B$9*E487</x:f>
        <x:v>2.4665574656451295</x:v>
      </x:c>
      <x:c r="I487" s="34" t="n">
        <x:f>-Assumptions!$B$10*E487</x:f>
        <x:v>4.118905255081398</x:v>
      </x:c>
      <x:c r="J487" s="36" t="n">
        <x:f>IF(C487&lt;-F487,1,0)</x:f>
        <x:v>0</x:v>
      </x:c>
      <x:c r="K487" s="36" t="n">
        <x:f>IF(C487&lt;-G487,1,0)</x:f>
        <x:v>0</x:v>
      </x:c>
      <x:c r="L487" s="36" t="n">
        <x:f>IF(C487&lt;-H487,1,0)</x:f>
        <x:v>0</x:v>
      </x:c>
      <x:c r="M487" s="36" t="n">
        <x:f>IF(C487&lt;-I487,1,0)</x:f>
        <x:v>0</x:v>
      </x:c>
      <x:c r="N487" s="34" t="n">
        <x:f>-F487</x:f>
        <x:v>-2.599305944826993</x:v>
      </x:c>
      <x:c r="O487" s="34" t="n">
        <x:f>-H487</x:f>
        <x:v>-2.4665574656451295</x:v>
      </x:c>
      <x:c r="P487" s="34" t="n">
        <x:f>-G487</x:f>
        <x:v>-3.67624800143289</x:v>
      </x:c>
      <x:c r="Q487" s="34" t="n">
        <x:f>-I487</x:f>
        <x:v>-4.118905255081398</x:v>
      </x:c>
      <x:c r="R487" s="36" t="n">
        <x:f>YEAR(A487)</x:f>
        <x:v>2022</x:v>
      </x:c>
    </x:row>
    <x:row r="488">
      <x:c r="A488" s="30" t="n">
        <x:v>44894</x:v>
      </x:c>
      <x:c r="B488" s="38" t="n">
        <x:v>3957.63</x:v>
      </x:c>
      <x:c r="C488" s="34" t="n">
        <x:f>(B488/B487-1)*100</x:f>
        <x:v>-0.15918505325509535</x:v>
      </x:c>
      <x:c r="D488" s="34" t="n">
        <x:f>Assumptions!$B$4*D487+(1-Assumptions!$B$4)*C487^2</x:f>
        <x:v>2.490518676693933</x:v>
      </x:c>
      <x:c r="E488" s="34" t="n">
        <x:f>SQRT(D488)</x:f>
        <x:v>1.5781377242477708</x:v>
      </x:c>
      <x:c r="F488" s="34" t="n">
        <x:f>-Assumptions!$B$7*E488</x:f>
        <x:v>2.5958055595578893</x:v>
      </x:c>
      <x:c r="G488" s="34" t="n">
        <x:f>-Assumptions!$B$8*E488</x:f>
        <x:v>3.6712973397474515</x:v>
      </x:c>
      <x:c r="H488" s="34" t="n">
        <x:f>-Assumptions!$B$9*E488</x:f>
        <x:v>2.463235847643476</x:v>
      </x:c>
      <x:c r="I488" s="34" t="n">
        <x:f>-Assumptions!$B$10*E488</x:f>
        <x:v>4.113358483910265</x:v>
      </x:c>
      <x:c r="J488" s="36" t="n">
        <x:f>IF(C488&lt;-F488,1,0)</x:f>
        <x:v>0</x:v>
      </x:c>
      <x:c r="K488" s="36" t="n">
        <x:f>IF(C488&lt;-G488,1,0)</x:f>
        <x:v>0</x:v>
      </x:c>
      <x:c r="L488" s="36" t="n">
        <x:f>IF(C488&lt;-H488,1,0)</x:f>
        <x:v>0</x:v>
      </x:c>
      <x:c r="M488" s="36" t="n">
        <x:f>IF(C488&lt;-I488,1,0)</x:f>
        <x:v>0</x:v>
      </x:c>
      <x:c r="N488" s="34" t="n">
        <x:f>-F488</x:f>
        <x:v>-2.5958055595578893</x:v>
      </x:c>
      <x:c r="O488" s="34" t="n">
        <x:f>-H488</x:f>
        <x:v>-2.463235847643476</x:v>
      </x:c>
      <x:c r="P488" s="34" t="n">
        <x:f>-G488</x:f>
        <x:v>-3.6712973397474515</x:v>
      </x:c>
      <x:c r="Q488" s="34" t="n">
        <x:f>-I488</x:f>
        <x:v>-4.113358483910265</x:v>
      </x:c>
      <x:c r="R488" s="36" t="n">
        <x:f>YEAR(A488)</x:f>
        <x:v>2022</x:v>
      </x:c>
    </x:row>
    <x:row r="489">
      <x:c r="A489" s="30" t="n">
        <x:v>44895</x:v>
      </x:c>
      <x:c r="B489" s="38" t="n">
        <x:v>4080.11</x:v>
      </x:c>
      <x:c r="C489" s="34" t="n">
        <x:f>(B489/B488-1)*100</x:f>
        <x:v>3.0947814727501077</x:v>
      </x:c>
      <x:c r="D489" s="34" t="n">
        <x:f>Assumptions!$B$4*D488+(1-Assumptions!$B$4)*C488^2</x:f>
        <x:v>2.342607948963087</x:v>
      </x:c>
      <x:c r="E489" s="34" t="n">
        <x:f>SQRT(D489)</x:f>
        <x:v>1.530558051484192</x:v>
      </x:c>
      <x:c r="F489" s="34" t="n">
        <x:f>-Assumptions!$B$7*E489</x:f>
        <x:v>2.5175439622435527</x:v>
      </x:c>
      <x:c r="G489" s="34" t="n">
        <x:f>-Assumptions!$B$8*E489</x:f>
        <x:v>3.5606104691663414</x:v>
      </x:c>
      <x:c r="H489" s="34" t="n">
        <x:f>-Assumptions!$B$9*E489</x:f>
        <x:v>2.388971128050478</x:v>
      </x:c>
      <x:c r="I489" s="34" t="n">
        <x:f>-Assumptions!$B$10*E489</x:f>
        <x:v>3.9893438002634185</x:v>
      </x:c>
      <x:c r="J489" s="36" t="n">
        <x:f>IF(C489&lt;-F489,1,0)</x:f>
        <x:v>0</x:v>
      </x:c>
      <x:c r="K489" s="36" t="n">
        <x:f>IF(C489&lt;-G489,1,0)</x:f>
        <x:v>0</x:v>
      </x:c>
      <x:c r="L489" s="36" t="n">
        <x:f>IF(C489&lt;-H489,1,0)</x:f>
        <x:v>0</x:v>
      </x:c>
      <x:c r="M489" s="36" t="n">
        <x:f>IF(C489&lt;-I489,1,0)</x:f>
        <x:v>0</x:v>
      </x:c>
      <x:c r="N489" s="34" t="n">
        <x:f>-F489</x:f>
        <x:v>-2.5175439622435527</x:v>
      </x:c>
      <x:c r="O489" s="34" t="n">
        <x:f>-H489</x:f>
        <x:v>-2.388971128050478</x:v>
      </x:c>
      <x:c r="P489" s="34" t="n">
        <x:f>-G489</x:f>
        <x:v>-3.5606104691663414</x:v>
      </x:c>
      <x:c r="Q489" s="34" t="n">
        <x:f>-I489</x:f>
        <x:v>-3.9893438002634185</x:v>
      </x:c>
      <x:c r="R489" s="36" t="n">
        <x:f>YEAR(A489)</x:f>
        <x:v>2022</x:v>
      </x:c>
    </x:row>
    <x:row r="490">
      <x:c r="A490" s="30" t="n">
        <x:v>44896</x:v>
      </x:c>
      <x:c r="B490" s="38" t="n">
        <x:v>4076.57</x:v>
      </x:c>
      <x:c r="C490" s="34" t="n">
        <x:f>(B490/B489-1)*100</x:f>
        <x:v>-0.08676236670089876</x:v>
      </x:c>
      <x:c r="D490" s="34" t="n">
        <x:f>Assumptions!$B$4*D489+(1-Assumptions!$B$4)*C489^2</x:f>
        <x:v>2.776711813869942</x:v>
      </x:c>
      <x:c r="E490" s="34" t="n">
        <x:f>SQRT(D490)</x:f>
        <x:v>1.6663468468088936</x:v>
      </x:c>
      <x:c r="F490" s="34" t="n">
        <x:f>-Assumptions!$B$7*E490</x:f>
        <x:v>2.740896654732759</x:v>
      </x:c>
      <x:c r="G490" s="34" t="n">
        <x:f>-Assumptions!$B$8*E490</x:f>
        <x:v>3.876502444488527</x:v>
      </x:c>
      <x:c r="H490" s="34" t="n">
        <x:f>-Assumptions!$B$9*E490</x:f>
        <x:v>2.600917033159336</x:v>
      </x:c>
      <x:c r="I490" s="34" t="n">
        <x:f>-Assumptions!$B$10*E490</x:f>
        <x:v>4.343272348251872</x:v>
      </x:c>
      <x:c r="J490" s="36" t="n">
        <x:f>IF(C490&lt;-F490,1,0)</x:f>
        <x:v>0</x:v>
      </x:c>
      <x:c r="K490" s="36" t="n">
        <x:f>IF(C490&lt;-G490,1,0)</x:f>
        <x:v>0</x:v>
      </x:c>
      <x:c r="L490" s="36" t="n">
        <x:f>IF(C490&lt;-H490,1,0)</x:f>
        <x:v>0</x:v>
      </x:c>
      <x:c r="M490" s="36" t="n">
        <x:f>IF(C490&lt;-I490,1,0)</x:f>
        <x:v>0</x:v>
      </x:c>
      <x:c r="N490" s="34" t="n">
        <x:f>-F490</x:f>
        <x:v>-2.740896654732759</x:v>
      </x:c>
      <x:c r="O490" s="34" t="n">
        <x:f>-H490</x:f>
        <x:v>-2.600917033159336</x:v>
      </x:c>
      <x:c r="P490" s="34" t="n">
        <x:f>-G490</x:f>
        <x:v>-3.876502444488527</x:v>
      </x:c>
      <x:c r="Q490" s="34" t="n">
        <x:f>-I490</x:f>
        <x:v>-4.343272348251872</x:v>
      </x:c>
      <x:c r="R490" s="36" t="n">
        <x:f>YEAR(A490)</x:f>
        <x:v>2022</x:v>
      </x:c>
    </x:row>
    <x:row r="491">
      <x:c r="A491" s="30" t="n">
        <x:v>44897</x:v>
      </x:c>
      <x:c r="B491" s="38" t="n">
        <x:v>4071.7</x:v>
      </x:c>
      <x:c r="C491" s="34" t="n">
        <x:f>(B491/B490-1)*100</x:f>
        <x:v>-0.11946317615054713</x:v>
      </x:c>
      <x:c r="D491" s="34" t="n">
        <x:f>Assumptions!$B$4*D490+(1-Assumptions!$B$4)*C490^2</x:f>
        <x:v>2.6105607675342775</x:v>
      </x:c>
      <x:c r="E491" s="34" t="n">
        <x:f>SQRT(D491)</x:f>
        <x:v>1.615722986014087</x:v>
      </x:c>
      <x:c r="F491" s="34" t="n">
        <x:f>-Assumptions!$B$7*E491</x:f>
        <x:v>2.657627813694135</x:v>
      </x:c>
      <x:c r="G491" s="34" t="n">
        <x:f>-Assumptions!$B$8*E491</x:f>
        <x:v>3.7587337335527895</x:v>
      </x:c>
      <x:c r="H491" s="34" t="n">
        <x:f>-Assumptions!$B$9*E491</x:f>
        <x:v>2.5219007934865156</x:v>
      </x:c>
      <x:c r="I491" s="34" t="n">
        <x:f>-Assumptions!$B$10*E491</x:f>
        <x:v>4.211323099406771</x:v>
      </x:c>
      <x:c r="J491" s="36" t="n">
        <x:f>IF(C491&lt;-F491,1,0)</x:f>
        <x:v>0</x:v>
      </x:c>
      <x:c r="K491" s="36" t="n">
        <x:f>IF(C491&lt;-G491,1,0)</x:f>
        <x:v>0</x:v>
      </x:c>
      <x:c r="L491" s="36" t="n">
        <x:f>IF(C491&lt;-H491,1,0)</x:f>
        <x:v>0</x:v>
      </x:c>
      <x:c r="M491" s="36" t="n">
        <x:f>IF(C491&lt;-I491,1,0)</x:f>
        <x:v>0</x:v>
      </x:c>
      <x:c r="N491" s="34" t="n">
        <x:f>-F491</x:f>
        <x:v>-2.657627813694135</x:v>
      </x:c>
      <x:c r="O491" s="34" t="n">
        <x:f>-H491</x:f>
        <x:v>-2.5219007934865156</x:v>
      </x:c>
      <x:c r="P491" s="34" t="n">
        <x:f>-G491</x:f>
        <x:v>-3.7587337335527895</x:v>
      </x:c>
      <x:c r="Q491" s="34" t="n">
        <x:f>-I491</x:f>
        <x:v>-4.211323099406771</x:v>
      </x:c>
      <x:c r="R491" s="36" t="n">
        <x:f>YEAR(A491)</x:f>
        <x:v>2022</x:v>
      </x:c>
    </x:row>
    <x:row r="492">
      <x:c r="A492" s="30" t="n">
        <x:v>44900</x:v>
      </x:c>
      <x:c r="B492" s="38" t="n">
        <x:v>3998.84</x:v>
      </x:c>
      <x:c r="C492" s="34" t="n">
        <x:f>(B492/B491-1)*100</x:f>
        <x:v>-1.7894245646781326</x:v>
      </x:c>
      <x:c r="D492" s="34" t="n">
        <x:f>Assumptions!$B$4*D491+(1-Assumptions!$B$4)*C491^2</x:f>
        <x:v>2.454783408509579</x:v>
      </x:c>
      <x:c r="E492" s="34" t="n">
        <x:f>SQRT(D492)</x:f>
        <x:v>1.5667748429527386</x:v>
      </x:c>
      <x:c r="F492" s="34" t="n">
        <x:f>-Assumptions!$B$7*E492</x:f>
        <x:v>2.5771152830471364</x:v>
      </x:c>
      <x:c r="G492" s="34" t="n">
        <x:f>-Assumptions!$B$8*E492</x:f>
        <x:v>3.644863325003775</x:v>
      </x:c>
      <x:c r="H492" s="34" t="n">
        <x:f>-Assumptions!$B$9*E492</x:f>
        <x:v>2.445500097392792</x:v>
      </x:c>
      <x:c r="I492" s="34" t="n">
        <x:f>-Assumptions!$B$10*E492</x:f>
        <x:v>4.083741547784576</x:v>
      </x:c>
      <x:c r="J492" s="36" t="n">
        <x:f>IF(C492&lt;-F492,1,0)</x:f>
        <x:v>0</x:v>
      </x:c>
      <x:c r="K492" s="36" t="n">
        <x:f>IF(C492&lt;-G492,1,0)</x:f>
        <x:v>0</x:v>
      </x:c>
      <x:c r="L492" s="36" t="n">
        <x:f>IF(C492&lt;-H492,1,0)</x:f>
        <x:v>0</x:v>
      </x:c>
      <x:c r="M492" s="36" t="n">
        <x:f>IF(C492&lt;-I492,1,0)</x:f>
        <x:v>0</x:v>
      </x:c>
      <x:c r="N492" s="34" t="n">
        <x:f>-F492</x:f>
        <x:v>-2.5771152830471364</x:v>
      </x:c>
      <x:c r="O492" s="34" t="n">
        <x:f>-H492</x:f>
        <x:v>-2.445500097392792</x:v>
      </x:c>
      <x:c r="P492" s="34" t="n">
        <x:f>-G492</x:f>
        <x:v>-3.644863325003775</x:v>
      </x:c>
      <x:c r="Q492" s="34" t="n">
        <x:f>-I492</x:f>
        <x:v>-4.083741547784576</x:v>
      </x:c>
      <x:c r="R492" s="36" t="n">
        <x:f>YEAR(A492)</x:f>
        <x:v>2022</x:v>
      </x:c>
    </x:row>
    <x:row r="493">
      <x:c r="A493" s="30" t="n">
        <x:v>44901</x:v>
      </x:c>
      <x:c r="B493" s="38" t="n">
        <x:v>3941.26</x:v>
      </x:c>
      <x:c r="C493" s="34" t="n">
        <x:f>(B493/B492-1)*100</x:f>
        <x:v>-1.4399175760970717</x:v>
      </x:c>
      <x:c r="D493" s="34" t="n">
        <x:f>Assumptions!$B$4*D492+(1-Assumptions!$B$4)*C492^2</x:f>
        <x:v>2.499618820359416</x:v>
      </x:c>
      <x:c r="E493" s="34" t="n">
        <x:f>SQRT(D493)</x:f>
        <x:v>1.5810182859029227</x:v>
      </x:c>
      <x:c r="F493" s="34" t="n">
        <x:f>-Assumptions!$B$7*E493</x:f>
        <x:v>2.600543661844023</x:v>
      </x:c>
      <x:c r="G493" s="34" t="n">
        <x:f>-Assumptions!$B$8*E493</x:f>
        <x:v>3.6779985282299577</x:v>
      </x:c>
      <x:c r="H493" s="34" t="n">
        <x:f>-Assumptions!$B$9*E493</x:f>
        <x:v>2.4677319715376687</x:v>
      </x:c>
      <x:c r="I493" s="34" t="n">
        <x:f>-Assumptions!$B$10*E493</x:f>
        <x:v>4.120866562920475</x:v>
      </x:c>
      <x:c r="J493" s="36" t="n">
        <x:f>IF(C493&lt;-F493,1,0)</x:f>
        <x:v>0</x:v>
      </x:c>
      <x:c r="K493" s="36" t="n">
        <x:f>IF(C493&lt;-G493,1,0)</x:f>
        <x:v>0</x:v>
      </x:c>
      <x:c r="L493" s="36" t="n">
        <x:f>IF(C493&lt;-H493,1,0)</x:f>
        <x:v>0</x:v>
      </x:c>
      <x:c r="M493" s="36" t="n">
        <x:f>IF(C493&lt;-I493,1,0)</x:f>
        <x:v>0</x:v>
      </x:c>
      <x:c r="N493" s="34" t="n">
        <x:f>-F493</x:f>
        <x:v>-2.600543661844023</x:v>
      </x:c>
      <x:c r="O493" s="34" t="n">
        <x:f>-H493</x:f>
        <x:v>-2.4677319715376687</x:v>
      </x:c>
      <x:c r="P493" s="34" t="n">
        <x:f>-G493</x:f>
        <x:v>-3.6779985282299577</x:v>
      </x:c>
      <x:c r="Q493" s="34" t="n">
        <x:f>-I493</x:f>
        <x:v>-4.120866562920475</x:v>
      </x:c>
      <x:c r="R493" s="36" t="n">
        <x:f>YEAR(A493)</x:f>
        <x:v>2022</x:v>
      </x:c>
    </x:row>
    <x:row r="494">
      <x:c r="A494" s="30" t="n">
        <x:v>44902</x:v>
      </x:c>
      <x:c r="B494" s="38" t="n">
        <x:v>3933.92</x:v>
      </x:c>
      <x:c r="C494" s="34" t="n">
        <x:f>(B494/B493-1)*100</x:f>
        <x:v>-0.1862348589029894</x:v>
      </x:c>
      <x:c r="D494" s="34" t="n">
        <x:f>Assumptions!$B$4*D493+(1-Assumptions!$B$4)*C493^2</x:f>
        <x:v>2.474043448695047</x:v>
      </x:c>
      <x:c r="E494" s="34" t="n">
        <x:f>SQRT(D494)</x:f>
        <x:v>1.572909230914183</x:v>
      </x:c>
      <x:c r="F494" s="34" t="n">
        <x:f>-Assumptions!$B$7*E494</x:f>
        <x:v>2.587205453334646</x:v>
      </x:c>
      <x:c r="G494" s="34" t="n">
        <x:f>-Assumptions!$B$8*E494</x:f>
        <x:v>3.659134045396423</x:v>
      </x:c>
      <x:c r="H494" s="34" t="n">
        <x:f>-Assumptions!$B$9*E494</x:f>
        <x:v>2.455074955212749</x:v>
      </x:c>
      <x:c r="I494" s="34" t="n">
        <x:f>-Assumptions!$B$10*E494</x:f>
        <x:v>4.099730606519504</x:v>
      </x:c>
      <x:c r="J494" s="36" t="n">
        <x:f>IF(C494&lt;-F494,1,0)</x:f>
        <x:v>0</x:v>
      </x:c>
      <x:c r="K494" s="36" t="n">
        <x:f>IF(C494&lt;-G494,1,0)</x:f>
        <x:v>0</x:v>
      </x:c>
      <x:c r="L494" s="36" t="n">
        <x:f>IF(C494&lt;-H494,1,0)</x:f>
        <x:v>0</x:v>
      </x:c>
      <x:c r="M494" s="36" t="n">
        <x:f>IF(C494&lt;-I494,1,0)</x:f>
        <x:v>0</x:v>
      </x:c>
      <x:c r="N494" s="34" t="n">
        <x:f>-F494</x:f>
        <x:v>-2.587205453334646</x:v>
      </x:c>
      <x:c r="O494" s="34" t="n">
        <x:f>-H494</x:f>
        <x:v>-2.455074955212749</x:v>
      </x:c>
      <x:c r="P494" s="34" t="n">
        <x:f>-G494</x:f>
        <x:v>-3.659134045396423</x:v>
      </x:c>
      <x:c r="Q494" s="34" t="n">
        <x:f>-I494</x:f>
        <x:v>-4.099730606519504</x:v>
      </x:c>
      <x:c r="R494" s="36" t="n">
        <x:f>YEAR(A494)</x:f>
        <x:v>2022</x:v>
      </x:c>
    </x:row>
    <x:row r="495">
      <x:c r="A495" s="30" t="n">
        <x:v>44903</x:v>
      </x:c>
      <x:c r="B495" s="38" t="n">
        <x:v>3963.51</x:v>
      </x:c>
      <x:c r="C495" s="34" t="n">
        <x:f>(B495/B494-1)*100</x:f>
        <x:v>0.7521759466384781</x:v>
      </x:c>
      <x:c r="D495" s="34" t="n">
        <x:f>Assumptions!$B$4*D494+(1-Assumptions!$B$4)*C494^2</x:f>
        <x:v>2.327681847133581</x:v>
      </x:c>
      <x:c r="E495" s="34" t="n">
        <x:f>SQRT(D495)</x:f>
        <x:v>1.5256742270660475</x:v>
      </x:c>
      <x:c r="F495" s="34" t="n">
        <x:f>-Assumptions!$B$7*E495</x:f>
        <x:v>2.5095107859359733</x:v>
      </x:c>
      <x:c r="G495" s="34" t="n">
        <x:f>-Assumptions!$B$8*E495</x:f>
        <x:v>3.549248994614002</x:v>
      </x:c>
      <x:c r="H495" s="34" t="n">
        <x:f>-Assumptions!$B$9*E495</x:f>
        <x:v>2.3813482120048555</x:v>
      </x:c>
      <x:c r="I495" s="34" t="n">
        <x:f>-Assumptions!$B$10*E495</x:f>
        <x:v>3.9766142898438646</x:v>
      </x:c>
      <x:c r="J495" s="36" t="n">
        <x:f>IF(C495&lt;-F495,1,0)</x:f>
        <x:v>0</x:v>
      </x:c>
      <x:c r="K495" s="36" t="n">
        <x:f>IF(C495&lt;-G495,1,0)</x:f>
        <x:v>0</x:v>
      </x:c>
      <x:c r="L495" s="36" t="n">
        <x:f>IF(C495&lt;-H495,1,0)</x:f>
        <x:v>0</x:v>
      </x:c>
      <x:c r="M495" s="36" t="n">
        <x:f>IF(C495&lt;-I495,1,0)</x:f>
        <x:v>0</x:v>
      </x:c>
      <x:c r="N495" s="34" t="n">
        <x:f>-F495</x:f>
        <x:v>-2.5095107859359733</x:v>
      </x:c>
      <x:c r="O495" s="34" t="n">
        <x:f>-H495</x:f>
        <x:v>-2.3813482120048555</x:v>
      </x:c>
      <x:c r="P495" s="34" t="n">
        <x:f>-G495</x:f>
        <x:v>-3.549248994614002</x:v>
      </x:c>
      <x:c r="Q495" s="34" t="n">
        <x:f>-I495</x:f>
        <x:v>-3.9766142898438646</x:v>
      </x:c>
      <x:c r="R495" s="36" t="n">
        <x:f>YEAR(A495)</x:f>
        <x:v>2022</x:v>
      </x:c>
    </x:row>
    <x:row r="496">
      <x:c r="A496" s="30" t="n">
        <x:v>44904</x:v>
      </x:c>
      <x:c r="B496" s="38" t="n">
        <x:v>3934.38</x:v>
      </x:c>
      <x:c r="C496" s="34" t="n">
        <x:f>(B496/B495-1)*100</x:f>
        <x:v>-0.7349546235533633</x:v>
      </x:c>
      <x:c r="D496" s="34" t="n">
        <x:f>Assumptions!$B$4*D495+(1-Assumptions!$B$4)*C495^2</x:f>
        <x:v>2.2219670555876556</x:v>
      </x:c>
      <x:c r="E496" s="34" t="n">
        <x:f>SQRT(D496)</x:f>
        <x:v>1.4906263970518083</x:v>
      </x:c>
      <x:c r="F496" s="34" t="n">
        <x:f>-Assumptions!$B$7*E496</x:f>
        <x:v>2.4518622356202733</x:v>
      </x:c>
      <x:c r="G496" s="34" t="n">
        <x:f>-Assumptions!$B$8*E496</x:f>
        <x:v>3.467715549770632</x:v>
      </x:c>
      <x:c r="H496" s="34" t="n">
        <x:f>-Assumptions!$B$9*E496</x:f>
        <x:v>2.32664381583795</x:v>
      </x:c>
      <x:c r="I496" s="34" t="n">
        <x:f>-Assumptions!$B$10*E496</x:f>
        <x:v>3.8852633977660314</x:v>
      </x:c>
      <x:c r="J496" s="36" t="n">
        <x:f>IF(C496&lt;-F496,1,0)</x:f>
        <x:v>0</x:v>
      </x:c>
      <x:c r="K496" s="36" t="n">
        <x:f>IF(C496&lt;-G496,1,0)</x:f>
        <x:v>0</x:v>
      </x:c>
      <x:c r="L496" s="36" t="n">
        <x:f>IF(C496&lt;-H496,1,0)</x:f>
        <x:v>0</x:v>
      </x:c>
      <x:c r="M496" s="36" t="n">
        <x:f>IF(C496&lt;-I496,1,0)</x:f>
        <x:v>0</x:v>
      </x:c>
      <x:c r="N496" s="34" t="n">
        <x:f>-F496</x:f>
        <x:v>-2.4518622356202733</x:v>
      </x:c>
      <x:c r="O496" s="34" t="n">
        <x:f>-H496</x:f>
        <x:v>-2.32664381583795</x:v>
      </x:c>
      <x:c r="P496" s="34" t="n">
        <x:f>-G496</x:f>
        <x:v>-3.467715549770632</x:v>
      </x:c>
      <x:c r="Q496" s="34" t="n">
        <x:f>-I496</x:f>
        <x:v>-3.8852633977660314</x:v>
      </x:c>
      <x:c r="R496" s="36" t="n">
        <x:f>YEAR(A496)</x:f>
        <x:v>2022</x:v>
      </x:c>
    </x:row>
    <x:row r="497">
      <x:c r="A497" s="30" t="n">
        <x:v>44907</x:v>
      </x:c>
      <x:c r="B497" s="38" t="n">
        <x:v>3990.56</x:v>
      </x:c>
      <x:c r="C497" s="34" t="n">
        <x:f>(B497/B496-1)*100</x:f>
        <x:v>1.4279251114533986</x:v>
      </x:c>
      <x:c r="D497" s="34" t="n">
        <x:f>Assumptions!$B$4*D496+(1-Assumptions!$B$4)*C496^2</x:f>
        <x:v>2.121058530173344</x:v>
      </x:c>
      <x:c r="E497" s="34" t="n">
        <x:f>SQRT(D497)</x:f>
        <x:v>1.456385433246757</x:v>
      </x:c>
      <x:c r="F497" s="34" t="n">
        <x:f>-Assumptions!$B$7*E497</x:f>
        <x:v>2.3955408621152205</x:v>
      </x:c>
      <x:c r="G497" s="34" t="n">
        <x:f>-Assumptions!$B$8*E497</x:f>
        <x:v>3.388059156417641</x:v>
      </x:c>
      <x:c r="H497" s="34" t="n">
        <x:f>-Assumptions!$B$9*E497</x:f>
        <x:v>2.2731988165793027</x:v>
      </x:c>
      <x:c r="I497" s="34" t="n">
        <x:f>-Assumptions!$B$10*E497</x:f>
        <x:v>3.7960155730668865</x:v>
      </x:c>
      <x:c r="J497" s="36" t="n">
        <x:f>IF(C497&lt;-F497,1,0)</x:f>
        <x:v>0</x:v>
      </x:c>
      <x:c r="K497" s="36" t="n">
        <x:f>IF(C497&lt;-G497,1,0)</x:f>
        <x:v>0</x:v>
      </x:c>
      <x:c r="L497" s="36" t="n">
        <x:f>IF(C497&lt;-H497,1,0)</x:f>
        <x:v>0</x:v>
      </x:c>
      <x:c r="M497" s="36" t="n">
        <x:f>IF(C497&lt;-I497,1,0)</x:f>
        <x:v>0</x:v>
      </x:c>
      <x:c r="N497" s="34" t="n">
        <x:f>-F497</x:f>
        <x:v>-2.3955408621152205</x:v>
      </x:c>
      <x:c r="O497" s="34" t="n">
        <x:f>-H497</x:f>
        <x:v>-2.2731988165793027</x:v>
      </x:c>
      <x:c r="P497" s="34" t="n">
        <x:f>-G497</x:f>
        <x:v>-3.388059156417641</x:v>
      </x:c>
      <x:c r="Q497" s="34" t="n">
        <x:f>-I497</x:f>
        <x:v>-3.7960155730668865</x:v>
      </x:c>
      <x:c r="R497" s="36" t="n">
        <x:f>YEAR(A497)</x:f>
        <x:v>2022</x:v>
      </x:c>
    </x:row>
    <x:row r="498">
      <x:c r="A498" s="30" t="n">
        <x:v>44908</x:v>
      </x:c>
      <x:c r="B498" s="38" t="n">
        <x:v>4019.65</x:v>
      </x:c>
      <x:c r="C498" s="34" t="n">
        <x:f>(B498/B497-1)*100</x:f>
        <x:v>0.7289703700733785</x:v>
      </x:c>
      <x:c r="D498" s="34" t="n">
        <x:f>Assumptions!$B$4*D497+(1-Assumptions!$B$4)*C497^2</x:f>
        <x:v>2.1161332257980954</x:v>
      </x:c>
      <x:c r="E498" s="34" t="n">
        <x:f>SQRT(D498)</x:f>
        <x:v>1.4546935161050576</x:v>
      </x:c>
      <x:c r="F498" s="34" t="n">
        <x:f>-Assumptions!$B$7*E498</x:f>
        <x:v>2.3927579060681947</x:v>
      </x:c>
      <x:c r="G498" s="34" t="n">
        <x:f>-Assumptions!$B$8*E498</x:f>
        <x:v>3.3841231685719957</x:v>
      </x:c>
      <x:c r="H498" s="34" t="n">
        <x:f>-Assumptions!$B$9*E498</x:f>
        <x:v>2.2705579881581563</x:v>
      </x:c>
      <x:c r="I498" s="34" t="n">
        <x:f>-Assumptions!$B$10*E498</x:f>
        <x:v>3.791605652676574</x:v>
      </x:c>
      <x:c r="J498" s="36" t="n">
        <x:f>IF(C498&lt;-F498,1,0)</x:f>
        <x:v>0</x:v>
      </x:c>
      <x:c r="K498" s="36" t="n">
        <x:f>IF(C498&lt;-G498,1,0)</x:f>
        <x:v>0</x:v>
      </x:c>
      <x:c r="L498" s="36" t="n">
        <x:f>IF(C498&lt;-H498,1,0)</x:f>
        <x:v>0</x:v>
      </x:c>
      <x:c r="M498" s="36" t="n">
        <x:f>IF(C498&lt;-I498,1,0)</x:f>
        <x:v>0</x:v>
      </x:c>
      <x:c r="N498" s="34" t="n">
        <x:f>-F498</x:f>
        <x:v>-2.3927579060681947</x:v>
      </x:c>
      <x:c r="O498" s="34" t="n">
        <x:f>-H498</x:f>
        <x:v>-2.2705579881581563</x:v>
      </x:c>
      <x:c r="P498" s="34" t="n">
        <x:f>-G498</x:f>
        <x:v>-3.3841231685719957</x:v>
      </x:c>
      <x:c r="Q498" s="34" t="n">
        <x:f>-I498</x:f>
        <x:v>-3.791605652676574</x:v>
      </x:c>
      <x:c r="R498" s="36" t="n">
        <x:f>YEAR(A498)</x:f>
        <x:v>2022</x:v>
      </x:c>
    </x:row>
    <x:row r="499">
      <x:c r="A499" s="30" t="n">
        <x:v>44909</x:v>
      </x:c>
      <x:c r="B499" s="38" t="n">
        <x:v>3995.32</x:v>
      </x:c>
      <x:c r="C499" s="34" t="n">
        <x:f>(B499/B498-1)*100</x:f>
        <x:v>-0.6052765788066128</x:v>
      </x:c>
      <x:c r="D499" s="34" t="n">
        <x:f>Assumptions!$B$4*D498+(1-Assumptions!$B$4)*C498^2</x:f>
        <x:v>2.0210491002769047</x:v>
      </x:c>
      <x:c r="E499" s="34" t="n">
        <x:f>SQRT(D499)</x:f>
        <x:v>1.4216360646371153</x:v>
      </x:c>
      <x:c r="F499" s="34" t="n">
        <x:f>-Assumptions!$B$7*E499</x:f>
        <x:v>2.3383832371233777</x:v>
      </x:c>
      <x:c r="G499" s="34" t="n">
        <x:f>-Assumptions!$B$8*E499</x:f>
        <x:v>3.30722003662834</x:v>
      </x:c>
      <x:c r="H499" s="34" t="n">
        <x:f>-Assumptions!$B$9*E499</x:f>
        <x:v>2.2189602738164735</x:v>
      </x:c>
      <x:c r="I499" s="34" t="n">
        <x:f>-Assumptions!$B$10*E499</x:f>
        <x:v>3.7054426097666613</x:v>
      </x:c>
      <x:c r="J499" s="36" t="n">
        <x:f>IF(C499&lt;-F499,1,0)</x:f>
        <x:v>0</x:v>
      </x:c>
      <x:c r="K499" s="36" t="n">
        <x:f>IF(C499&lt;-G499,1,0)</x:f>
        <x:v>0</x:v>
      </x:c>
      <x:c r="L499" s="36" t="n">
        <x:f>IF(C499&lt;-H499,1,0)</x:f>
        <x:v>0</x:v>
      </x:c>
      <x:c r="M499" s="36" t="n">
        <x:f>IF(C499&lt;-I499,1,0)</x:f>
        <x:v>0</x:v>
      </x:c>
      <x:c r="N499" s="34" t="n">
        <x:f>-F499</x:f>
        <x:v>-2.3383832371233777</x:v>
      </x:c>
      <x:c r="O499" s="34" t="n">
        <x:f>-H499</x:f>
        <x:v>-2.2189602738164735</x:v>
      </x:c>
      <x:c r="P499" s="34" t="n">
        <x:f>-G499</x:f>
        <x:v>-3.30722003662834</x:v>
      </x:c>
      <x:c r="Q499" s="34" t="n">
        <x:f>-I499</x:f>
        <x:v>-3.7054426097666613</x:v>
      </x:c>
      <x:c r="R499" s="36" t="n">
        <x:f>YEAR(A499)</x:f>
        <x:v>2022</x:v>
      </x:c>
    </x:row>
    <x:row r="500">
      <x:c r="A500" s="30" t="n">
        <x:v>44910</x:v>
      </x:c>
      <x:c r="B500" s="38" t="n">
        <x:v>3895.75</x:v>
      </x:c>
      <x:c r="C500" s="34" t="n">
        <x:f>(B500/B499-1)*100</x:f>
        <x:v>-2.492165834025817</x:v>
      </x:c>
      <x:c r="D500" s="34" t="n">
        <x:f>Assumptions!$B$4*D499+(1-Assumptions!$B$4)*C499^2</x:f>
        <x:v>1.9217677384714005</x:v>
      </x:c>
      <x:c r="E500" s="34" t="n">
        <x:f>SQRT(D500)</x:f>
        <x:v>1.3862783769760676</x:v>
      </x:c>
      <x:c r="F500" s="34" t="n">
        <x:f>-Assumptions!$B$7*E500</x:f>
        <x:v>2.280225016333486</x:v>
      </x:c>
      <x:c r="G500" s="34" t="n">
        <x:f>-Assumptions!$B$8*E500</x:f>
        <x:v>3.2249657551070614</x:v>
      </x:c>
      <x:c r="H500" s="34" t="n">
        <x:f>-Assumptions!$B$9*E500</x:f>
        <x:v>2.163772236423864</x:v>
      </x:c>
      <x:c r="I500" s="34" t="n">
        <x:f>-Assumptions!$B$10*E500</x:f>
        <x:v>3.6132840850210823</x:v>
      </x:c>
      <x:c r="J500" s="36" t="n">
        <x:f>IF(C500&lt;-F500,1,0)</x:f>
        <x:v>1</x:v>
      </x:c>
      <x:c r="K500" s="36" t="n">
        <x:f>IF(C500&lt;-G500,1,0)</x:f>
        <x:v>0</x:v>
      </x:c>
      <x:c r="L500" s="36" t="n">
        <x:f>IF(C500&lt;-H500,1,0)</x:f>
        <x:v>1</x:v>
      </x:c>
      <x:c r="M500" s="36" t="n">
        <x:f>IF(C500&lt;-I500,1,0)</x:f>
        <x:v>0</x:v>
      </x:c>
      <x:c r="N500" s="34" t="n">
        <x:f>-F500</x:f>
        <x:v>-2.280225016333486</x:v>
      </x:c>
      <x:c r="O500" s="34" t="n">
        <x:f>-H500</x:f>
        <x:v>-2.163772236423864</x:v>
      </x:c>
      <x:c r="P500" s="34" t="n">
        <x:f>-G500</x:f>
        <x:v>-3.2249657551070614</x:v>
      </x:c>
      <x:c r="Q500" s="34" t="n">
        <x:f>-I500</x:f>
        <x:v>-3.6132840850210823</x:v>
      </x:c>
      <x:c r="R500" s="36" t="n">
        <x:f>YEAR(A500)</x:f>
        <x:v>2022</x:v>
      </x:c>
    </x:row>
    <x:row r="501">
      <x:c r="A501" s="30" t="n">
        <x:v>44911</x:v>
      </x:c>
      <x:c r="B501" s="38" t="n">
        <x:v>3852.36</x:v>
      </x:c>
      <x:c r="C501" s="34" t="n">
        <x:f>(B501/B500-1)*100</x:f>
        <x:v>-1.1137778348199956</x:v>
      </x:c>
      <x:c r="D501" s="34" t="n">
        <x:f>Assumptions!$B$4*D500+(1-Assumptions!$B$4)*C500^2</x:f>
        <x:v>2.1791151068202526</x:v>
      </x:c>
      <x:c r="E501" s="34" t="n">
        <x:f>SQRT(D501)</x:f>
        <x:v>1.4761826129650262</x:v>
      </x:c>
      <x:c r="F501" s="34" t="n">
        <x:f>-Assumptions!$B$7*E501</x:f>
        <x:v>2.4281043249782255</x:v>
      </x:c>
      <x:c r="G501" s="34" t="n">
        <x:f>-Assumptions!$B$8*E501</x:f>
        <x:v>3.4341142833672413</x:v>
      </x:c>
      <x:c r="H501" s="34" t="n">
        <x:f>-Assumptions!$B$9*E501</x:f>
        <x:v>2.304099239283237</x:v>
      </x:c>
      <x:c r="I501" s="34" t="n">
        <x:f>-Assumptions!$B$10*E501</x:f>
        <x:v>3.8476162007563706</x:v>
      </x:c>
      <x:c r="J501" s="36" t="n">
        <x:f>IF(C501&lt;-F501,1,0)</x:f>
        <x:v>0</x:v>
      </x:c>
      <x:c r="K501" s="36" t="n">
        <x:f>IF(C501&lt;-G501,1,0)</x:f>
        <x:v>0</x:v>
      </x:c>
      <x:c r="L501" s="36" t="n">
        <x:f>IF(C501&lt;-H501,1,0)</x:f>
        <x:v>0</x:v>
      </x:c>
      <x:c r="M501" s="36" t="n">
        <x:f>IF(C501&lt;-I501,1,0)</x:f>
        <x:v>0</x:v>
      </x:c>
      <x:c r="N501" s="34" t="n">
        <x:f>-F501</x:f>
        <x:v>-2.4281043249782255</x:v>
      </x:c>
      <x:c r="O501" s="34" t="n">
        <x:f>-H501</x:f>
        <x:v>-2.304099239283237</x:v>
      </x:c>
      <x:c r="P501" s="34" t="n">
        <x:f>-G501</x:f>
        <x:v>-3.4341142833672413</x:v>
      </x:c>
      <x:c r="Q501" s="34" t="n">
        <x:f>-I501</x:f>
        <x:v>-3.8476162007563706</x:v>
      </x:c>
      <x:c r="R501" s="36" t="n">
        <x:f>YEAR(A501)</x:f>
        <x:v>2022</x:v>
      </x:c>
    </x:row>
    <x:row r="502">
      <x:c r="A502" s="30" t="n">
        <x:v>44914</x:v>
      </x:c>
      <x:c r="B502" s="38" t="n">
        <x:v>3817.66</x:v>
      </x:c>
      <x:c r="C502" s="34" t="n">
        <x:f>(B502/B501-1)*100</x:f>
        <x:v>-0.9007465553582783</x:v>
      </x:c>
      <x:c r="D502" s="34" t="n">
        <x:f>Assumptions!$B$4*D501+(1-Assumptions!$B$4)*C501^2</x:f>
        <x:v>2.122798264331216</x:v>
      </x:c>
      <x:c r="E502" s="34" t="n">
        <x:f>SQRT(D502)</x:f>
        <x:v>1.4569825888908954</x:v>
      </x:c>
      <x:c r="F502" s="34" t="n">
        <x:f>-Assumptions!$B$7*E502</x:f>
        <x:v>2.396523095742336</x:v>
      </x:c>
      <x:c r="G502" s="34" t="n">
        <x:f>-Assumptions!$B$8*E502</x:f>
        <x:v>3.389448348180854</x:v>
      </x:c>
      <x:c r="H502" s="34" t="n">
        <x:f>-Assumptions!$B$9*E502</x:f>
        <x:v>2.2741308868078156</x:v>
      </x:c>
      <x:c r="I502" s="34" t="n">
        <x:f>-Assumptions!$B$10*E502</x:f>
        <x:v>3.7975720374978996</x:v>
      </x:c>
      <x:c r="J502" s="36" t="n">
        <x:f>IF(C502&lt;-F502,1,0)</x:f>
        <x:v>0</x:v>
      </x:c>
      <x:c r="K502" s="36" t="n">
        <x:f>IF(C502&lt;-G502,1,0)</x:f>
        <x:v>0</x:v>
      </x:c>
      <x:c r="L502" s="36" t="n">
        <x:f>IF(C502&lt;-H502,1,0)</x:f>
        <x:v>0</x:v>
      </x:c>
      <x:c r="M502" s="36" t="n">
        <x:f>IF(C502&lt;-I502,1,0)</x:f>
        <x:v>0</x:v>
      </x:c>
      <x:c r="N502" s="34" t="n">
        <x:f>-F502</x:f>
        <x:v>-2.396523095742336</x:v>
      </x:c>
      <x:c r="O502" s="34" t="n">
        <x:f>-H502</x:f>
        <x:v>-2.2741308868078156</x:v>
      </x:c>
      <x:c r="P502" s="34" t="n">
        <x:f>-G502</x:f>
        <x:v>-3.389448348180854</x:v>
      </x:c>
      <x:c r="Q502" s="34" t="n">
        <x:f>-I502</x:f>
        <x:v>-3.7975720374978996</x:v>
      </x:c>
      <x:c r="R502" s="36" t="n">
        <x:f>YEAR(A502)</x:f>
        <x:v>2022</x:v>
      </x:c>
    </x:row>
    <x:row r="503">
      <x:c r="A503" s="30" t="n">
        <x:v>44915</x:v>
      </x:c>
      <x:c r="B503" s="38" t="n">
        <x:v>3821.62</x:v>
      </x:c>
      <x:c r="C503" s="34" t="n">
        <x:f>(B503/B502-1)*100</x:f>
        <x:v>0.10372846193742458</x:v>
      </x:c>
      <x:c r="D503" s="34" t="n">
        <x:f>Assumptions!$B$4*D502+(1-Assumptions!$B$4)*C502^2</x:f>
        <x:v>2.0441110298907312</x:v>
      </x:c>
      <x:c r="E503" s="34" t="n">
        <x:f>SQRT(D503)</x:f>
        <x:v>1.4297241097116364</x:v>
      </x:c>
      <x:c r="F503" s="34" t="n">
        <x:f>-Assumptions!$B$7*E503</x:f>
        <x:v>2.3516868873991505</x:v>
      </x:c>
      <x:c r="G503" s="34" t="n">
        <x:f>-Assumptions!$B$8*E503</x:f>
        <x:v>3.3260356430925984</x:v>
      </x:c>
      <x:c r="H503" s="34" t="n">
        <x:f>-Assumptions!$B$9*E503</x:f>
        <x:v>2.231584496822367</x:v>
      </x:c>
      <x:c r="I503" s="34" t="n">
        <x:f>-Assumptions!$B$10*E503</x:f>
        <x:v>3.726523804591649</x:v>
      </x:c>
      <x:c r="J503" s="36" t="n">
        <x:f>IF(C503&lt;-F503,1,0)</x:f>
        <x:v>0</x:v>
      </x:c>
      <x:c r="K503" s="36" t="n">
        <x:f>IF(C503&lt;-G503,1,0)</x:f>
        <x:v>0</x:v>
      </x:c>
      <x:c r="L503" s="36" t="n">
        <x:f>IF(C503&lt;-H503,1,0)</x:f>
        <x:v>0</x:v>
      </x:c>
      <x:c r="M503" s="36" t="n">
        <x:f>IF(C503&lt;-I503,1,0)</x:f>
        <x:v>0</x:v>
      </x:c>
      <x:c r="N503" s="34" t="n">
        <x:f>-F503</x:f>
        <x:v>-2.3516868873991505</x:v>
      </x:c>
      <x:c r="O503" s="34" t="n">
        <x:f>-H503</x:f>
        <x:v>-2.231584496822367</x:v>
      </x:c>
      <x:c r="P503" s="34" t="n">
        <x:f>-G503</x:f>
        <x:v>-3.3260356430925984</x:v>
      </x:c>
      <x:c r="Q503" s="34" t="n">
        <x:f>-I503</x:f>
        <x:v>-3.726523804591649</x:v>
      </x:c>
      <x:c r="R503" s="36" t="n">
        <x:f>YEAR(A503)</x:f>
        <x:v>2022</x:v>
      </x:c>
    </x:row>
    <x:row r="504">
      <x:c r="A504" s="30" t="n">
        <x:v>44916</x:v>
      </x:c>
      <x:c r="B504" s="38" t="n">
        <x:v>3878.44</x:v>
      </x:c>
      <x:c r="C504" s="34" t="n">
        <x:f>(B504/B503-1)*100</x:f>
        <x:v>1.4868040255179737</x:v>
      </x:c>
      <x:c r="D504" s="34" t="n">
        <x:f>Assumptions!$B$4*D503+(1-Assumptions!$B$4)*C503^2</x:f>
        <x:v>1.9221099437262414</x:v>
      </x:c>
      <x:c r="E504" s="34" t="n">
        <x:f>SQRT(D504)</x:f>
        <x:v>1.386401797361155</x:v>
      </x:c>
      <x:c r="F504" s="34" t="n">
        <x:f>-Assumptions!$B$7*E504</x:f>
        <x:v>2.280428024801537</x:v>
      </x:c>
      <x:c r="G504" s="34" t="n">
        <x:f>-Assumptions!$B$8*E504</x:f>
        <x:v>3.225252873857523</x:v>
      </x:c>
      <x:c r="H504" s="34" t="n">
        <x:f>-Assumptions!$B$9*E504</x:f>
        <x:v>2.1639648770991395</x:v>
      </x:c>
      <x:c r="I504" s="34" t="n">
        <x:f>-Assumptions!$B$10*E504</x:f>
        <x:v>3.6136057757583906</x:v>
      </x:c>
      <x:c r="J504" s="36" t="n">
        <x:f>IF(C504&lt;-F504,1,0)</x:f>
        <x:v>0</x:v>
      </x:c>
      <x:c r="K504" s="36" t="n">
        <x:f>IF(C504&lt;-G504,1,0)</x:f>
        <x:v>0</x:v>
      </x:c>
      <x:c r="L504" s="36" t="n">
        <x:f>IF(C504&lt;-H504,1,0)</x:f>
        <x:v>0</x:v>
      </x:c>
      <x:c r="M504" s="36" t="n">
        <x:f>IF(C504&lt;-I504,1,0)</x:f>
        <x:v>0</x:v>
      </x:c>
      <x:c r="N504" s="34" t="n">
        <x:f>-F504</x:f>
        <x:v>-2.280428024801537</x:v>
      </x:c>
      <x:c r="O504" s="34" t="n">
        <x:f>-H504</x:f>
        <x:v>-2.1639648770991395</x:v>
      </x:c>
      <x:c r="P504" s="34" t="n">
        <x:f>-G504</x:f>
        <x:v>-3.225252873857523</x:v>
      </x:c>
      <x:c r="Q504" s="34" t="n">
        <x:f>-I504</x:f>
        <x:v>-3.6136057757583906</x:v>
      </x:c>
      <x:c r="R504" s="36" t="n">
        <x:f>YEAR(A504)</x:f>
        <x:v>2022</x:v>
      </x:c>
    </x:row>
    <x:row r="505">
      <x:c r="A505" s="30" t="n">
        <x:v>44917</x:v>
      </x:c>
      <x:c r="B505" s="38" t="n">
        <x:v>3822.39</x:v>
      </x:c>
      <x:c r="C505" s="34" t="n">
        <x:f>(B505/B504-1)*100</x:f>
        <x:v>-1.4451686760656446</x:v>
      </x:c>
      <x:c r="D505" s="34" t="n">
        <x:f>Assumptions!$B$4*D504+(1-Assumptions!$B$4)*C504^2</x:f>
        <x:v>1.939418519720454</x:v>
      </x:c>
      <x:c r="E505" s="34" t="n">
        <x:f>SQRT(D505)</x:f>
        <x:v>1.3926300728192158</x:v>
      </x:c>
      <x:c r="F505" s="34" t="n">
        <x:f>-Assumptions!$B$7*E505</x:f>
        <x:v>2.290672626278381</x:v>
      </x:c>
      <x:c r="G505" s="34" t="n">
        <x:f>-Assumptions!$B$8*E505</x:f>
        <x:v>3.239742009228323</x:v>
      </x:c>
      <x:c r="H505" s="34" t="n">
        <x:f>-Assumptions!$B$9*E505</x:f>
        <x:v>2.1736862791932476</x:v>
      </x:c>
      <x:c r="I505" s="34" t="n">
        <x:f>-Assumptions!$B$10*E505</x:f>
        <x:v>3.6298395488327624</x:v>
      </x:c>
      <x:c r="J505" s="36" t="n">
        <x:f>IF(C505&lt;-F505,1,0)</x:f>
        <x:v>0</x:v>
      </x:c>
      <x:c r="K505" s="36" t="n">
        <x:f>IF(C505&lt;-G505,1,0)</x:f>
        <x:v>0</x:v>
      </x:c>
      <x:c r="L505" s="36" t="n">
        <x:f>IF(C505&lt;-H505,1,0)</x:f>
        <x:v>0</x:v>
      </x:c>
      <x:c r="M505" s="36" t="n">
        <x:f>IF(C505&lt;-I505,1,0)</x:f>
        <x:v>0</x:v>
      </x:c>
      <x:c r="N505" s="34" t="n">
        <x:f>-F505</x:f>
        <x:v>-2.290672626278381</x:v>
      </x:c>
      <x:c r="O505" s="34" t="n">
        <x:f>-H505</x:f>
        <x:v>-2.1736862791932476</x:v>
      </x:c>
      <x:c r="P505" s="34" t="n">
        <x:f>-G505</x:f>
        <x:v>-3.239742009228323</x:v>
      </x:c>
      <x:c r="Q505" s="34" t="n">
        <x:f>-I505</x:f>
        <x:v>-3.6298395488327624</x:v>
      </x:c>
      <x:c r="R505" s="36" t="n">
        <x:f>YEAR(A505)</x:f>
        <x:v>2022</x:v>
      </x:c>
    </x:row>
    <x:row r="506">
      <x:c r="A506" s="30" t="n">
        <x:v>44918</x:v>
      </x:c>
      <x:c r="B506" s="38" t="n">
        <x:v>3844.82</x:v>
      </x:c>
      <x:c r="C506" s="34" t="n">
        <x:f>(B506/B505-1)*100</x:f>
        <x:v>0.5868056373107056</x:v>
      </x:c>
      <x:c r="D506" s="34" t="n">
        <x:f>Assumptions!$B$4*D505+(1-Assumptions!$B$4)*C505^2</x:f>
        <x:v>1.9483641586741065</x:v>
      </x:c>
      <x:c r="E506" s="34" t="n">
        <x:f>SQRT(D506)</x:f>
        <x:v>1.395838156332641</x:v>
      </x:c>
      <x:c r="F506" s="34" t="n">
        <x:f>-Assumptions!$B$7*E506</x:f>
        <x:v>2.2959494540810015</x:v>
      </x:c>
      <x:c r="G506" s="34" t="n">
        <x:f>-Assumptions!$B$8*E506</x:f>
        <x:v>3.2472051274895253</x:v>
      </x:c>
      <x:c r="H506" s="34" t="n">
        <x:f>-Assumptions!$B$9*E506</x:f>
        <x:v>2.1786936154929166</x:v>
      </x:c>
      <x:c r="I506" s="34" t="n">
        <x:f>-Assumptions!$B$10*E506</x:f>
        <x:v>3.638201301634363</x:v>
      </x:c>
      <x:c r="J506" s="36" t="n">
        <x:f>IF(C506&lt;-F506,1,0)</x:f>
        <x:v>0</x:v>
      </x:c>
      <x:c r="K506" s="36" t="n">
        <x:f>IF(C506&lt;-G506,1,0)</x:f>
        <x:v>0</x:v>
      </x:c>
      <x:c r="L506" s="36" t="n">
        <x:f>IF(C506&lt;-H506,1,0)</x:f>
        <x:v>0</x:v>
      </x:c>
      <x:c r="M506" s="36" t="n">
        <x:f>IF(C506&lt;-I506,1,0)</x:f>
        <x:v>0</x:v>
      </x:c>
      <x:c r="N506" s="34" t="n">
        <x:f>-F506</x:f>
        <x:v>-2.2959494540810015</x:v>
      </x:c>
      <x:c r="O506" s="34" t="n">
        <x:f>-H506</x:f>
        <x:v>-2.1786936154929166</x:v>
      </x:c>
      <x:c r="P506" s="34" t="n">
        <x:f>-G506</x:f>
        <x:v>-3.2472051274895253</x:v>
      </x:c>
      <x:c r="Q506" s="34" t="n">
        <x:f>-I506</x:f>
        <x:v>-3.638201301634363</x:v>
      </x:c>
      <x:c r="R506" s="36" t="n">
        <x:f>YEAR(A506)</x:f>
        <x:v>2022</x:v>
      </x:c>
    </x:row>
    <x:row r="507">
      <x:c r="A507" s="30" t="n">
        <x:v>44922</x:v>
      </x:c>
      <x:c r="B507" s="38" t="n">
        <x:v>3829.25</x:v>
      </x:c>
      <x:c r="C507" s="34" t="n">
        <x:f>(B507/B506-1)*100</x:f>
        <x:v>-0.40496044028068834</x:v>
      </x:c>
      <x:c r="D507" s="34" t="n">
        <x:f>Assumptions!$B$4*D506+(1-Assumptions!$B$4)*C506^2</x:f>
        <x:v>1.8521227605124373</x:v>
      </x:c>
      <x:c r="E507" s="34" t="n">
        <x:f>SQRT(D507)</x:f>
        <x:v>1.3609271694372322</x:v>
      </x:c>
      <x:c r="F507" s="34" t="n">
        <x:f>-Assumptions!$B$7*E507</x:f>
        <x:v>2.238525990665633</x:v>
      </x:c>
      <x:c r="G507" s="34" t="n">
        <x:f>-Assumptions!$B$8*E507</x:f>
        <x:v>3.1659900273447237</x:v>
      </x:c>
      <x:c r="H507" s="34" t="n">
        <x:f>-Assumptions!$B$9*E507</x:f>
        <x:v>2.124202810871684</x:v>
      </x:c>
      <x:c r="I507" s="34" t="n">
        <x:f>-Assumptions!$B$10*E507</x:f>
        <x:v>3.547207086160325</x:v>
      </x:c>
      <x:c r="J507" s="36" t="n">
        <x:f>IF(C507&lt;-F507,1,0)</x:f>
        <x:v>0</x:v>
      </x:c>
      <x:c r="K507" s="36" t="n">
        <x:f>IF(C507&lt;-G507,1,0)</x:f>
        <x:v>0</x:v>
      </x:c>
      <x:c r="L507" s="36" t="n">
        <x:f>IF(C507&lt;-H507,1,0)</x:f>
        <x:v>0</x:v>
      </x:c>
      <x:c r="M507" s="36" t="n">
        <x:f>IF(C507&lt;-I507,1,0)</x:f>
        <x:v>0</x:v>
      </x:c>
      <x:c r="N507" s="34" t="n">
        <x:f>-F507</x:f>
        <x:v>-2.238525990665633</x:v>
      </x:c>
      <x:c r="O507" s="34" t="n">
        <x:f>-H507</x:f>
        <x:v>-2.124202810871684</x:v>
      </x:c>
      <x:c r="P507" s="34" t="n">
        <x:f>-G507</x:f>
        <x:v>-3.1659900273447237</x:v>
      </x:c>
      <x:c r="Q507" s="34" t="n">
        <x:f>-I507</x:f>
        <x:v>-3.547207086160325</x:v>
      </x:c>
      <x:c r="R507" s="36" t="n">
        <x:f>YEAR(A507)</x:f>
        <x:v>2022</x:v>
      </x:c>
    </x:row>
    <x:row r="508">
      <x:c r="A508" s="30" t="n">
        <x:v>44923</x:v>
      </x:c>
      <x:c r="B508" s="38" t="n">
        <x:v>3783.22</x:v>
      </x:c>
      <x:c r="C508" s="34" t="n">
        <x:f>(B508/B507-1)*100</x:f>
        <x:v>-1.202063067180259</x:v>
      </x:c>
      <x:c r="D508" s="34" t="n">
        <x:f>Assumptions!$B$4*D507+(1-Assumptions!$B$4)*C507^2</x:f>
        <x:v>1.7508349723732308</x:v>
      </x:c>
      <x:c r="E508" s="34" t="n">
        <x:f>SQRT(D508)</x:f>
        <x:v>1.3231912077901784</x:v>
      </x:c>
      <x:c r="F508" s="34" t="n">
        <x:f>-Assumptions!$B$7*E508</x:f>
        <x:v>2.1764558572839747</x:v>
      </x:c>
      <x:c r="G508" s="34" t="n">
        <x:f>-Assumptions!$B$8*E508</x:f>
        <x:v>3.078203053192213</x:v>
      </x:c>
      <x:c r="H508" s="34" t="n">
        <x:f>-Assumptions!$B$9*E508</x:f>
        <x:v>2.0653026451598295</x:v>
      </x:c>
      <x:c r="I508" s="34" t="n">
        <x:f>-Assumptions!$B$10*E508</x:f>
        <x:v>3.448849676914938</x:v>
      </x:c>
      <x:c r="J508" s="36" t="n">
        <x:f>IF(C508&lt;-F508,1,0)</x:f>
        <x:v>0</x:v>
      </x:c>
      <x:c r="K508" s="36" t="n">
        <x:f>IF(C508&lt;-G508,1,0)</x:f>
        <x:v>0</x:v>
      </x:c>
      <x:c r="L508" s="36" t="n">
        <x:f>IF(C508&lt;-H508,1,0)</x:f>
        <x:v>0</x:v>
      </x:c>
      <x:c r="M508" s="36" t="n">
        <x:f>IF(C508&lt;-I508,1,0)</x:f>
        <x:v>0</x:v>
      </x:c>
      <x:c r="N508" s="34" t="n">
        <x:f>-F508</x:f>
        <x:v>-2.1764558572839747</x:v>
      </x:c>
      <x:c r="O508" s="34" t="n">
        <x:f>-H508</x:f>
        <x:v>-2.0653026451598295</x:v>
      </x:c>
      <x:c r="P508" s="34" t="n">
        <x:f>-G508</x:f>
        <x:v>-3.078203053192213</x:v>
      </x:c>
      <x:c r="Q508" s="34" t="n">
        <x:f>-I508</x:f>
        <x:v>-3.448849676914938</x:v>
      </x:c>
      <x:c r="R508" s="36" t="n">
        <x:f>YEAR(A508)</x:f>
        <x:v>2022</x:v>
      </x:c>
    </x:row>
    <x:row r="509">
      <x:c r="A509" s="30" t="n">
        <x:v>44924</x:v>
      </x:c>
      <x:c r="B509" s="38" t="n">
        <x:v>3849.28</x:v>
      </x:c>
      <x:c r="C509" s="34" t="n">
        <x:f>(B509/B508-1)*100</x:f>
        <x:v>1.7461316021801565</x:v>
      </x:c>
      <x:c r="D509" s="34" t="n">
        <x:f>Assumptions!$B$4*D508+(1-Assumptions!$B$4)*C508^2</x:f>
        <x:v>1.7324822110795657</x:v>
      </x:c>
      <x:c r="E509" s="34" t="n">
        <x:f>SQRT(D509)</x:f>
        <x:v>1.3162379006393812</x:v>
      </x:c>
      <x:c r="F509" s="34" t="n">
        <x:f>-Assumptions!$B$7*E509</x:f>
        <x:v>2.1650186847976784</x:v>
      </x:c>
      <x:c r="G509" s="34" t="n">
        <x:f>-Assumptions!$B$8*E509</x:f>
        <x:v>3.0620272418844032</x:v>
      </x:c>
      <x:c r="H509" s="34" t="n">
        <x:f>-Assumptions!$B$9*E509</x:f>
        <x:v>2.054449577540726</x:v>
      </x:c>
      <x:c r="I509" s="34" t="n">
        <x:f>-Assumptions!$B$10*E509</x:f>
        <x:v>3.430726135147632</x:v>
      </x:c>
      <x:c r="J509" s="36" t="n">
        <x:f>IF(C509&lt;-F509,1,0)</x:f>
        <x:v>0</x:v>
      </x:c>
      <x:c r="K509" s="36" t="n">
        <x:f>IF(C509&lt;-G509,1,0)</x:f>
        <x:v>0</x:v>
      </x:c>
      <x:c r="L509" s="36" t="n">
        <x:f>IF(C509&lt;-H509,1,0)</x:f>
        <x:v>0</x:v>
      </x:c>
      <x:c r="M509" s="36" t="n">
        <x:f>IF(C509&lt;-I509,1,0)</x:f>
        <x:v>0</x:v>
      </x:c>
      <x:c r="N509" s="34" t="n">
        <x:f>-F509</x:f>
        <x:v>-2.1650186847976784</x:v>
      </x:c>
      <x:c r="O509" s="34" t="n">
        <x:f>-H509</x:f>
        <x:v>-2.054449577540726</x:v>
      </x:c>
      <x:c r="P509" s="34" t="n">
        <x:f>-G509</x:f>
        <x:v>-3.0620272418844032</x:v>
      </x:c>
      <x:c r="Q509" s="34" t="n">
        <x:f>-I509</x:f>
        <x:v>-3.430726135147632</x:v>
      </x:c>
      <x:c r="R509" s="36" t="n">
        <x:f>YEAR(A509)</x:f>
        <x:v>2022</x:v>
      </x:c>
    </x:row>
    <x:row r="510">
      <x:c r="A510" s="30" t="n">
        <x:v>44925</x:v>
      </x:c>
      <x:c r="B510" s="38" t="n">
        <x:v>3839.5</x:v>
      </x:c>
      <x:c r="C510" s="34" t="n">
        <x:f>(B510/B509-1)*100</x:f>
        <x:v>-0.25407348906808513</x:v>
      </x:c>
      <x:c r="D510" s="34" t="n">
        <x:f>Assumptions!$B$4*D509+(1-Assumptions!$B$4)*C509^2</x:f>
        <x:v>1.8114718127427263</x:v>
      </x:c>
      <x:c r="E510" s="34" t="n">
        <x:f>SQRT(D510)</x:f>
        <x:v>1.3459092884525043</x:v>
      </x:c>
      <x:c r="F510" s="34" t="n">
        <x:f>-Assumptions!$B$7*E510</x:f>
        <x:v>2.2138237746587777</x:v>
      </x:c>
      <x:c r="G510" s="34" t="n">
        <x:f>-Assumptions!$B$8*E510</x:f>
        <x:v>3.1310532118433034</x:v>
      </x:c>
      <x:c r="H510" s="34" t="n">
        <x:f>-Assumptions!$B$9*E510</x:f>
        <x:v>2.1007621553263274</x:v>
      </x:c>
      <x:c r="I510" s="34" t="n">
        <x:f>-Assumptions!$B$10*E510</x:f>
        <x:v>3.508063526501531</x:v>
      </x:c>
      <x:c r="J510" s="36" t="n">
        <x:f>IF(C510&lt;-F510,1,0)</x:f>
        <x:v>0</x:v>
      </x:c>
      <x:c r="K510" s="36" t="n">
        <x:f>IF(C510&lt;-G510,1,0)</x:f>
        <x:v>0</x:v>
      </x:c>
      <x:c r="L510" s="36" t="n">
        <x:f>IF(C510&lt;-H510,1,0)</x:f>
        <x:v>0</x:v>
      </x:c>
      <x:c r="M510" s="36" t="n">
        <x:f>IF(C510&lt;-I510,1,0)</x:f>
        <x:v>0</x:v>
      </x:c>
      <x:c r="N510" s="34" t="n">
        <x:f>-F510</x:f>
        <x:v>-2.2138237746587777</x:v>
      </x:c>
      <x:c r="O510" s="34" t="n">
        <x:f>-H510</x:f>
        <x:v>-2.1007621553263274</x:v>
      </x:c>
      <x:c r="P510" s="34" t="n">
        <x:f>-G510</x:f>
        <x:v>-3.1310532118433034</x:v>
      </x:c>
      <x:c r="Q510" s="34" t="n">
        <x:f>-I510</x:f>
        <x:v>-3.508063526501531</x:v>
      </x:c>
      <x:c r="R510" s="36" t="n">
        <x:f>YEAR(A510)</x:f>
        <x:v>2022</x:v>
      </x:c>
    </x:row>
    <x:row r="511">
      <x:c r="A511" s="30" t="n">
        <x:v>44929</x:v>
      </x:c>
      <x:c r="B511" s="38" t="n">
        <x:v>3824.14</x:v>
      </x:c>
      <x:c r="C511" s="34" t="n">
        <x:f>(B511/B510-1)*100</x:f>
        <x:v>-0.4000520901158988</x:v>
      </x:c>
      <x:c r="D511" s="34" t="n">
        <x:f>Assumptions!$B$4*D510+(1-Assumptions!$B$4)*C510^2</x:f>
        <x:v>1.7066567042489966</x:v>
      </x:c>
      <x:c r="E511" s="34" t="n">
        <x:f>SQRT(D511)</x:f>
        <x:v>1.3063907165350634</x:v>
      </x:c>
      <x:c r="F511" s="34" t="n">
        <x:f>-Assumptions!$B$7*E511</x:f>
        <x:v>2.1488215083084325</x:v>
      </x:c>
      <x:c r="G511" s="34" t="n">
        <x:f>-Assumptions!$B$8*E511</x:f>
        <x:v>3.039119266078035</x:v>
      </x:c>
      <x:c r="H511" s="34" t="n">
        <x:f>-Assumptions!$B$9*E511</x:f>
        <x:v>2.039079602847508</x:v>
      </x:c>
      <x:c r="I511" s="34" t="n">
        <x:f>-Assumptions!$B$10*E511</x:f>
        <x:v>3.405059808530018</x:v>
      </x:c>
      <x:c r="J511" s="36" t="n">
        <x:f>IF(C511&lt;-F511,1,0)</x:f>
        <x:v>0</x:v>
      </x:c>
      <x:c r="K511" s="36" t="n">
        <x:f>IF(C511&lt;-G511,1,0)</x:f>
        <x:v>0</x:v>
      </x:c>
      <x:c r="L511" s="36" t="n">
        <x:f>IF(C511&lt;-H511,1,0)</x:f>
        <x:v>0</x:v>
      </x:c>
      <x:c r="M511" s="36" t="n">
        <x:f>IF(C511&lt;-I511,1,0)</x:f>
        <x:v>0</x:v>
      </x:c>
      <x:c r="N511" s="34" t="n">
        <x:f>-F511</x:f>
        <x:v>-2.1488215083084325</x:v>
      </x:c>
      <x:c r="O511" s="34" t="n">
        <x:f>-H511</x:f>
        <x:v>-2.039079602847508</x:v>
      </x:c>
      <x:c r="P511" s="34" t="n">
        <x:f>-G511</x:f>
        <x:v>-3.039119266078035</x:v>
      </x:c>
      <x:c r="Q511" s="34" t="n">
        <x:f>-I511</x:f>
        <x:v>-3.405059808530018</x:v>
      </x:c>
      <x:c r="R511" s="36" t="n">
        <x:f>YEAR(A511)</x:f>
        <x:v>2023</x:v>
      </x:c>
    </x:row>
    <x:row r="512">
      <x:c r="A512" s="30" t="n">
        <x:v>44930</x:v>
      </x:c>
      <x:c r="B512" s="38" t="n">
        <x:v>3852.97</x:v>
      </x:c>
      <x:c r="C512" s="34" t="n">
        <x:f>(B512/B511-1)*100</x:f>
        <x:v>0.753894993384141</x:v>
      </x:c>
      <x:c r="D512" s="34" t="n">
        <x:f>Assumptions!$B$4*D511+(1-Assumptions!$B$4)*C511^2</x:f>
        <x:v>1.6138598024824227</x:v>
      </x:c>
      <x:c r="E512" s="34" t="n">
        <x:f>SQRT(D512)</x:f>
        <x:v>1.2703778187934576</x:v>
      </x:c>
      <x:c r="F512" s="34" t="n">
        <x:f>-Assumptions!$B$7*E512</x:f>
        <x:v>2.0895855628411195</x:v>
      </x:c>
      <x:c r="G512" s="34" t="n">
        <x:f>-Assumptions!$B$8*E512</x:f>
        <x:v>2.9553407379788</x:v>
      </x:c>
      <x:c r="H512" s="34" t="n">
        <x:f>-Assumptions!$B$9*E512</x:f>
        <x:v>1.9828688809747226</x:v>
      </x:c>
      <x:c r="I512" s="34" t="n">
        <x:f>-Assumptions!$B$10*E512</x:f>
        <x:v>3.3111935025799233</x:v>
      </x:c>
      <x:c r="J512" s="36" t="n">
        <x:f>IF(C512&lt;-F512,1,0)</x:f>
        <x:v>0</x:v>
      </x:c>
      <x:c r="K512" s="36" t="n">
        <x:f>IF(C512&lt;-G512,1,0)</x:f>
        <x:v>0</x:v>
      </x:c>
      <x:c r="L512" s="36" t="n">
        <x:f>IF(C512&lt;-H512,1,0)</x:f>
        <x:v>0</x:v>
      </x:c>
      <x:c r="M512" s="36" t="n">
        <x:f>IF(C512&lt;-I512,1,0)</x:f>
        <x:v>0</x:v>
      </x:c>
      <x:c r="N512" s="34" t="n">
        <x:f>-F512</x:f>
        <x:v>-2.0895855628411195</x:v>
      </x:c>
      <x:c r="O512" s="34" t="n">
        <x:f>-H512</x:f>
        <x:v>-1.9828688809747226</x:v>
      </x:c>
      <x:c r="P512" s="34" t="n">
        <x:f>-G512</x:f>
        <x:v>-2.9553407379788</x:v>
      </x:c>
      <x:c r="Q512" s="34" t="n">
        <x:f>-I512</x:f>
        <x:v>-3.3111935025799233</x:v>
      </x:c>
      <x:c r="R512" s="36" t="n">
        <x:f>YEAR(A512)</x:f>
        <x:v>2023</x:v>
      </x:c>
    </x:row>
    <x:row r="513">
      <x:c r="A513" s="30" t="n">
        <x:v>44931</x:v>
      </x:c>
      <x:c r="B513" s="38" t="n">
        <x:v>3808.1</x:v>
      </x:c>
      <x:c r="C513" s="34" t="n">
        <x:f>(B513/B512-1)*100</x:f>
        <x:v>-1.164556173549236</x:v>
      </x:c>
      <x:c r="D513" s="34" t="n">
        <x:f>Assumptions!$B$4*D512+(1-Assumptions!$B$4)*C512^2</x:f>
        <x:v>1.5511296739964577</x:v>
      </x:c>
      <x:c r="E513" s="34" t="n">
        <x:f>SQRT(D513)</x:f>
        <x:v>1.2454435651591997</x:v>
      </x:c>
      <x:c r="F513" s="34" t="n">
        <x:f>-Assumptions!$B$7*E513</x:f>
        <x:v>2.048572365315483</x:v>
      </x:c>
      <x:c r="G513" s="34" t="n">
        <x:f>-Assumptions!$B$8*E513</x:f>
        <x:v>2.897334990045949</x:v>
      </x:c>
      <x:c r="H513" s="34" t="n">
        <x:f>-Assumptions!$B$9*E513</x:f>
        <x:v>1.9439502578137344</x:v>
      </x:c>
      <x:c r="I513" s="34" t="n">
        <x:f>-Assumptions!$B$10*E513</x:f>
        <x:v>3.246203278881081</x:v>
      </x:c>
      <x:c r="J513" s="36" t="n">
        <x:f>IF(C513&lt;-F513,1,0)</x:f>
        <x:v>0</x:v>
      </x:c>
      <x:c r="K513" s="36" t="n">
        <x:f>IF(C513&lt;-G513,1,0)</x:f>
        <x:v>0</x:v>
      </x:c>
      <x:c r="L513" s="36" t="n">
        <x:f>IF(C513&lt;-H513,1,0)</x:f>
        <x:v>0</x:v>
      </x:c>
      <x:c r="M513" s="36" t="n">
        <x:f>IF(C513&lt;-I513,1,0)</x:f>
        <x:v>0</x:v>
      </x:c>
      <x:c r="N513" s="34" t="n">
        <x:f>-F513</x:f>
        <x:v>-2.048572365315483</x:v>
      </x:c>
      <x:c r="O513" s="34" t="n">
        <x:f>-H513</x:f>
        <x:v>-1.9439502578137344</x:v>
      </x:c>
      <x:c r="P513" s="34" t="n">
        <x:f>-G513</x:f>
        <x:v>-2.897334990045949</x:v>
      </x:c>
      <x:c r="Q513" s="34" t="n">
        <x:f>-I513</x:f>
        <x:v>-3.246203278881081</x:v>
      </x:c>
      <x:c r="R513" s="36" t="n">
        <x:f>YEAR(A513)</x:f>
        <x:v>2023</x:v>
      </x:c>
    </x:row>
    <x:row r="514">
      <x:c r="A514" s="30" t="n">
        <x:v>44932</x:v>
      </x:c>
      <x:c r="B514" s="38" t="n">
        <x:v>3895.08</x:v>
      </x:c>
      <x:c r="C514" s="34" t="n">
        <x:f>(B514/B513-1)*100</x:f>
        <x:v>2.284078674404566</x:v>
      </x:c>
      <x:c r="D514" s="34" t="n">
        <x:f>Assumptions!$B$4*D513+(1-Assumptions!$B$4)*C513^2</x:f>
        <x:v>1.5394333584377686</x:v>
      </x:c>
      <x:c r="E514" s="34" t="n">
        <x:f>SQRT(D514)</x:f>
        <x:v>1.2407390372023315</x:v>
      </x:c>
      <x:c r="F514" s="34" t="n">
        <x:f>-Assumptions!$B$7*E514</x:f>
        <x:v>2.040834105442533</x:v>
      </x:c>
      <x:c r="G514" s="34" t="n">
        <x:f>-Assumptions!$B$8*E514</x:f>
        <x:v>2.886390621435123</x:v>
      </x:c>
      <x:c r="H514" s="34" t="n">
        <x:f>-Assumptions!$B$9*E514</x:f>
        <x:v>1.9366071966020633</x:v>
      </x:c>
      <x:c r="I514" s="34" t="n">
        <x:f>-Assumptions!$B$10*E514</x:f>
        <x:v>3.233941098155757</x:v>
      </x:c>
      <x:c r="J514" s="36" t="n">
        <x:f>IF(C514&lt;-F514,1,0)</x:f>
        <x:v>0</x:v>
      </x:c>
      <x:c r="K514" s="36" t="n">
        <x:f>IF(C514&lt;-G514,1,0)</x:f>
        <x:v>0</x:v>
      </x:c>
      <x:c r="L514" s="36" t="n">
        <x:f>IF(C514&lt;-H514,1,0)</x:f>
        <x:v>0</x:v>
      </x:c>
      <x:c r="M514" s="36" t="n">
        <x:f>IF(C514&lt;-I514,1,0)</x:f>
        <x:v>0</x:v>
      </x:c>
      <x:c r="N514" s="34" t="n">
        <x:f>-F514</x:f>
        <x:v>-2.040834105442533</x:v>
      </x:c>
      <x:c r="O514" s="34" t="n">
        <x:f>-H514</x:f>
        <x:v>-1.9366071966020633</x:v>
      </x:c>
      <x:c r="P514" s="34" t="n">
        <x:f>-G514</x:f>
        <x:v>-2.886390621435123</x:v>
      </x:c>
      <x:c r="Q514" s="34" t="n">
        <x:f>-I514</x:f>
        <x:v>-3.233941098155757</x:v>
      </x:c>
      <x:c r="R514" s="36" t="n">
        <x:f>YEAR(A514)</x:f>
        <x:v>2023</x:v>
      </x:c>
    </x:row>
    <x:row r="515">
      <x:c r="A515" s="30" t="n">
        <x:v>44935</x:v>
      </x:c>
      <x:c r="B515" s="38" t="n">
        <x:v>3892.09</x:v>
      </x:c>
      <x:c r="C515" s="34" t="n">
        <x:f>(B515/B514-1)*100</x:f>
        <x:v>-0.07676350678290644</x:v>
      </x:c>
      <x:c r="D515" s="34" t="n">
        <x:f>Assumptions!$B$4*D514+(1-Assumptions!$B$4)*C514^2</x:f>
        <x:v>1.760088280383686</x:v>
      </x:c>
      <x:c r="E515" s="34" t="n">
        <x:f>SQRT(D515)</x:f>
        <x:v>1.3266831876464276</x:v>
      </x:c>
      <x:c r="F515" s="34" t="n">
        <x:f>-Assumptions!$B$7*E515</x:f>
        <x:v>2.182199653015768</x:v>
      </x:c>
      <x:c r="G515" s="34" t="n">
        <x:f>-Assumptions!$B$8*E515</x:f>
        <x:v>3.086326613106992</x:v>
      </x:c>
      <x:c r="H515" s="34" t="n">
        <x:f>-Assumptions!$B$9*E515</x:f>
        <x:v>2.0707531009907756</x:v>
      </x:c>
      <x:c r="I515" s="34" t="n">
        <x:f>-Assumptions!$B$10*E515</x:f>
        <x:v>3.4579513951912646</x:v>
      </x:c>
      <x:c r="J515" s="36" t="n">
        <x:f>IF(C515&lt;-F515,1,0)</x:f>
        <x:v>0</x:v>
      </x:c>
      <x:c r="K515" s="36" t="n">
        <x:f>IF(C515&lt;-G515,1,0)</x:f>
        <x:v>0</x:v>
      </x:c>
      <x:c r="L515" s="36" t="n">
        <x:f>IF(C515&lt;-H515,1,0)</x:f>
        <x:v>0</x:v>
      </x:c>
      <x:c r="M515" s="36" t="n">
        <x:f>IF(C515&lt;-I515,1,0)</x:f>
        <x:v>0</x:v>
      </x:c>
      <x:c r="N515" s="34" t="n">
        <x:f>-F515</x:f>
        <x:v>-2.182199653015768</x:v>
      </x:c>
      <x:c r="O515" s="34" t="n">
        <x:f>-H515</x:f>
        <x:v>-2.0707531009907756</x:v>
      </x:c>
      <x:c r="P515" s="34" t="n">
        <x:f>-G515</x:f>
        <x:v>-3.086326613106992</x:v>
      </x:c>
      <x:c r="Q515" s="34" t="n">
        <x:f>-I515</x:f>
        <x:v>-3.4579513951912646</x:v>
      </x:c>
      <x:c r="R515" s="36" t="n">
        <x:f>YEAR(A515)</x:f>
        <x:v>2023</x:v>
      </x:c>
    </x:row>
    <x:row r="516">
      <x:c r="A516" s="30" t="n">
        <x:v>44936</x:v>
      </x:c>
      <x:c r="B516" s="38" t="n">
        <x:v>3919.25</x:v>
      </x:c>
      <x:c r="C516" s="34" t="n">
        <x:f>(B516/B515-1)*100</x:f>
        <x:v>0.6978255898501873</x:v>
      </x:c>
      <x:c r="D516" s="34" t="n">
        <x:f>Assumptions!$B$4*D515+(1-Assumptions!$B$4)*C515^2</x:f>
        <x:v>1.6548365417190813</x:v>
      </x:c>
      <x:c r="E516" s="34" t="n">
        <x:f>SQRT(D516)</x:f>
        <x:v>1.2864045015931347</x:v>
      </x:c>
      <x:c r="F516" s="34" t="n">
        <x:f>-Assumptions!$B$7*E516</x:f>
        <x:v>2.1159471101721694</x:v>
      </x:c>
      <x:c r="G516" s="34" t="n">
        <x:f>-Assumptions!$B$8*E516</x:f>
        <x:v>2.9926243774377554</x:v>
      </x:c>
      <x:c r="H516" s="34" t="n">
        <x:f>-Assumptions!$B$9*E516</x:f>
        <x:v>2.007884124564944</x:v>
      </x:c>
      <x:c r="I516" s="34" t="n">
        <x:f>-Assumptions!$B$10*E516</x:f>
        <x:v>3.352966467416952</x:v>
      </x:c>
      <x:c r="J516" s="36" t="n">
        <x:f>IF(C516&lt;-F516,1,0)</x:f>
        <x:v>0</x:v>
      </x:c>
      <x:c r="K516" s="36" t="n">
        <x:f>IF(C516&lt;-G516,1,0)</x:f>
        <x:v>0</x:v>
      </x:c>
      <x:c r="L516" s="36" t="n">
        <x:f>IF(C516&lt;-H516,1,0)</x:f>
        <x:v>0</x:v>
      </x:c>
      <x:c r="M516" s="36" t="n">
        <x:f>IF(C516&lt;-I516,1,0)</x:f>
        <x:v>0</x:v>
      </x:c>
      <x:c r="N516" s="34" t="n">
        <x:f>-F516</x:f>
        <x:v>-2.1159471101721694</x:v>
      </x:c>
      <x:c r="O516" s="34" t="n">
        <x:f>-H516</x:f>
        <x:v>-2.007884124564944</x:v>
      </x:c>
      <x:c r="P516" s="34" t="n">
        <x:f>-G516</x:f>
        <x:v>-2.9926243774377554</x:v>
      </x:c>
      <x:c r="Q516" s="34" t="n">
        <x:f>-I516</x:f>
        <x:v>-3.352966467416952</x:v>
      </x:c>
      <x:c r="R516" s="36" t="n">
        <x:f>YEAR(A516)</x:f>
        <x:v>2023</x:v>
      </x:c>
    </x:row>
    <x:row r="517">
      <x:c r="A517" s="30" t="n">
        <x:v>44937</x:v>
      </x:c>
      <x:c r="B517" s="38" t="n">
        <x:v>3969.61</x:v>
      </x:c>
      <x:c r="C517" s="34" t="n">
        <x:f>(B517/B516-1)*100</x:f>
        <x:v>1.2849397206098123</x:v>
      </x:c>
      <x:c r="D517" s="34" t="n">
        <x:f>Assumptions!$B$4*D516+(1-Assumptions!$B$4)*C516^2</x:f>
        <x:v>1.5847639824469222</x:v>
      </x:c>
      <x:c r="E517" s="34" t="n">
        <x:f>SQRT(D517)</x:f>
        <x:v>1.2588740931669546</x:v>
      </x:c>
      <x:c r="F517" s="34" t="n">
        <x:f>-Assumptions!$B$7*E517</x:f>
        <x:v>2.070663618020912</x:v>
      </x:c>
      <x:c r="G517" s="34" t="n">
        <x:f>-Assumptions!$B$8*E517</x:f>
        <x:v>2.9285790703240355</x:v>
      </x:c>
      <x:c r="H517" s="34" t="n">
        <x:f>-Assumptions!$B$9*E517</x:f>
        <x:v>1.9649132938866796</x:v>
      </x:c>
      <x:c r="I517" s="34" t="n">
        <x:f>-Assumptions!$B$10*E517</x:f>
        <x:v>3.2812094608354636</x:v>
      </x:c>
      <x:c r="J517" s="36" t="n">
        <x:f>IF(C517&lt;-F517,1,0)</x:f>
        <x:v>0</x:v>
      </x:c>
      <x:c r="K517" s="36" t="n">
        <x:f>IF(C517&lt;-G517,1,0)</x:f>
        <x:v>0</x:v>
      </x:c>
      <x:c r="L517" s="36" t="n">
        <x:f>IF(C517&lt;-H517,1,0)</x:f>
        <x:v>0</x:v>
      </x:c>
      <x:c r="M517" s="36" t="n">
        <x:f>IF(C517&lt;-I517,1,0)</x:f>
        <x:v>0</x:v>
      </x:c>
      <x:c r="N517" s="34" t="n">
        <x:f>-F517</x:f>
        <x:v>-2.070663618020912</x:v>
      </x:c>
      <x:c r="O517" s="34" t="n">
        <x:f>-H517</x:f>
        <x:v>-1.9649132938866796</x:v>
      </x:c>
      <x:c r="P517" s="34" t="n">
        <x:f>-G517</x:f>
        <x:v>-2.9285790703240355</x:v>
      </x:c>
      <x:c r="Q517" s="34" t="n">
        <x:f>-I517</x:f>
        <x:v>-3.2812094608354636</x:v>
      </x:c>
      <x:c r="R517" s="36" t="n">
        <x:f>YEAR(A517)</x:f>
        <x:v>2023</x:v>
      </x:c>
    </x:row>
    <x:row r="518">
      <x:c r="A518" s="30" t="n">
        <x:v>44938</x:v>
      </x:c>
      <x:c r="B518" s="38" t="n">
        <x:v>3983.17</x:v>
      </x:c>
      <x:c r="C518" s="34" t="n">
        <x:f>(B518/B517-1)*100</x:f>
        <x:v>0.341595270064321</x:v>
      </x:c>
      <x:c r="D518" s="34" t="n">
        <x:f>Assumptions!$B$4*D517+(1-Assumptions!$B$4)*C517^2</x:f>
        <x:v>1.5887423486361563</x:v>
      </x:c>
      <x:c r="E518" s="34" t="n">
        <x:f>SQRT(D518)</x:f>
        <x:v>1.260453231435485</x:v>
      </x:c>
      <x:c r="F518" s="34" t="n">
        <x:f>-Assumptions!$B$7*E518</x:f>
        <x:v>2.073261069329362</x:v>
      </x:c>
      <x:c r="G518" s="34" t="n">
        <x:f>-Assumptions!$B$8*E518</x:f>
        <x:v>2.932252695277848</x:v>
      </x:c>
      <x:c r="H518" s="34" t="n">
        <x:f>-Assumptions!$B$9*E518</x:f>
        <x:v>1.9673780914336008</x:v>
      </x:c>
      <x:c r="I518" s="34" t="n">
        <x:f>-Assumptions!$B$10*E518</x:f>
        <x:v>3.285325427201595</x:v>
      </x:c>
      <x:c r="J518" s="36" t="n">
        <x:f>IF(C518&lt;-F518,1,0)</x:f>
        <x:v>0</x:v>
      </x:c>
      <x:c r="K518" s="36" t="n">
        <x:f>IF(C518&lt;-G518,1,0)</x:f>
        <x:v>0</x:v>
      </x:c>
      <x:c r="L518" s="36" t="n">
        <x:f>IF(C518&lt;-H518,1,0)</x:f>
        <x:v>0</x:v>
      </x:c>
      <x:c r="M518" s="36" t="n">
        <x:f>IF(C518&lt;-I518,1,0)</x:f>
        <x:v>0</x:v>
      </x:c>
      <x:c r="N518" s="34" t="n">
        <x:f>-F518</x:f>
        <x:v>-2.073261069329362</x:v>
      </x:c>
      <x:c r="O518" s="34" t="n">
        <x:f>-H518</x:f>
        <x:v>-1.9673780914336008</x:v>
      </x:c>
      <x:c r="P518" s="34" t="n">
        <x:f>-G518</x:f>
        <x:v>-2.932252695277848</x:v>
      </x:c>
      <x:c r="Q518" s="34" t="n">
        <x:f>-I518</x:f>
        <x:v>-3.285325427201595</x:v>
      </x:c>
      <x:c r="R518" s="36" t="n">
        <x:f>YEAR(A518)</x:f>
        <x:v>2023</x:v>
      </x:c>
    </x:row>
    <x:row r="519">
      <x:c r="A519" s="30" t="n">
        <x:v>44939</x:v>
      </x:c>
      <x:c r="B519" s="38" t="n">
        <x:v>3999.09</x:v>
      </x:c>
      <x:c r="C519" s="34" t="n">
        <x:f>(B519/B518-1)*100</x:f>
        <x:v>0.3996816605869258</x:v>
      </x:c>
      <x:c r="D519" s="34" t="n">
        <x:f>Assumptions!$B$4*D518+(1-Assumptions!$B$4)*C518^2</x:f>
        <x:v>1.5004190474298058</x:v>
      </x:c>
      <x:c r="E519" s="34" t="n">
        <x:f>SQRT(D519)</x:f>
        <x:v>1.2249159348419816</x:v>
      </x:c>
      <x:c r="F519" s="34" t="n">
        <x:f>-Assumptions!$B$7*E519</x:f>
        <x:v>2.0148074181354874</x:v>
      </x:c>
      <x:c r="G519" s="34" t="n">
        <x:f>-Assumptions!$B$8*E519</x:f>
        <x:v>2.8495805808983925</x:v>
      </x:c>
      <x:c r="H519" s="34" t="n">
        <x:f>-Assumptions!$B$9*E519</x:f>
        <x:v>1.9119097114864823</x:v>
      </x:c>
      <x:c r="I519" s="34" t="n">
        <x:f>-Assumptions!$B$10*E519</x:f>
        <x:v>3.1926987583170403</x:v>
      </x:c>
      <x:c r="J519" s="36" t="n">
        <x:f>IF(C519&lt;-F519,1,0)</x:f>
        <x:v>0</x:v>
      </x:c>
      <x:c r="K519" s="36" t="n">
        <x:f>IF(C519&lt;-G519,1,0)</x:f>
        <x:v>0</x:v>
      </x:c>
      <x:c r="L519" s="36" t="n">
        <x:f>IF(C519&lt;-H519,1,0)</x:f>
        <x:v>0</x:v>
      </x:c>
      <x:c r="M519" s="36" t="n">
        <x:f>IF(C519&lt;-I519,1,0)</x:f>
        <x:v>0</x:v>
      </x:c>
      <x:c r="N519" s="34" t="n">
        <x:f>-F519</x:f>
        <x:v>-2.0148074181354874</x:v>
      </x:c>
      <x:c r="O519" s="34" t="n">
        <x:f>-H519</x:f>
        <x:v>-1.9119097114864823</x:v>
      </x:c>
      <x:c r="P519" s="34" t="n">
        <x:f>-G519</x:f>
        <x:v>-2.8495805808983925</x:v>
      </x:c>
      <x:c r="Q519" s="34" t="n">
        <x:f>-I519</x:f>
        <x:v>-3.1926987583170403</x:v>
      </x:c>
      <x:c r="R519" s="36" t="n">
        <x:f>YEAR(A519)</x:f>
        <x:v>2023</x:v>
      </x:c>
    </x:row>
    <x:row r="520">
      <x:c r="A520" s="30" t="n">
        <x:v>44943</x:v>
      </x:c>
      <x:c r="B520" s="38" t="n">
        <x:v>3990.97</x:v>
      </x:c>
      <x:c r="C520" s="34" t="n">
        <x:f>(B520/B519-1)*100</x:f>
        <x:v>-0.20304619300891558</x:v>
      </x:c>
      <x:c r="D520" s="34" t="n">
        <x:f>Assumptions!$B$4*D519+(1-Assumptions!$B$4)*C519^2</x:f>
        <x:v>1.4199786303725888</x:v>
      </x:c>
      <x:c r="E520" s="34" t="n">
        <x:f>SQRT(D520)</x:f>
        <x:v>1.1916285622510854</x:v>
      </x:c>
      <x:c r="F520" s="34" t="n">
        <x:f>-Assumptions!$B$7*E520</x:f>
        <x:v>1.9600545625976666</x:v>
      </x:c>
      <x:c r="G520" s="34" t="n">
        <x:f>-Assumptions!$B$8*E520</x:f>
        <x:v>2.7721425724391557</x:v>
      </x:c>
      <x:c r="H520" s="34" t="n">
        <x:f>-Assumptions!$B$9*E520</x:f>
        <x:v>1.8599531248211179</x:v>
      </x:c>
      <x:c r="I520" s="34" t="n">
        <x:f>-Assumptions!$B$10*E520</x:f>
        <x:v>3.1059364343765807</x:v>
      </x:c>
      <x:c r="J520" s="36" t="n">
        <x:f>IF(C520&lt;-F520,1,0)</x:f>
        <x:v>0</x:v>
      </x:c>
      <x:c r="K520" s="36" t="n">
        <x:f>IF(C520&lt;-G520,1,0)</x:f>
        <x:v>0</x:v>
      </x:c>
      <x:c r="L520" s="36" t="n">
        <x:f>IF(C520&lt;-H520,1,0)</x:f>
        <x:v>0</x:v>
      </x:c>
      <x:c r="M520" s="36" t="n">
        <x:f>IF(C520&lt;-I520,1,0)</x:f>
        <x:v>0</x:v>
      </x:c>
      <x:c r="N520" s="34" t="n">
        <x:f>-F520</x:f>
        <x:v>-1.9600545625976666</x:v>
      </x:c>
      <x:c r="O520" s="34" t="n">
        <x:f>-H520</x:f>
        <x:v>-1.8599531248211179</x:v>
      </x:c>
      <x:c r="P520" s="34" t="n">
        <x:f>-G520</x:f>
        <x:v>-2.7721425724391557</x:v>
      </x:c>
      <x:c r="Q520" s="34" t="n">
        <x:f>-I520</x:f>
        <x:v>-3.1059364343765807</x:v>
      </x:c>
      <x:c r="R520" s="36" t="n">
        <x:f>YEAR(A520)</x:f>
        <x:v>2023</x:v>
      </x:c>
    </x:row>
    <x:row r="521">
      <x:c r="A521" s="30" t="n">
        <x:v>44944</x:v>
      </x:c>
      <x:c r="B521" s="38" t="n">
        <x:v>3928.86</x:v>
      </x:c>
      <x:c r="C521" s="34" t="n">
        <x:f>(B521/B520-1)*100</x:f>
        <x:v>-1.556263264319191</x:v>
      </x:c>
      <x:c r="D521" s="34" t="n">
        <x:f>Assumptions!$B$4*D520+(1-Assumptions!$B$4)*C520^2</x:f>
        <x:v>1.3372535779399581</x:v>
      </x:c>
      <x:c r="E521" s="34" t="n">
        <x:f>SQRT(D521)</x:f>
        <x:v>1.1563968081674898</x:v>
      </x:c>
      <x:c r="F521" s="34" t="n">
        <x:f>-Assumptions!$B$7*E521</x:f>
        <x:v>1.9021034841094022</x:v>
      </x:c>
      <x:c r="G521" s="34" t="n">
        <x:f>-Assumptions!$B$8*E521</x:f>
        <x:v>2.6901812562280534</x:v>
      </x:c>
      <x:c r="H521" s="34" t="n">
        <x:f>-Assumptions!$B$9*E521</x:f>
        <x:v>1.8049616508194186</x:v>
      </x:c>
      <x:c r="I521" s="34" t="n">
        <x:f>-Assumptions!$B$10*E521</x:f>
        <x:v>3.014106150912648</x:v>
      </x:c>
      <x:c r="J521" s="36" t="n">
        <x:f>IF(C521&lt;-F521,1,0)</x:f>
        <x:v>0</x:v>
      </x:c>
      <x:c r="K521" s="36" t="n">
        <x:f>IF(C521&lt;-G521,1,0)</x:f>
        <x:v>0</x:v>
      </x:c>
      <x:c r="L521" s="36" t="n">
        <x:f>IF(C521&lt;-H521,1,0)</x:f>
        <x:v>0</x:v>
      </x:c>
      <x:c r="M521" s="36" t="n">
        <x:f>IF(C521&lt;-I521,1,0)</x:f>
        <x:v>0</x:v>
      </x:c>
      <x:c r="N521" s="34" t="n">
        <x:f>-F521</x:f>
        <x:v>-1.9021034841094022</x:v>
      </x:c>
      <x:c r="O521" s="34" t="n">
        <x:f>-H521</x:f>
        <x:v>-1.8049616508194186</x:v>
      </x:c>
      <x:c r="P521" s="34" t="n">
        <x:f>-G521</x:f>
        <x:v>-2.6901812562280534</x:v>
      </x:c>
      <x:c r="Q521" s="34" t="n">
        <x:f>-I521</x:f>
        <x:v>-3.014106150912648</x:v>
      </x:c>
      <x:c r="R521" s="36" t="n">
        <x:f>YEAR(A521)</x:f>
        <x:v>2023</x:v>
      </x:c>
    </x:row>
    <x:row r="522">
      <x:c r="A522" s="30" t="n">
        <x:v>44945</x:v>
      </x:c>
      <x:c r="B522" s="38" t="n">
        <x:v>3898.85</x:v>
      </x:c>
      <x:c r="C522" s="34" t="n">
        <x:f>(B522/B521-1)*100</x:f>
        <x:v>-0.7638348019527341</x:v>
      </x:c>
      <x:c r="D522" s="34" t="n">
        <x:f>Assumptions!$B$4*D521+(1-Assumptions!$B$4)*C521^2</x:f>
        <x:v>1.4023356841357262</x:v>
      </x:c>
      <x:c r="E522" s="34" t="n">
        <x:f>SQRT(D522)</x:f>
        <x:v>1.1842025519883523</x:v>
      </x:c>
      <x:c r="F522" s="34" t="n">
        <x:f>-Assumptions!$B$7*E522</x:f>
        <x:v>1.9478398626832314</x:v>
      </x:c>
      <x:c r="G522" s="34" t="n">
        <x:f>-Assumptions!$B$8*E522</x:f>
        <x:v>2.754867089251841</x:v>
      </x:c>
      <x:c r="H522" s="34" t="n">
        <x:f>-Assumptions!$B$9*E522</x:f>
        <x:v>1.8483622386753276</x:v>
      </x:c>
      <x:c r="I522" s="34" t="n">
        <x:f>-Assumptions!$B$10*E522</x:f>
        <x:v>3.0865808091694222</x:v>
      </x:c>
      <x:c r="J522" s="36" t="n">
        <x:f>IF(C522&lt;-F522,1,0)</x:f>
        <x:v>0</x:v>
      </x:c>
      <x:c r="K522" s="36" t="n">
        <x:f>IF(C522&lt;-G522,1,0)</x:f>
        <x:v>0</x:v>
      </x:c>
      <x:c r="L522" s="36" t="n">
        <x:f>IF(C522&lt;-H522,1,0)</x:f>
        <x:v>0</x:v>
      </x:c>
      <x:c r="M522" s="36" t="n">
        <x:f>IF(C522&lt;-I522,1,0)</x:f>
        <x:v>0</x:v>
      </x:c>
      <x:c r="N522" s="34" t="n">
        <x:f>-F522</x:f>
        <x:v>-1.9478398626832314</x:v>
      </x:c>
      <x:c r="O522" s="34" t="n">
        <x:f>-H522</x:f>
        <x:v>-1.8483622386753276</x:v>
      </x:c>
      <x:c r="P522" s="34" t="n">
        <x:f>-G522</x:f>
        <x:v>-2.754867089251841</x:v>
      </x:c>
      <x:c r="Q522" s="34" t="n">
        <x:f>-I522</x:f>
        <x:v>-3.0865808091694222</x:v>
      </x:c>
      <x:c r="R522" s="36" t="n">
        <x:f>YEAR(A522)</x:f>
        <x:v>2023</x:v>
      </x:c>
    </x:row>
    <x:row r="523">
      <x:c r="A523" s="30" t="n">
        <x:v>44946</x:v>
      </x:c>
      <x:c r="B523" s="38" t="n">
        <x:v>3972.61</x:v>
      </x:c>
      <x:c r="C523" s="34" t="n">
        <x:f>(B523/B522-1)*100</x:f>
        <x:v>1.891839901509429</x:v>
      </x:c>
      <x:c r="D523" s="34" t="n">
        <x:f>Assumptions!$B$4*D522+(1-Assumptions!$B$4)*C522^2</x:f>
        <x:v>1.3532021593680328</x:v>
      </x:c>
      <x:c r="E523" s="34" t="n">
        <x:f>SQRT(D523)</x:f>
        <x:v>1.1632721776815746</x:v>
      </x:c>
      <x:c r="F523" s="34" t="n">
        <x:f>-Assumptions!$B$7*E523</x:f>
        <x:v>1.9134124605912763</x:v>
      </x:c>
      <x:c r="G523" s="34" t="n">
        <x:f>-Assumptions!$B$8*E523</x:f>
        <x:v>2.70617575748039</x:v>
      </x:c>
      <x:c r="H523" s="34" t="n">
        <x:f>-Assumptions!$B$9*E523</x:f>
        <x:v>1.8156930694989646</x:v>
      </x:c>
      <x:c r="I523" s="34" t="n">
        <x:f>-Assumptions!$B$10*E523</x:f>
        <x:v>3.032026551069269</x:v>
      </x:c>
      <x:c r="J523" s="36" t="n">
        <x:f>IF(C523&lt;-F523,1,0)</x:f>
        <x:v>0</x:v>
      </x:c>
      <x:c r="K523" s="36" t="n">
        <x:f>IF(C523&lt;-G523,1,0)</x:f>
        <x:v>0</x:v>
      </x:c>
      <x:c r="L523" s="36" t="n">
        <x:f>IF(C523&lt;-H523,1,0)</x:f>
        <x:v>0</x:v>
      </x:c>
      <x:c r="M523" s="36" t="n">
        <x:f>IF(C523&lt;-I523,1,0)</x:f>
        <x:v>0</x:v>
      </x:c>
      <x:c r="N523" s="34" t="n">
        <x:f>-F523</x:f>
        <x:v>-1.9134124605912763</x:v>
      </x:c>
      <x:c r="O523" s="34" t="n">
        <x:f>-H523</x:f>
        <x:v>-1.8156930694989646</x:v>
      </x:c>
      <x:c r="P523" s="34" t="n">
        <x:f>-G523</x:f>
        <x:v>-2.70617575748039</x:v>
      </x:c>
      <x:c r="Q523" s="34" t="n">
        <x:f>-I523</x:f>
        <x:v>-3.032026551069269</x:v>
      </x:c>
      <x:c r="R523" s="36" t="n">
        <x:f>YEAR(A523)</x:f>
        <x:v>2023</x:v>
      </x:c>
    </x:row>
    <x:row r="524">
      <x:c r="A524" s="30" t="n">
        <x:v>44949</x:v>
      </x:c>
      <x:c r="B524" s="38" t="n">
        <x:v>4019.81</x:v>
      </x:c>
      <x:c r="C524" s="34" t="n">
        <x:f>(B524/B523-1)*100</x:f>
        <x:v>1.188135759613962</x:v>
      </x:c>
      <x:c r="D524" s="34" t="n">
        <x:f>Assumptions!$B$4*D523+(1-Assumptions!$B$4)*C523^2</x:f>
        <x:v>1.4867535225825432</x:v>
      </x:c>
      <x:c r="E524" s="34" t="n">
        <x:f>SQRT(D524)</x:f>
        <x:v>1.219325027456807</x:v>
      </x:c>
      <x:c r="F524" s="34" t="n">
        <x:f>-Assumptions!$B$7*E524</x:f>
        <x:v>2.0056111938450334</x:v>
      </x:c>
      <x:c r="G524" s="34" t="n">
        <x:f>-Assumptions!$B$8*E524</x:f>
        <x:v>2.8365741853889324</x:v>
      </x:c>
      <x:c r="H524" s="34" t="n">
        <x:f>-Assumptions!$B$9*E524</x:f>
        <x:v>1.903183145179615</x:v>
      </x:c>
      <x:c r="I524" s="34" t="n">
        <x:f>-Assumptions!$B$10*E524</x:f>
        <x:v>3.178126261904203</x:v>
      </x:c>
      <x:c r="J524" s="36" t="n">
        <x:f>IF(C524&lt;-F524,1,0)</x:f>
        <x:v>0</x:v>
      </x:c>
      <x:c r="K524" s="36" t="n">
        <x:f>IF(C524&lt;-G524,1,0)</x:f>
        <x:v>0</x:v>
      </x:c>
      <x:c r="L524" s="36" t="n">
        <x:f>IF(C524&lt;-H524,1,0)</x:f>
        <x:v>0</x:v>
      </x:c>
      <x:c r="M524" s="36" t="n">
        <x:f>IF(C524&lt;-I524,1,0)</x:f>
        <x:v>0</x:v>
      </x:c>
      <x:c r="N524" s="34" t="n">
        <x:f>-F524</x:f>
        <x:v>-2.0056111938450334</x:v>
      </x:c>
      <x:c r="O524" s="34" t="n">
        <x:f>-H524</x:f>
        <x:v>-1.903183145179615</x:v>
      </x:c>
      <x:c r="P524" s="34" t="n">
        <x:f>-G524</x:f>
        <x:v>-2.8365741853889324</x:v>
      </x:c>
      <x:c r="Q524" s="34" t="n">
        <x:f>-I524</x:f>
        <x:v>-3.178126261904203</x:v>
      </x:c>
      <x:c r="R524" s="36" t="n">
        <x:f>YEAR(A524)</x:f>
        <x:v>2023</x:v>
      </x:c>
    </x:row>
    <x:row r="525">
      <x:c r="A525" s="30" t="n">
        <x:v>44950</x:v>
      </x:c>
      <x:c r="B525" s="38" t="n">
        <x:v>4016.95</x:v>
      </x:c>
      <x:c r="C525" s="34" t="n">
        <x:f>(B525/B524-1)*100</x:f>
        <x:v>-0.07114764130643492</x:v>
      </x:c>
      <x:c r="D525" s="34" t="n">
        <x:f>Assumptions!$B$4*D524+(1-Assumptions!$B$4)*C524^2</x:f>
        <x:v>1.4822483062239975</x:v>
      </x:c>
      <x:c r="E525" s="34" t="n">
        <x:f>SQRT(D525)</x:f>
        <x:v>1.2174762035555347</x:v>
      </x:c>
      <x:c r="F525" s="34" t="n">
        <x:f>-Assumptions!$B$7*E525</x:f>
        <x:v>2.0025701491454306</x:v>
      </x:c>
      <x:c r="G525" s="34" t="n">
        <x:f>-Assumptions!$B$8*E525</x:f>
        <x:v>2.8322731778367314</x:v>
      </x:c>
      <x:c r="H525" s="34" t="n">
        <x:f>-Assumptions!$B$9*E525</x:f>
        <x:v>1.9002974088844735</x:v>
      </x:c>
      <x:c r="I525" s="34" t="n">
        <x:f>-Assumptions!$B$10*E525</x:f>
        <x:v>3.173307369761453</x:v>
      </x:c>
      <x:c r="J525" s="36" t="n">
        <x:f>IF(C525&lt;-F525,1,0)</x:f>
        <x:v>0</x:v>
      </x:c>
      <x:c r="K525" s="36" t="n">
        <x:f>IF(C525&lt;-G525,1,0)</x:f>
        <x:v>0</x:v>
      </x:c>
      <x:c r="L525" s="36" t="n">
        <x:f>IF(C525&lt;-H525,1,0)</x:f>
        <x:v>0</x:v>
      </x:c>
      <x:c r="M525" s="36" t="n">
        <x:f>IF(C525&lt;-I525,1,0)</x:f>
        <x:v>0</x:v>
      </x:c>
      <x:c r="N525" s="34" t="n">
        <x:f>-F525</x:f>
        <x:v>-2.0025701491454306</x:v>
      </x:c>
      <x:c r="O525" s="34" t="n">
        <x:f>-H525</x:f>
        <x:v>-1.9002974088844735</x:v>
      </x:c>
      <x:c r="P525" s="34" t="n">
        <x:f>-G525</x:f>
        <x:v>-2.8322731778367314</x:v>
      </x:c>
      <x:c r="Q525" s="34" t="n">
        <x:f>-I525</x:f>
        <x:v>-3.173307369761453</x:v>
      </x:c>
      <x:c r="R525" s="36" t="n">
        <x:f>YEAR(A525)</x:f>
        <x:v>2023</x:v>
      </x:c>
    </x:row>
    <x:row r="526">
      <x:c r="A526" s="30" t="n">
        <x:v>44951</x:v>
      </x:c>
      <x:c r="B526" s="38" t="n">
        <x:v>4016.22</x:v>
      </x:c>
      <x:c r="C526" s="34" t="n">
        <x:f>(B526/B525-1)*100</x:f>
        <x:v>-0.018172991946630024</x:v>
      </x:c>
      <x:c r="D526" s="34" t="n">
        <x:f>Assumptions!$B$4*D525+(1-Assumptions!$B$4)*C525^2</x:f>
        <x:v>1.3936171270623656</x:v>
      </x:c>
      <x:c r="E526" s="34" t="n">
        <x:f>SQRT(D526)</x:f>
        <x:v>1.1805156191522268</x:v>
      </x:c>
      <x:c r="F526" s="34" t="n">
        <x:f>-Assumptions!$B$7*E526</x:f>
        <x:v>1.941775397835404</x:v>
      </x:c>
      <x:c r="G526" s="34" t="n">
        <x:f>-Assumptions!$B$8*E526</x:f>
        <x:v>2.746290000886789</x:v>
      </x:c>
      <x:c r="H526" s="34" t="n">
        <x:f>-Assumptions!$B$9*E526</x:f>
        <x:v>1.842607490537533</x:v>
      </x:c>
      <x:c r="I526" s="34" t="n">
        <x:f>-Assumptions!$B$10*E526</x:f>
        <x:v>3.076970953053529</x:v>
      </x:c>
      <x:c r="J526" s="36" t="n">
        <x:f>IF(C526&lt;-F526,1,0)</x:f>
        <x:v>0</x:v>
      </x:c>
      <x:c r="K526" s="36" t="n">
        <x:f>IF(C526&lt;-G526,1,0)</x:f>
        <x:v>0</x:v>
      </x:c>
      <x:c r="L526" s="36" t="n">
        <x:f>IF(C526&lt;-H526,1,0)</x:f>
        <x:v>0</x:v>
      </x:c>
      <x:c r="M526" s="36" t="n">
        <x:f>IF(C526&lt;-I526,1,0)</x:f>
        <x:v>0</x:v>
      </x:c>
      <x:c r="N526" s="34" t="n">
        <x:f>-F526</x:f>
        <x:v>-1.941775397835404</x:v>
      </x:c>
      <x:c r="O526" s="34" t="n">
        <x:f>-H526</x:f>
        <x:v>-1.842607490537533</x:v>
      </x:c>
      <x:c r="P526" s="34" t="n">
        <x:f>-G526</x:f>
        <x:v>-2.746290000886789</x:v>
      </x:c>
      <x:c r="Q526" s="34" t="n">
        <x:f>-I526</x:f>
        <x:v>-3.076970953053529</x:v>
      </x:c>
      <x:c r="R526" s="36" t="n">
        <x:f>YEAR(A526)</x:f>
        <x:v>2023</x:v>
      </x:c>
    </x:row>
    <x:row r="527">
      <x:c r="A527" s="30" t="n">
        <x:v>44952</x:v>
      </x:c>
      <x:c r="B527" s="38" t="n">
        <x:v>4060.43</x:v>
      </x:c>
      <x:c r="C527" s="34" t="n">
        <x:f>(B527/B526-1)*100</x:f>
        <x:v>1.1007863115068517</x:v>
      </x:c>
      <x:c r="D527" s="34" t="n">
        <x:f>Assumptions!$B$4*D526+(1-Assumptions!$B$4)*C526^2</x:f>
        <x:v>1.3100199148968013</x:v>
      </x:c>
      <x:c r="E527" s="34" t="n">
        <x:f>SQRT(D527)</x:f>
        <x:v>1.1445610140559572</x:v>
      </x:c>
      <x:c r="F527" s="34" t="n">
        <x:f>-Assumptions!$B$7*E527</x:f>
        <x:v>1.882635335237197</x:v>
      </x:c>
      <x:c r="G527" s="34" t="n">
        <x:f>-Assumptions!$B$8*E527</x:f>
        <x:v>2.6626470817591046</x:v>
      </x:c>
      <x:c r="H527" s="34" t="n">
        <x:f>-Assumptions!$B$9*E527</x:f>
        <x:v>1.7864877547247344</x:v>
      </x:c>
      <x:c r="I527" s="34" t="n">
        <x:f>-Assumptions!$B$10*E527</x:f>
        <x:v>2.9832565847597996</x:v>
      </x:c>
      <x:c r="J527" s="36" t="n">
        <x:f>IF(C527&lt;-F527,1,0)</x:f>
        <x:v>0</x:v>
      </x:c>
      <x:c r="K527" s="36" t="n">
        <x:f>IF(C527&lt;-G527,1,0)</x:f>
        <x:v>0</x:v>
      </x:c>
      <x:c r="L527" s="36" t="n">
        <x:f>IF(C527&lt;-H527,1,0)</x:f>
        <x:v>0</x:v>
      </x:c>
      <x:c r="M527" s="36" t="n">
        <x:f>IF(C527&lt;-I527,1,0)</x:f>
        <x:v>0</x:v>
      </x:c>
      <x:c r="N527" s="34" t="n">
        <x:f>-F527</x:f>
        <x:v>-1.882635335237197</x:v>
      </x:c>
      <x:c r="O527" s="34" t="n">
        <x:f>-H527</x:f>
        <x:v>-1.7864877547247344</x:v>
      </x:c>
      <x:c r="P527" s="34" t="n">
        <x:f>-G527</x:f>
        <x:v>-2.6626470817591046</x:v>
      </x:c>
      <x:c r="Q527" s="34" t="n">
        <x:f>-I527</x:f>
        <x:v>-2.9832565847597996</x:v>
      </x:c>
      <x:c r="R527" s="36" t="n">
        <x:f>YEAR(A527)</x:f>
        <x:v>2023</x:v>
      </x:c>
    </x:row>
    <x:row r="528">
      <x:c r="A528" s="30" t="n">
        <x:v>44953</x:v>
      </x:c>
      <x:c r="B528" s="38" t="n">
        <x:v>4070.56</x:v>
      </x:c>
      <x:c r="C528" s="34" t="n">
        <x:f>(B528/B527-1)*100</x:f>
        <x:v>0.24948096630159622</x:v>
      </x:c>
      <x:c r="D528" s="34" t="n">
        <x:f>Assumptions!$B$4*D527+(1-Assumptions!$B$4)*C527^2</x:f>
        <x:v>1.3041225502190448</x:v>
      </x:c>
      <x:c r="E528" s="34" t="n">
        <x:f>SQRT(D528)</x:f>
        <x:v>1.1419818519657152</x:v>
      </x:c>
      <x:c r="F528" s="34" t="n">
        <x:f>-Assumptions!$B$7*E528</x:f>
        <x:v>1.8783929911185666</x:v>
      </x:c>
      <x:c r="G528" s="34" t="n">
        <x:f>-Assumptions!$B$8*E528</x:f>
        <x:v>2.6566470535136633</x:v>
      </x:c>
      <x:c r="H528" s="34" t="n">
        <x:f>-Assumptions!$B$9*E528</x:f>
        <x:v>1.7824620702613614</x:v>
      </x:c>
      <x:c r="I528" s="34" t="n">
        <x:f>-Assumptions!$B$10*E528</x:f>
        <x:v>2.976534092735009</x:v>
      </x:c>
      <x:c r="J528" s="36" t="n">
        <x:f>IF(C528&lt;-F528,1,0)</x:f>
        <x:v>0</x:v>
      </x:c>
      <x:c r="K528" s="36" t="n">
        <x:f>IF(C528&lt;-G528,1,0)</x:f>
        <x:v>0</x:v>
      </x:c>
      <x:c r="L528" s="36" t="n">
        <x:f>IF(C528&lt;-H528,1,0)</x:f>
        <x:v>0</x:v>
      </x:c>
      <x:c r="M528" s="36" t="n">
        <x:f>IF(C528&lt;-I528,1,0)</x:f>
        <x:v>0</x:v>
      </x:c>
      <x:c r="N528" s="34" t="n">
        <x:f>-F528</x:f>
        <x:v>-1.8783929911185666</x:v>
      </x:c>
      <x:c r="O528" s="34" t="n">
        <x:f>-H528</x:f>
        <x:v>-1.7824620702613614</x:v>
      </x:c>
      <x:c r="P528" s="34" t="n">
        <x:f>-G528</x:f>
        <x:v>-2.6566470535136633</x:v>
      </x:c>
      <x:c r="Q528" s="34" t="n">
        <x:f>-I528</x:f>
        <x:v>-2.976534092735009</x:v>
      </x:c>
      <x:c r="R528" s="36" t="n">
        <x:f>YEAR(A528)</x:f>
        <x:v>2023</x:v>
      </x:c>
    </x:row>
    <x:row r="529">
      <x:c r="A529" s="30" t="n">
        <x:v>44956</x:v>
      </x:c>
      <x:c r="B529" s="38" t="n">
        <x:v>4017.77</x:v>
      </x:c>
      <x:c r="C529" s="34" t="n">
        <x:f>(B529/B528-1)*100</x:f>
        <x:v>-1.2968731575016657</x:v>
      </x:c>
      <x:c r="D529" s="34" t="n">
        <x:f>Assumptions!$B$4*D528+(1-Assumptions!$B$4)*C528^2</x:f>
        <x:v>1.2296096423587088</x:v>
      </x:c>
      <x:c r="E529" s="34" t="n">
        <x:f>SQRT(D529)</x:f>
        <x:v>1.108877649859852</x:v>
      </x:c>
      <x:c r="F529" s="34" t="n">
        <x:f>-Assumptions!$B$7*E529</x:f>
        <x:v>1.823941424217403</x:v>
      </x:c>
      <x:c r="G529" s="34" t="n">
        <x:f>-Assumptions!$B$8*E529</x:f>
        <x:v>2.57963516332287</x:v>
      </x:c>
      <x:c r="H529" s="34" t="n">
        <x:f>-Assumptions!$B$9*E529</x:f>
        <x:v>1.7307913851988996</x:v>
      </x:c>
      <x:c r="I529" s="34" t="n">
        <x:f>-Assumptions!$B$10*E529</x:f>
        <x:v>2.890249195990564</x:v>
      </x:c>
      <x:c r="J529" s="36" t="n">
        <x:f>IF(C529&lt;-F529,1,0)</x:f>
        <x:v>0</x:v>
      </x:c>
      <x:c r="K529" s="36" t="n">
        <x:f>IF(C529&lt;-G529,1,0)</x:f>
        <x:v>0</x:v>
      </x:c>
      <x:c r="L529" s="36" t="n">
        <x:f>IF(C529&lt;-H529,1,0)</x:f>
        <x:v>0</x:v>
      </x:c>
      <x:c r="M529" s="36" t="n">
        <x:f>IF(C529&lt;-I529,1,0)</x:f>
        <x:v>0</x:v>
      </x:c>
      <x:c r="N529" s="34" t="n">
        <x:f>-F529</x:f>
        <x:v>-1.823941424217403</x:v>
      </x:c>
      <x:c r="O529" s="34" t="n">
        <x:f>-H529</x:f>
        <x:v>-1.7307913851988996</x:v>
      </x:c>
      <x:c r="P529" s="34" t="n">
        <x:f>-G529</x:f>
        <x:v>-2.57963516332287</x:v>
      </x:c>
      <x:c r="Q529" s="34" t="n">
        <x:f>-I529</x:f>
        <x:v>-2.890249195990564</x:v>
      </x:c>
      <x:c r="R529" s="36" t="n">
        <x:f>YEAR(A529)</x:f>
        <x:v>2023</x:v>
      </x:c>
    </x:row>
    <x:row r="530">
      <x:c r="A530" s="30" t="n">
        <x:v>44957</x:v>
      </x:c>
      <x:c r="B530" s="38" t="n">
        <x:v>4076.6</x:v>
      </x:c>
      <x:c r="C530" s="34" t="n">
        <x:f>(B530/B529-1)*100</x:f>
        <x:v>1.4642450911824145</x:v>
      </x:c>
      <x:c r="D530" s="34" t="n">
        <x:f>Assumptions!$B$4*D529+(1-Assumptions!$B$4)*C529^2</x:f>
        <x:v>1.2567458630160868</x:v>
      </x:c>
      <x:c r="E530" s="34" t="n">
        <x:f>SQRT(D530)</x:f>
        <x:v>1.1210467711099688</x:v>
      </x:c>
      <x:c r="F530" s="34" t="n">
        <x:f>-Assumptions!$B$7*E530</x:f>
        <x:v>1.8439578474424698</x:v>
      </x:c>
      <x:c r="G530" s="34" t="n">
        <x:f>-Assumptions!$B$8*E530</x:f>
        <x:v>2.6079447726720244</x:v>
      </x:c>
      <x:c r="H530" s="34" t="n">
        <x:f>-Assumptions!$B$9*E530</x:f>
        <x:v>1.7497855548692909</x:v>
      </x:c>
      <x:c r="I530" s="34" t="n">
        <x:f>-Assumptions!$B$10*E530</x:f>
        <x:v>2.9219675671864365</x:v>
      </x:c>
      <x:c r="J530" s="36" t="n">
        <x:f>IF(C530&lt;-F530,1,0)</x:f>
        <x:v>0</x:v>
      </x:c>
      <x:c r="K530" s="36" t="n">
        <x:f>IF(C530&lt;-G530,1,0)</x:f>
        <x:v>0</x:v>
      </x:c>
      <x:c r="L530" s="36" t="n">
        <x:f>IF(C530&lt;-H530,1,0)</x:f>
        <x:v>0</x:v>
      </x:c>
      <x:c r="M530" s="36" t="n">
        <x:f>IF(C530&lt;-I530,1,0)</x:f>
        <x:v>0</x:v>
      </x:c>
      <x:c r="N530" s="34" t="n">
        <x:f>-F530</x:f>
        <x:v>-1.8439578474424698</x:v>
      </x:c>
      <x:c r="O530" s="34" t="n">
        <x:f>-H530</x:f>
        <x:v>-1.7497855548692909</x:v>
      </x:c>
      <x:c r="P530" s="34" t="n">
        <x:f>-G530</x:f>
        <x:v>-2.6079447726720244</x:v>
      </x:c>
      <x:c r="Q530" s="34" t="n">
        <x:f>-I530</x:f>
        <x:v>-2.9219675671864365</x:v>
      </x:c>
      <x:c r="R530" s="36" t="n">
        <x:f>YEAR(A530)</x:f>
        <x:v>2023</x:v>
      </x:c>
    </x:row>
    <x:row r="531">
      <x:c r="A531" s="30" t="n">
        <x:v>44958</x:v>
      </x:c>
      <x:c r="B531" s="38" t="n">
        <x:v>4119.21</x:v>
      </x:c>
      <x:c r="C531" s="34" t="n">
        <x:f>(B531/B530-1)*100</x:f>
        <x:v>1.0452337732424155</x:v>
      </x:c>
      <x:c r="D531" s="34" t="n">
        <x:f>Assumptions!$B$4*D530+(1-Assumptions!$B$4)*C530^2</x:f>
        <x:v>1.3099819324582296</x:v>
      </x:c>
      <x:c r="E531" s="34" t="n">
        <x:f>SQRT(D531)</x:f>
        <x:v>1.1445444213564757</x:v>
      </x:c>
      <x:c r="F531" s="34" t="n">
        <x:f>-Assumptions!$B$7*E531</x:f>
        <x:v>1.8826080426752738</x:v>
      </x:c>
      <x:c r="G531" s="34" t="n">
        <x:f>-Assumptions!$B$8*E531</x:f>
        <x:v>2.662608481367941</x:v>
      </x:c>
      <x:c r="H531" s="34" t="n">
        <x:f>-Assumptions!$B$9*E531</x:f>
        <x:v>1.7864618560141567</x:v>
      </x:c>
      <x:c r="I531" s="34" t="n">
        <x:f>-Assumptions!$B$10*E531</x:f>
        <x:v>2.9832133364931024</x:v>
      </x:c>
      <x:c r="J531" s="36" t="n">
        <x:f>IF(C531&lt;-F531,1,0)</x:f>
        <x:v>0</x:v>
      </x:c>
      <x:c r="K531" s="36" t="n">
        <x:f>IF(C531&lt;-G531,1,0)</x:f>
        <x:v>0</x:v>
      </x:c>
      <x:c r="L531" s="36" t="n">
        <x:f>IF(C531&lt;-H531,1,0)</x:f>
        <x:v>0</x:v>
      </x:c>
      <x:c r="M531" s="36" t="n">
        <x:f>IF(C531&lt;-I531,1,0)</x:f>
        <x:v>0</x:v>
      </x:c>
      <x:c r="N531" s="34" t="n">
        <x:f>-F531</x:f>
        <x:v>-1.8826080426752738</x:v>
      </x:c>
      <x:c r="O531" s="34" t="n">
        <x:f>-H531</x:f>
        <x:v>-1.7864618560141567</x:v>
      </x:c>
      <x:c r="P531" s="34" t="n">
        <x:f>-G531</x:f>
        <x:v>-2.662608481367941</x:v>
      </x:c>
      <x:c r="Q531" s="34" t="n">
        <x:f>-I531</x:f>
        <x:v>-2.9832133364931024</x:v>
      </x:c>
      <x:c r="R531" s="36" t="n">
        <x:f>YEAR(A531)</x:f>
        <x:v>2023</x:v>
      </x:c>
    </x:row>
    <x:row r="532">
      <x:c r="A532" s="30" t="n">
        <x:v>44959</x:v>
      </x:c>
      <x:c r="B532" s="38" t="n">
        <x:v>4179.76</x:v>
      </x:c>
      <x:c r="C532" s="34" t="n">
        <x:f>(B532/B531-1)*100</x:f>
        <x:v>1.469942051995421</x:v>
      </x:c>
      <x:c r="D532" s="34" t="n">
        <x:f>Assumptions!$B$4*D531+(1-Assumptions!$B$4)*C531^2</x:f>
        <x:v>1.2969338349543305</x:v>
      </x:c>
      <x:c r="E532" s="34" t="n">
        <x:f>SQRT(D532)</x:f>
        <x:v>1.1388300290009614</x:v>
      </x:c>
      <x:c r="F532" s="34" t="n">
        <x:f>-Assumptions!$B$7*E532</x:f>
        <x:v>1.8732087036834824</x:v>
      </x:c>
      <x:c r="G532" s="34" t="n">
        <x:f>-Assumptions!$B$8*E532</x:f>
        <x:v>2.649314816860255</x:v>
      </x:c>
      <x:c r="H532" s="34" t="n">
        <x:f>-Assumptions!$B$9*E532</x:f>
        <x:v>1.7775425482241398</x:v>
      </x:c>
      <x:c r="I532" s="34" t="n">
        <x:f>-Assumptions!$B$10*E532</x:f>
        <x:v>2.9683189810038497</x:v>
      </x:c>
      <x:c r="J532" s="36" t="n">
        <x:f>IF(C532&lt;-F532,1,0)</x:f>
        <x:v>0</x:v>
      </x:c>
      <x:c r="K532" s="36" t="n">
        <x:f>IF(C532&lt;-G532,1,0)</x:f>
        <x:v>0</x:v>
      </x:c>
      <x:c r="L532" s="36" t="n">
        <x:f>IF(C532&lt;-H532,1,0)</x:f>
        <x:v>0</x:v>
      </x:c>
      <x:c r="M532" s="36" t="n">
        <x:f>IF(C532&lt;-I532,1,0)</x:f>
        <x:v>0</x:v>
      </x:c>
      <x:c r="N532" s="34" t="n">
        <x:f>-F532</x:f>
        <x:v>-1.8732087036834824</x:v>
      </x:c>
      <x:c r="O532" s="34" t="n">
        <x:f>-H532</x:f>
        <x:v>-1.7775425482241398</x:v>
      </x:c>
      <x:c r="P532" s="34" t="n">
        <x:f>-G532</x:f>
        <x:v>-2.649314816860255</x:v>
      </x:c>
      <x:c r="Q532" s="34" t="n">
        <x:f>-I532</x:f>
        <x:v>-2.9683189810038497</x:v>
      </x:c>
      <x:c r="R532" s="36" t="n">
        <x:f>YEAR(A532)</x:f>
        <x:v>2023</x:v>
      </x:c>
    </x:row>
    <x:row r="533">
      <x:c r="A533" s="30" t="n">
        <x:v>44960</x:v>
      </x:c>
      <x:c r="B533" s="38" t="n">
        <x:v>4136.48</x:v>
      </x:c>
      <x:c r="C533" s="34" t="n">
        <x:f>(B533/B532-1)*100</x:f>
        <x:v>-1.0354661511665864</x:v>
      </x:c>
      <x:c r="D533" s="34" t="n">
        <x:f>Assumptions!$B$4*D532+(1-Assumptions!$B$4)*C532^2</x:f>
        <x:v>1.3487615830305413</x:v>
      </x:c>
      <x:c r="E533" s="34" t="n">
        <x:f>SQRT(D533)</x:f>
        <x:v>1.1613619517749587</x:v>
      </x:c>
      <x:c r="F533" s="34" t="n">
        <x:f>-Assumptions!$B$7*E533</x:f>
        <x:v>1.9102704185804824</x:v>
      </x:c>
      <x:c r="G533" s="34" t="n">
        <x:f>-Assumptions!$B$8*E533</x:f>
        <x:v>2.701731907503596</x:v>
      </x:c>
      <x:c r="H533" s="34" t="n">
        <x:f>-Assumptions!$B$9*E533</x:f>
        <x:v>1.8127114939000946</x:v>
      </x:c>
      <x:c r="I533" s="34" t="n">
        <x:f>-Assumptions!$B$10*E533</x:f>
        <x:v>3.0270476168365748</x:v>
      </x:c>
      <x:c r="J533" s="36" t="n">
        <x:f>IF(C533&lt;-F533,1,0)</x:f>
        <x:v>0</x:v>
      </x:c>
      <x:c r="K533" s="36" t="n">
        <x:f>IF(C533&lt;-G533,1,0)</x:f>
        <x:v>0</x:v>
      </x:c>
      <x:c r="L533" s="36" t="n">
        <x:f>IF(C533&lt;-H533,1,0)</x:f>
        <x:v>0</x:v>
      </x:c>
      <x:c r="M533" s="36" t="n">
        <x:f>IF(C533&lt;-I533,1,0)</x:f>
        <x:v>0</x:v>
      </x:c>
      <x:c r="N533" s="34" t="n">
        <x:f>-F533</x:f>
        <x:v>-1.9102704185804824</x:v>
      </x:c>
      <x:c r="O533" s="34" t="n">
        <x:f>-H533</x:f>
        <x:v>-1.8127114939000946</x:v>
      </x:c>
      <x:c r="P533" s="34" t="n">
        <x:f>-G533</x:f>
        <x:v>-2.701731907503596</x:v>
      </x:c>
      <x:c r="Q533" s="34" t="n">
        <x:f>-I533</x:f>
        <x:v>-3.0270476168365748</x:v>
      </x:c>
      <x:c r="R533" s="36" t="n">
        <x:f>YEAR(A533)</x:f>
        <x:v>2023</x:v>
      </x:c>
    </x:row>
    <x:row r="534">
      <x:c r="A534" s="30" t="n">
        <x:v>44963</x:v>
      </x:c>
      <x:c r="B534" s="38" t="n">
        <x:v>4111.08</x:v>
      </x:c>
      <x:c r="C534" s="34" t="n">
        <x:f>(B534/B533-1)*100</x:f>
        <x:v>-0.6140486597300043</x:v>
      </x:c>
      <x:c r="D534" s="34" t="n">
        <x:f>Assumptions!$B$4*D533+(1-Assumptions!$B$4)*C533^2</x:f>
        <x:v>1.3321672970614136</x:v>
      </x:c>
      <x:c r="E534" s="34" t="n">
        <x:f>SQRT(D534)</x:f>
        <x:v>1.1541955194252893</x:v>
      </x:c>
      <x:c r="F534" s="34" t="n">
        <x:f>-Assumptions!$B$7*E534</x:f>
        <x:v>1.8984826863378264</x:v>
      </x:c>
      <x:c r="G534" s="34" t="n">
        <x:f>-Assumptions!$B$8*E534</x:f>
        <x:v>2.6850602928424854</x:v>
      </x:c>
      <x:c r="H534" s="34" t="n">
        <x:f>-Assumptions!$B$9*E534</x:f>
        <x:v>1.8015257698709501</x:v>
      </x:c>
      <x:c r="I534" s="34" t="n">
        <x:f>-Assumptions!$B$10*E534</x:f>
        <x:v>3.008368572002935</x:v>
      </x:c>
      <x:c r="J534" s="36" t="n">
        <x:f>IF(C534&lt;-F534,1,0)</x:f>
        <x:v>0</x:v>
      </x:c>
      <x:c r="K534" s="36" t="n">
        <x:f>IF(C534&lt;-G534,1,0)</x:f>
        <x:v>0</x:v>
      </x:c>
      <x:c r="L534" s="36" t="n">
        <x:f>IF(C534&lt;-H534,1,0)</x:f>
        <x:v>0</x:v>
      </x:c>
      <x:c r="M534" s="36" t="n">
        <x:f>IF(C534&lt;-I534,1,0)</x:f>
        <x:v>0</x:v>
      </x:c>
      <x:c r="N534" s="34" t="n">
        <x:f>-F534</x:f>
        <x:v>-1.8984826863378264</x:v>
      </x:c>
      <x:c r="O534" s="34" t="n">
        <x:f>-H534</x:f>
        <x:v>-1.8015257698709501</x:v>
      </x:c>
      <x:c r="P534" s="34" t="n">
        <x:f>-G534</x:f>
        <x:v>-2.6850602928424854</x:v>
      </x:c>
      <x:c r="Q534" s="34" t="n">
        <x:f>-I534</x:f>
        <x:v>-3.008368572002935</x:v>
      </x:c>
      <x:c r="R534" s="36" t="n">
        <x:f>YEAR(A534)</x:f>
        <x:v>2023</x:v>
      </x:c>
    </x:row>
    <x:row r="535">
      <x:c r="A535" s="30" t="n">
        <x:v>44964</x:v>
      </x:c>
      <x:c r="B535" s="38" t="n">
        <x:v>4164</x:v>
      </x:c>
      <x:c r="C535" s="34" t="n">
        <x:f>(B535/B534-1)*100</x:f>
        <x:v>1.287252984617182</x:v>
      </x:c>
      <x:c r="D535" s="34" t="n">
        <x:f>Assumptions!$B$4*D534+(1-Assumptions!$B$4)*C534^2</x:f>
        <x:v>1.2748606046287017</x:v>
      </x:c>
      <x:c r="E535" s="34" t="n">
        <x:f>SQRT(D535)</x:f>
        <x:v>1.1290972520685283</x:v>
      </x:c>
      <x:c r="F535" s="34" t="n">
        <x:f>-Assumptions!$B$7*E535</x:f>
        <x:v>1.8571997102458602</x:v>
      </x:c>
      <x:c r="G535" s="34" t="n">
        <x:f>-Assumptions!$B$8*E535</x:f>
        <x:v>2.6266729919349756</x:v>
      </x:c>
      <x:c r="H535" s="34" t="n">
        <x:f>-Assumptions!$B$9*E535</x:f>
        <x:v>1.7623511459347647</x:v>
      </x:c>
      <x:c r="I535" s="34" t="n">
        <x:f>-Assumptions!$B$10*E535</x:f>
        <x:v>2.9429508525116974</x:v>
      </x:c>
      <x:c r="J535" s="36" t="n">
        <x:f>IF(C535&lt;-F535,1,0)</x:f>
        <x:v>0</x:v>
      </x:c>
      <x:c r="K535" s="36" t="n">
        <x:f>IF(C535&lt;-G535,1,0)</x:f>
        <x:v>0</x:v>
      </x:c>
      <x:c r="L535" s="36" t="n">
        <x:f>IF(C535&lt;-H535,1,0)</x:f>
        <x:v>0</x:v>
      </x:c>
      <x:c r="M535" s="36" t="n">
        <x:f>IF(C535&lt;-I535,1,0)</x:f>
        <x:v>0</x:v>
      </x:c>
      <x:c r="N535" s="34" t="n">
        <x:f>-F535</x:f>
        <x:v>-1.8571997102458602</x:v>
      </x:c>
      <x:c r="O535" s="34" t="n">
        <x:f>-H535</x:f>
        <x:v>-1.7623511459347647</x:v>
      </x:c>
      <x:c r="P535" s="34" t="n">
        <x:f>-G535</x:f>
        <x:v>-2.6266729919349756</x:v>
      </x:c>
      <x:c r="Q535" s="34" t="n">
        <x:f>-I535</x:f>
        <x:v>-2.9429508525116974</x:v>
      </x:c>
      <x:c r="R535" s="36" t="n">
        <x:f>YEAR(A535)</x:f>
        <x:v>2023</x:v>
      </x:c>
    </x:row>
    <x:row r="536">
      <x:c r="A536" s="30" t="n">
        <x:v>44965</x:v>
      </x:c>
      <x:c r="B536" s="38" t="n">
        <x:v>4117.86</x:v>
      </x:c>
      <x:c r="C536" s="34" t="n">
        <x:f>(B536/B535-1)*100</x:f>
        <x:v>-1.1080691642651352</x:v>
      </x:c>
      <x:c r="D536" s="34" t="n">
        <x:f>Assumptions!$B$4*D535+(1-Assumptions!$B$4)*C535^2</x:f>
        <x:v>1.2977901831353302</x:v>
      </x:c>
      <x:c r="E536" s="34" t="n">
        <x:f>SQRT(D536)</x:f>
        <x:v>1.139205944127457</x:v>
      </x:c>
      <x:c r="F536" s="34" t="n">
        <x:f>-Assumptions!$B$7*E536</x:f>
        <x:v>1.8738270290427244</x:v>
      </x:c>
      <x:c r="G536" s="34" t="n">
        <x:f>-Assumptions!$B$8*E536</x:f>
        <x:v>2.6501893262155978</x:v>
      </x:c>
      <x:c r="H536" s="34" t="n">
        <x:f>-Assumptions!$B$9*E536</x:f>
        <x:v>1.7781292952494645</x:v>
      </x:c>
      <x:c r="I536" s="34" t="n">
        <x:f>-Assumptions!$B$10*E536</x:f>
        <x:v>2.969298790085809</x:v>
      </x:c>
      <x:c r="J536" s="36" t="n">
        <x:f>IF(C536&lt;-F536,1,0)</x:f>
        <x:v>0</x:v>
      </x:c>
      <x:c r="K536" s="36" t="n">
        <x:f>IF(C536&lt;-G536,1,0)</x:f>
        <x:v>0</x:v>
      </x:c>
      <x:c r="L536" s="36" t="n">
        <x:f>IF(C536&lt;-H536,1,0)</x:f>
        <x:v>0</x:v>
      </x:c>
      <x:c r="M536" s="36" t="n">
        <x:f>IF(C536&lt;-I536,1,0)</x:f>
        <x:v>0</x:v>
      </x:c>
      <x:c r="N536" s="34" t="n">
        <x:f>-F536</x:f>
        <x:v>-1.8738270290427244</x:v>
      </x:c>
      <x:c r="O536" s="34" t="n">
        <x:f>-H536</x:f>
        <x:v>-1.7781292952494645</x:v>
      </x:c>
      <x:c r="P536" s="34" t="n">
        <x:f>-G536</x:f>
        <x:v>-2.6501893262155978</x:v>
      </x:c>
      <x:c r="Q536" s="34" t="n">
        <x:f>-I536</x:f>
        <x:v>-2.969298790085809</x:v>
      </x:c>
      <x:c r="R536" s="36" t="n">
        <x:f>YEAR(A536)</x:f>
        <x:v>2023</x:v>
      </x:c>
    </x:row>
    <x:row r="537">
      <x:c r="A537" s="30" t="n">
        <x:v>44966</x:v>
      </x:c>
      <x:c r="B537" s="38" t="n">
        <x:v>4081.5</x:v>
      </x:c>
      <x:c r="C537" s="34" t="n">
        <x:f>(B537/B536-1)*100</x:f>
        <x:v>-0.8829829085981511</x:v>
      </x:c>
      <x:c r="D537" s="34" t="n">
        <x:f>Assumptions!$B$4*D536+(1-Assumptions!$B$4)*C536^2</x:f>
        <x:v>1.2935918085149245</x:v>
      </x:c>
      <x:c r="E537" s="34" t="n">
        <x:f>SQRT(D537)</x:f>
        <x:v>1.1373617755643648</x:v>
      </x:c>
      <x:c r="F537" s="34" t="n">
        <x:f>-Assumptions!$B$7*E537</x:f>
        <x:v>1.8707936416930124</x:v>
      </x:c>
      <x:c r="G537" s="34" t="n">
        <x:f>-Assumptions!$B$8*E537</x:f>
        <x:v>2.6458991485994754</x:v>
      </x:c>
      <x:c r="H537" s="34" t="n">
        <x:f>-Assumptions!$B$9*E537</x:f>
        <x:v>1.7752508252376848</x:v>
      </x:c>
      <x:c r="I537" s="34" t="n">
        <x:f>-Assumptions!$B$10*E537</x:f>
        <x:v>2.9644920319124237</x:v>
      </x:c>
      <x:c r="J537" s="36" t="n">
        <x:f>IF(C537&lt;-F537,1,0)</x:f>
        <x:v>0</x:v>
      </x:c>
      <x:c r="K537" s="36" t="n">
        <x:f>IF(C537&lt;-G537,1,0)</x:f>
        <x:v>0</x:v>
      </x:c>
      <x:c r="L537" s="36" t="n">
        <x:f>IF(C537&lt;-H537,1,0)</x:f>
        <x:v>0</x:v>
      </x:c>
      <x:c r="M537" s="36" t="n">
        <x:f>IF(C537&lt;-I537,1,0)</x:f>
        <x:v>0</x:v>
      </x:c>
      <x:c r="N537" s="34" t="n">
        <x:f>-F537</x:f>
        <x:v>-1.8707936416930124</x:v>
      </x:c>
      <x:c r="O537" s="34" t="n">
        <x:f>-H537</x:f>
        <x:v>-1.7752508252376848</x:v>
      </x:c>
      <x:c r="P537" s="34" t="n">
        <x:f>-G537</x:f>
        <x:v>-2.6458991485994754</x:v>
      </x:c>
      <x:c r="Q537" s="34" t="n">
        <x:f>-I537</x:f>
        <x:v>-2.9644920319124237</x:v>
      </x:c>
      <x:c r="R537" s="36" t="n">
        <x:f>YEAR(A537)</x:f>
        <x:v>2023</x:v>
      </x:c>
    </x:row>
    <x:row r="538">
      <x:c r="A538" s="30" t="n">
        <x:v>44967</x:v>
      </x:c>
      <x:c r="B538" s="38" t="n">
        <x:v>4090.46</x:v>
      </x:c>
      <x:c r="C538" s="34" t="n">
        <x:f>(B538/B537-1)*100</x:f>
        <x:v>0.21952713463186946</x:v>
      </x:c>
      <x:c r="D538" s="34" t="n">
        <x:f>Assumptions!$B$4*D537+(1-Assumptions!$B$4)*C537^2</x:f>
        <x:v>1.262755829016616</x:v>
      </x:c>
      <x:c r="E538" s="34" t="n">
        <x:f>SQRT(D538)</x:f>
        <x:v>1.123724089363851</x:v>
      </x:c>
      <x:c r="F538" s="34" t="n">
        <x:f>-Assumptions!$B$7*E538</x:f>
        <x:v>1.8483616440828712</x:v>
      </x:c>
      <x:c r="G538" s="34" t="n">
        <x:f>-Assumptions!$B$8*E538</x:f>
        <x:v>2.614173146300074</x:v>
      </x:c>
      <x:c r="H538" s="34" t="n">
        <x:f>-Assumptions!$B$9*E538</x:f>
        <x:v>1.7539644463546056</x:v>
      </x:c>
      <x:c r="I538" s="34" t="n">
        <x:f>-Assumptions!$B$10*E538</x:f>
        <x:v>2.928945899675753</x:v>
      </x:c>
      <x:c r="J538" s="36" t="n">
        <x:f>IF(C538&lt;-F538,1,0)</x:f>
        <x:v>0</x:v>
      </x:c>
      <x:c r="K538" s="36" t="n">
        <x:f>IF(C538&lt;-G538,1,0)</x:f>
        <x:v>0</x:v>
      </x:c>
      <x:c r="L538" s="36" t="n">
        <x:f>IF(C538&lt;-H538,1,0)</x:f>
        <x:v>0</x:v>
      </x:c>
      <x:c r="M538" s="36" t="n">
        <x:f>IF(C538&lt;-I538,1,0)</x:f>
        <x:v>0</x:v>
      </x:c>
      <x:c r="N538" s="34" t="n">
        <x:f>-F538</x:f>
        <x:v>-1.8483616440828712</x:v>
      </x:c>
      <x:c r="O538" s="34" t="n">
        <x:f>-H538</x:f>
        <x:v>-1.7539644463546056</x:v>
      </x:c>
      <x:c r="P538" s="34" t="n">
        <x:f>-G538</x:f>
        <x:v>-2.614173146300074</x:v>
      </x:c>
      <x:c r="Q538" s="34" t="n">
        <x:f>-I538</x:f>
        <x:v>-2.928945899675753</x:v>
      </x:c>
      <x:c r="R538" s="36" t="n">
        <x:f>YEAR(A538)</x:f>
        <x:v>2023</x:v>
      </x:c>
    </x:row>
    <x:row r="539">
      <x:c r="A539" s="30" t="n">
        <x:v>44970</x:v>
      </x:c>
      <x:c r="B539" s="38" t="n">
        <x:v>4137.29</x:v>
      </x:c>
      <x:c r="C539" s="34" t="n">
        <x:f>(B539/B538-1)*100</x:f>
        <x:v>1.1448590134117032</x:v>
      </x:c>
      <x:c r="D539" s="34" t="n">
        <x:f>Assumptions!$B$4*D538+(1-Assumptions!$B$4)*C538^2</x:f>
        <x:v>1.1898820090459996</x:v>
      </x:c>
      <x:c r="E539" s="34" t="n">
        <x:f>SQRT(D539)</x:f>
        <x:v>1.0908171290578452</x:v>
      </x:c>
      <x:c r="F539" s="34" t="n">
        <x:f>-Assumptions!$B$7*E539</x:f>
        <x:v>1.7942345110715896</x:v>
      </x:c>
      <x:c r="G539" s="34" t="n">
        <x:f>-Assumptions!$B$8*E539</x:f>
        <x:v>2.5376201091510513</x:v>
      </x:c>
      <x:c r="H539" s="34" t="n">
        <x:f>-Assumptions!$B$9*E539</x:f>
        <x:v>1.7026016261030519</x:v>
      </x:c>
      <x:c r="I539" s="34" t="n">
        <x:f>-Assumptions!$B$10*E539</x:f>
        <x:v>2.8431751064967696</x:v>
      </x:c>
      <x:c r="J539" s="36" t="n">
        <x:f>IF(C539&lt;-F539,1,0)</x:f>
        <x:v>0</x:v>
      </x:c>
      <x:c r="K539" s="36" t="n">
        <x:f>IF(C539&lt;-G539,1,0)</x:f>
        <x:v>0</x:v>
      </x:c>
      <x:c r="L539" s="36" t="n">
        <x:f>IF(C539&lt;-H539,1,0)</x:f>
        <x:v>0</x:v>
      </x:c>
      <x:c r="M539" s="36" t="n">
        <x:f>IF(C539&lt;-I539,1,0)</x:f>
        <x:v>0</x:v>
      </x:c>
      <x:c r="N539" s="34" t="n">
        <x:f>-F539</x:f>
        <x:v>-1.7942345110715896</x:v>
      </x:c>
      <x:c r="O539" s="34" t="n">
        <x:f>-H539</x:f>
        <x:v>-1.7026016261030519</x:v>
      </x:c>
      <x:c r="P539" s="34" t="n">
        <x:f>-G539</x:f>
        <x:v>-2.5376201091510513</x:v>
      </x:c>
      <x:c r="Q539" s="34" t="n">
        <x:f>-I539</x:f>
        <x:v>-2.8431751064967696</x:v>
      </x:c>
      <x:c r="R539" s="36" t="n">
        <x:f>YEAR(A539)</x:f>
        <x:v>2023</x:v>
      </x:c>
    </x:row>
    <x:row r="540">
      <x:c r="A540" s="30" t="n">
        <x:v>44971</x:v>
      </x:c>
      <x:c r="B540" s="38" t="n">
        <x:v>4136.13</x:v>
      </x:c>
      <x:c r="C540" s="34" t="n">
        <x:f>(B540/B539-1)*100</x:f>
        <x:v>-0.02803767683676739</x:v>
      </x:c>
      <x:c r="D540" s="34" t="n">
        <x:f>Assumptions!$B$4*D539+(1-Assumptions!$B$4)*C539^2</x:f>
        <x:v>1.1971312181386407</x:v>
      </x:c>
      <x:c r="E540" s="34" t="n">
        <x:f>SQRT(D540)</x:f>
        <x:v>1.0941349177037722</x:v>
      </x:c>
      <x:c r="F540" s="34" t="n">
        <x:f>-Assumptions!$B$7*E540</x:f>
        <x:v>1.799691787759301</x:v>
      </x:c>
      <x:c r="G540" s="34" t="n">
        <x:f>-Assumptions!$B$8*E540</x:f>
        <x:v>2.5453384397140204</x:v>
      </x:c>
      <x:c r="H540" s="34" t="n">
        <x:f>-Assumptions!$B$9*E540</x:f>
        <x:v>1.7077801956296421</x:v>
      </x:c>
      <x:c r="I540" s="34" t="n">
        <x:f>-Assumptions!$B$10*E540</x:f>
        <x:v>2.8518228017294844</x:v>
      </x:c>
      <x:c r="J540" s="36" t="n">
        <x:f>IF(C540&lt;-F540,1,0)</x:f>
        <x:v>0</x:v>
      </x:c>
      <x:c r="K540" s="36" t="n">
        <x:f>IF(C540&lt;-G540,1,0)</x:f>
        <x:v>0</x:v>
      </x:c>
      <x:c r="L540" s="36" t="n">
        <x:f>IF(C540&lt;-H540,1,0)</x:f>
        <x:v>0</x:v>
      </x:c>
      <x:c r="M540" s="36" t="n">
        <x:f>IF(C540&lt;-I540,1,0)</x:f>
        <x:v>0</x:v>
      </x:c>
      <x:c r="N540" s="34" t="n">
        <x:f>-F540</x:f>
        <x:v>-1.799691787759301</x:v>
      </x:c>
      <x:c r="O540" s="34" t="n">
        <x:f>-H540</x:f>
        <x:v>-1.7077801956296421</x:v>
      </x:c>
      <x:c r="P540" s="34" t="n">
        <x:f>-G540</x:f>
        <x:v>-2.5453384397140204</x:v>
      </x:c>
      <x:c r="Q540" s="34" t="n">
        <x:f>-I540</x:f>
        <x:v>-2.8518228017294844</x:v>
      </x:c>
      <x:c r="R540" s="36" t="n">
        <x:f>YEAR(A540)</x:f>
        <x:v>2023</x:v>
      </x:c>
    </x:row>
    <x:row r="541">
      <x:c r="A541" s="30" t="n">
        <x:v>44972</x:v>
      </x:c>
      <x:c r="B541" s="38" t="n">
        <x:v>4147.6</x:v>
      </x:c>
      <x:c r="C541" s="34" t="n">
        <x:f>(B541/B540-1)*100</x:f>
        <x:v>0.27731236687436045</x:v>
      </x:c>
      <x:c r="D541" s="34" t="n">
        <x:f>Assumptions!$B$4*D540+(1-Assumptions!$B$4)*C540^2</x:f>
        <x:v>1.1253505117296665</x:v>
      </x:c>
      <x:c r="E541" s="34" t="n">
        <x:f>SQRT(D541)</x:f>
        <x:v>1.06082539172555</x:v>
      </x:c>
      <x:c r="F541" s="34" t="n">
        <x:f>-Assumptions!$B$7*E541</x:f>
        <x:v>1.7449024931419876</x:v>
      </x:c>
      <x:c r="G541" s="34" t="n">
        <x:f>-Assumptions!$B$8*E541</x:f>
        <x:v>2.4678488947692747</x:v>
      </x:c>
      <x:c r="H541" s="34" t="n">
        <x:f>-Assumptions!$B$9*E541</x:f>
        <x:v>1.655789030855555</x:v>
      </x:c>
      <x:c r="I541" s="34" t="n">
        <x:f>-Assumptions!$B$10*E541</x:f>
        <x:v>2.7650027357920464</x:v>
      </x:c>
      <x:c r="J541" s="36" t="n">
        <x:f>IF(C541&lt;-F541,1,0)</x:f>
        <x:v>0</x:v>
      </x:c>
      <x:c r="K541" s="36" t="n">
        <x:f>IF(C541&lt;-G541,1,0)</x:f>
        <x:v>0</x:v>
      </x:c>
      <x:c r="L541" s="36" t="n">
        <x:f>IF(C541&lt;-H541,1,0)</x:f>
        <x:v>0</x:v>
      </x:c>
      <x:c r="M541" s="36" t="n">
        <x:f>IF(C541&lt;-I541,1,0)</x:f>
        <x:v>0</x:v>
      </x:c>
      <x:c r="N541" s="34" t="n">
        <x:f>-F541</x:f>
        <x:v>-1.7449024931419876</x:v>
      </x:c>
      <x:c r="O541" s="34" t="n">
        <x:f>-H541</x:f>
        <x:v>-1.655789030855555</x:v>
      </x:c>
      <x:c r="P541" s="34" t="n">
        <x:f>-G541</x:f>
        <x:v>-2.4678488947692747</x:v>
      </x:c>
      <x:c r="Q541" s="34" t="n">
        <x:f>-I541</x:f>
        <x:v>-2.7650027357920464</x:v>
      </x:c>
      <x:c r="R541" s="36" t="n">
        <x:f>YEAR(A541)</x:f>
        <x:v>2023</x:v>
      </x:c>
    </x:row>
    <x:row r="542">
      <x:c r="A542" s="30" t="n">
        <x:v>44973</x:v>
      </x:c>
      <x:c r="B542" s="38" t="n">
        <x:v>4090.41</x:v>
      </x:c>
      <x:c r="C542" s="34" t="n">
        <x:f>(B542/B541-1)*100</x:f>
        <x:v>-1.378869707782826</x:v>
      </x:c>
      <x:c r="D542" s="34" t="n">
        <x:f>Assumptions!$B$4*D541+(1-Assumptions!$B$4)*C541^2</x:f>
        <x:v>1.062443609955174</x:v>
      </x:c>
      <x:c r="E542" s="34" t="n">
        <x:f>SQRT(D542)</x:f>
        <x:v>1.0307490528519412</x:v>
      </x:c>
      <x:c r="F542" s="34" t="n">
        <x:f>-Assumptions!$B$7*E542</x:f>
        <x:v>1.6954313180603109</x:v>
      </x:c>
      <x:c r="G542" s="34" t="n">
        <x:f>-Assumptions!$B$8*E542</x:f>
        <x:v>2.397880867771723</x:v>
      </x:c>
      <x:c r="H542" s="34" t="n">
        <x:f>-Assumptions!$B$9*E542</x:f>
        <x:v>1.608844385314774</x:v>
      </x:c>
      <x:c r="I542" s="34" t="n">
        <x:f>-Assumptions!$B$10*E542</x:f>
        <x:v>2.686609854252073</x:v>
      </x:c>
      <x:c r="J542" s="36" t="n">
        <x:f>IF(C542&lt;-F542,1,0)</x:f>
        <x:v>0</x:v>
      </x:c>
      <x:c r="K542" s="36" t="n">
        <x:f>IF(C542&lt;-G542,1,0)</x:f>
        <x:v>0</x:v>
      </x:c>
      <x:c r="L542" s="36" t="n">
        <x:f>IF(C542&lt;-H542,1,0)</x:f>
        <x:v>0</x:v>
      </x:c>
      <x:c r="M542" s="36" t="n">
        <x:f>IF(C542&lt;-I542,1,0)</x:f>
        <x:v>0</x:v>
      </x:c>
      <x:c r="N542" s="34" t="n">
        <x:f>-F542</x:f>
        <x:v>-1.6954313180603109</x:v>
      </x:c>
      <x:c r="O542" s="34" t="n">
        <x:f>-H542</x:f>
        <x:v>-1.608844385314774</x:v>
      </x:c>
      <x:c r="P542" s="34" t="n">
        <x:f>-G542</x:f>
        <x:v>-2.397880867771723</x:v>
      </x:c>
      <x:c r="Q542" s="34" t="n">
        <x:f>-I542</x:f>
        <x:v>-2.686609854252073</x:v>
      </x:c>
      <x:c r="R542" s="36" t="n">
        <x:f>YEAR(A542)</x:f>
        <x:v>2023</x:v>
      </x:c>
    </x:row>
    <x:row r="543">
      <x:c r="A543" s="30" t="n">
        <x:v>44974</x:v>
      </x:c>
      <x:c r="B543" s="38" t="n">
        <x:v>4079.09</x:v>
      </x:c>
      <x:c r="C543" s="34" t="n">
        <x:f>(B543/B542-1)*100</x:f>
        <x:v>-0.2767448739857348</x:v>
      </x:c>
      <x:c r="D543" s="34" t="n">
        <x:f>Assumptions!$B$4*D542+(1-Assumptions!$B$4)*C542^2</x:f>
        <x:v>1.1127738936203293</x:v>
      </x:c>
      <x:c r="E543" s="34" t="n">
        <x:f>SQRT(D543)</x:f>
        <x:v>1.0548809855241155</x:v>
      </x:c>
      <x:c r="F543" s="34" t="n">
        <x:f>-Assumptions!$B$7*E543</x:f>
        <x:v>1.7351248150414855</x:v>
      </x:c>
      <x:c r="G543" s="34" t="n">
        <x:f>-Assumptions!$B$8*E543</x:f>
        <x:v>2.4540201380401325</x:v>
      </x:c>
      <x:c r="H543" s="34" t="n">
        <x:f>-Assumptions!$B$9*E543</x:f>
        <x:v>1.646510706015239</x:v>
      </x:c>
      <x:c r="I543" s="34" t="n">
        <x:f>-Assumptions!$B$10*E543</x:f>
        <x:v>2.749508857593213</x:v>
      </x:c>
      <x:c r="J543" s="36" t="n">
        <x:f>IF(C543&lt;-F543,1,0)</x:f>
        <x:v>0</x:v>
      </x:c>
      <x:c r="K543" s="36" t="n">
        <x:f>IF(C543&lt;-G543,1,0)</x:f>
        <x:v>0</x:v>
      </x:c>
      <x:c r="L543" s="36" t="n">
        <x:f>IF(C543&lt;-H543,1,0)</x:f>
        <x:v>0</x:v>
      </x:c>
      <x:c r="M543" s="36" t="n">
        <x:f>IF(C543&lt;-I543,1,0)</x:f>
        <x:v>0</x:v>
      </x:c>
      <x:c r="N543" s="34" t="n">
        <x:f>-F543</x:f>
        <x:v>-1.7351248150414855</x:v>
      </x:c>
      <x:c r="O543" s="34" t="n">
        <x:f>-H543</x:f>
        <x:v>-1.646510706015239</x:v>
      </x:c>
      <x:c r="P543" s="34" t="n">
        <x:f>-G543</x:f>
        <x:v>-2.4540201380401325</x:v>
      </x:c>
      <x:c r="Q543" s="34" t="n">
        <x:f>-I543</x:f>
        <x:v>-2.749508857593213</x:v>
      </x:c>
      <x:c r="R543" s="36" t="n">
        <x:f>YEAR(A543)</x:f>
        <x:v>2023</x:v>
      </x:c>
    </x:row>
    <x:row r="544">
      <x:c r="A544" s="30" t="n">
        <x:v>44978</x:v>
      </x:c>
      <x:c r="B544" s="38" t="n">
        <x:v>3997.34</x:v>
      </x:c>
      <x:c r="C544" s="34" t="n">
        <x:f>(B544/B543-1)*100</x:f>
        <x:v>-2.0041234687148357</x:v>
      </x:c>
      <x:c r="D544" s="34" t="n">
        <x:f>Assumptions!$B$4*D543+(1-Assumptions!$B$4)*C543^2</x:f>
        <x:v>1.0506027235197524</x:v>
      </x:c>
      <x:c r="E544" s="34" t="n">
        <x:f>SQRT(D544)</x:f>
        <x:v>1.0249891333666676</x:v>
      </x:c>
      <x:c r="F544" s="34" t="n">
        <x:f>-Assumptions!$B$7*E544</x:f>
        <x:v>1.6859570936040102</x:v>
      </x:c>
      <x:c r="G544" s="34" t="n">
        <x:f>-Assumptions!$B$8*E544</x:f>
        <x:v>2.3844812913225106</x:v>
      </x:c>
      <x:c r="H544" s="34" t="n">
        <x:f>-Assumptions!$B$9*E544</x:f>
        <x:v>1.5998540165163673</x:v>
      </x:c>
      <x:c r="I544" s="34" t="n">
        <x:f>-Assumptions!$B$10*E544</x:f>
        <x:v>2.6715968339577363</x:v>
      </x:c>
      <x:c r="J544" s="36" t="n">
        <x:f>IF(C544&lt;-F544,1,0)</x:f>
        <x:v>1</x:v>
      </x:c>
      <x:c r="K544" s="36" t="n">
        <x:f>IF(C544&lt;-G544,1,0)</x:f>
        <x:v>0</x:v>
      </x:c>
      <x:c r="L544" s="36" t="n">
        <x:f>IF(C544&lt;-H544,1,0)</x:f>
        <x:v>1</x:v>
      </x:c>
      <x:c r="M544" s="36" t="n">
        <x:f>IF(C544&lt;-I544,1,0)</x:f>
        <x:v>0</x:v>
      </x:c>
      <x:c r="N544" s="34" t="n">
        <x:f>-F544</x:f>
        <x:v>-1.6859570936040102</x:v>
      </x:c>
      <x:c r="O544" s="34" t="n">
        <x:f>-H544</x:f>
        <x:v>-1.5998540165163673</x:v>
      </x:c>
      <x:c r="P544" s="34" t="n">
        <x:f>-G544</x:f>
        <x:v>-2.3844812913225106</x:v>
      </x:c>
      <x:c r="Q544" s="34" t="n">
        <x:f>-I544</x:f>
        <x:v>-2.6715968339577363</x:v>
      </x:c>
      <x:c r="R544" s="36" t="n">
        <x:f>YEAR(A544)</x:f>
        <x:v>2023</x:v>
      </x:c>
    </x:row>
    <x:row r="545">
      <x:c r="A545" s="30" t="n">
        <x:v>44979</x:v>
      </x:c>
      <x:c r="B545" s="38" t="n">
        <x:v>3991.05</x:v>
      </x:c>
      <x:c r="C545" s="34" t="n">
        <x:f>(B545/B544-1)*100</x:f>
        <x:v>-0.15735464083616035</x:v>
      </x:c>
      <x:c r="D545" s="34" t="n">
        <x:f>Assumptions!$B$4*D544+(1-Assumptions!$B$4)*C544^2</x:f>
        <x:v>1.2285572127797824</x:v>
      </x:c>
      <x:c r="E545" s="34" t="n">
        <x:f>SQRT(D545)</x:f>
        <x:v>1.1084030010694585</x:v>
      </x:c>
      <x:c r="F545" s="34" t="n">
        <x:f>-Assumptions!$B$7*E545</x:f>
        <x:v>1.823160696432996</x:v>
      </x:c>
      <x:c r="G545" s="34" t="n">
        <x:f>-Assumptions!$B$8*E545</x:f>
        <x:v>2.5785309651184223</x:v>
      </x:c>
      <x:c r="H545" s="34" t="n">
        <x:f>-Assumptions!$B$9*E545</x:f>
        <x:v>1.7300505297605093</x:v>
      </x:c>
      <x:c r="I545" s="34" t="n">
        <x:f>-Assumptions!$B$10*E545</x:f>
        <x:v>2.8890120412106963</x:v>
      </x:c>
      <x:c r="J545" s="36" t="n">
        <x:f>IF(C545&lt;-F545,1,0)</x:f>
        <x:v>0</x:v>
      </x:c>
      <x:c r="K545" s="36" t="n">
        <x:f>IF(C545&lt;-G545,1,0)</x:f>
        <x:v>0</x:v>
      </x:c>
      <x:c r="L545" s="36" t="n">
        <x:f>IF(C545&lt;-H545,1,0)</x:f>
        <x:v>0</x:v>
      </x:c>
      <x:c r="M545" s="36" t="n">
        <x:f>IF(C545&lt;-I545,1,0)</x:f>
        <x:v>0</x:v>
      </x:c>
      <x:c r="N545" s="34" t="n">
        <x:f>-F545</x:f>
        <x:v>-1.823160696432996</x:v>
      </x:c>
      <x:c r="O545" s="34" t="n">
        <x:f>-H545</x:f>
        <x:v>-1.7300505297605093</x:v>
      </x:c>
      <x:c r="P545" s="34" t="n">
        <x:f>-G545</x:f>
        <x:v>-2.5785309651184223</x:v>
      </x:c>
      <x:c r="Q545" s="34" t="n">
        <x:f>-I545</x:f>
        <x:v>-2.8890120412106963</x:v>
      </x:c>
      <x:c r="R545" s="36" t="n">
        <x:f>YEAR(A545)</x:f>
        <x:v>2023</x:v>
      </x:c>
    </x:row>
    <x:row r="546">
      <x:c r="A546" s="30" t="n">
        <x:v>44980</x:v>
      </x:c>
      <x:c r="B546" s="38" t="n">
        <x:v>4012.32</x:v>
      </x:c>
      <x:c r="C546" s="34" t="n">
        <x:f>(B546/B545-1)*100</x:f>
        <x:v>0.532942458751462</x:v>
      </x:c>
      <x:c r="D546" s="34" t="n">
        <x:f>Assumptions!$B$4*D545+(1-Assumptions!$B$4)*C545^2</x:f>
        <x:v>1.156329408992556</x:v>
      </x:c>
      <x:c r="E546" s="34" t="n">
        <x:f>SQRT(D546)</x:f>
        <x:v>1.0753275821778943</x:v>
      </x:c>
      <x:c r="F546" s="34" t="n">
        <x:f>-Assumptions!$B$7*E546</x:f>
        <x:v>1.7687564737062673</x:v>
      </x:c>
      <x:c r="G546" s="34" t="n">
        <x:f>-Assumptions!$B$8*E546</x:f>
        <x:v>2.5015860346970213</x:v>
      </x:c>
      <x:c r="H546" s="34" t="n">
        <x:f>-Assumptions!$B$9*E546</x:f>
        <x:v>1.6784247709704392</x:v>
      </x:c>
      <x:c r="I546" s="34" t="n">
        <x:f>-Assumptions!$B$10*E546</x:f>
        <x:v>2.802802166865698</x:v>
      </x:c>
      <x:c r="J546" s="36" t="n">
        <x:f>IF(C546&lt;-F546,1,0)</x:f>
        <x:v>0</x:v>
      </x:c>
      <x:c r="K546" s="36" t="n">
        <x:f>IF(C546&lt;-G546,1,0)</x:f>
        <x:v>0</x:v>
      </x:c>
      <x:c r="L546" s="36" t="n">
        <x:f>IF(C546&lt;-H546,1,0)</x:f>
        <x:v>0</x:v>
      </x:c>
      <x:c r="M546" s="36" t="n">
        <x:f>IF(C546&lt;-I546,1,0)</x:f>
        <x:v>0</x:v>
      </x:c>
      <x:c r="N546" s="34" t="n">
        <x:f>-F546</x:f>
        <x:v>-1.7687564737062673</x:v>
      </x:c>
      <x:c r="O546" s="34" t="n">
        <x:f>-H546</x:f>
        <x:v>-1.6784247709704392</x:v>
      </x:c>
      <x:c r="P546" s="34" t="n">
        <x:f>-G546</x:f>
        <x:v>-2.5015860346970213</x:v>
      </x:c>
      <x:c r="Q546" s="34" t="n">
        <x:f>-I546</x:f>
        <x:v>-2.802802166865698</x:v>
      </x:c>
      <x:c r="R546" s="36" t="n">
        <x:f>YEAR(A546)</x:f>
        <x:v>2023</x:v>
      </x:c>
    </x:row>
    <x:row r="547">
      <x:c r="A547" s="30" t="n">
        <x:v>44981</x:v>
      </x:c>
      <x:c r="B547" s="38" t="n">
        <x:v>3970.04</x:v>
      </x:c>
      <x:c r="C547" s="34" t="n">
        <x:f>(B547/B546-1)*100</x:f>
        <x:v>-1.0537544363360851</x:v>
      </x:c>
      <x:c r="D547" s="34" t="n">
        <x:f>Assumptions!$B$4*D546+(1-Assumptions!$B$4)*C546^2</x:f>
        <x:v>1.1039913043134058</x:v>
      </x:c>
      <x:c r="E547" s="34" t="n">
        <x:f>SQRT(D547)</x:f>
        <x:v>1.0507099049278092</x:v>
      </x:c>
      <x:c r="F547" s="34" t="n">
        <x:f>-Assumptions!$B$7*E547</x:f>
        <x:v>1.7282639979943442</x:v>
      </x:c>
      <x:c r="G547" s="34" t="n">
        <x:f>-Assumptions!$B$8*E547</x:f>
        <x:v>2.4443167535624624</x:v>
      </x:c>
      <x:c r="H547" s="34" t="n">
        <x:f>-Assumptions!$B$9*E547</x:f>
        <x:v>1.6400002759745853</x:v>
      </x:c>
      <x:c r="I547" s="34" t="n">
        <x:f>-Assumptions!$B$10*E547</x:f>
        <x:v>2.738637087978766</x:v>
      </x:c>
      <x:c r="J547" s="36" t="n">
        <x:f>IF(C547&lt;-F547,1,0)</x:f>
        <x:v>0</x:v>
      </x:c>
      <x:c r="K547" s="36" t="n">
        <x:f>IF(C547&lt;-G547,1,0)</x:f>
        <x:v>0</x:v>
      </x:c>
      <x:c r="L547" s="36" t="n">
        <x:f>IF(C547&lt;-H547,1,0)</x:f>
        <x:v>0</x:v>
      </x:c>
      <x:c r="M547" s="36" t="n">
        <x:f>IF(C547&lt;-I547,1,0)</x:f>
        <x:v>0</x:v>
      </x:c>
      <x:c r="N547" s="34" t="n">
        <x:f>-F547</x:f>
        <x:v>-1.7282639979943442</x:v>
      </x:c>
      <x:c r="O547" s="34" t="n">
        <x:f>-H547</x:f>
        <x:v>-1.6400002759745853</x:v>
      </x:c>
      <x:c r="P547" s="34" t="n">
        <x:f>-G547</x:f>
        <x:v>-2.4443167535624624</x:v>
      </x:c>
      <x:c r="Q547" s="34" t="n">
        <x:f>-I547</x:f>
        <x:v>-2.738637087978766</x:v>
      </x:c>
      <x:c r="R547" s="36" t="n">
        <x:f>YEAR(A547)</x:f>
        <x:v>2023</x:v>
      </x:c>
    </x:row>
    <x:row r="548">
      <x:c r="A548" s="30" t="n">
        <x:v>44984</x:v>
      </x:c>
      <x:c r="B548" s="38" t="n">
        <x:v>3982.24</x:v>
      </x:c>
      <x:c r="C548" s="34" t="n">
        <x:f>(B548/B547-1)*100</x:f>
        <x:v>0.30730168965551474</x:v>
      </x:c>
      <x:c r="D548" s="34" t="n">
        <x:f>Assumptions!$B$4*D547+(1-Assumptions!$B$4)*C547^2</x:f>
        <x:v>1.1043757307804802</x:v>
      </x:c>
      <x:c r="E548" s="34" t="n">
        <x:f>SQRT(D548)</x:f>
        <x:v>1.0508928255442989</x:v>
      </x:c>
      <x:c r="F548" s="34" t="n">
        <x:f>-Assumptions!$B$7*E548</x:f>
        <x:v>1.7285648756338214</x:v>
      </x:c>
      <x:c r="G548" s="34" t="n">
        <x:f>-Assumptions!$B$8*E548</x:f>
        <x:v>2.444742290549751</x:v>
      </x:c>
      <x:c r="H548" s="34" t="n">
        <x:f>-Assumptions!$B$9*E548</x:f>
        <x:v>1.6402857875702384</x:v>
      </x:c>
      <x:c r="I548" s="34" t="n">
        <x:f>-Assumptions!$B$10*E548</x:f>
        <x:v>2.739113863901525</x:v>
      </x:c>
      <x:c r="J548" s="36" t="n">
        <x:f>IF(C548&lt;-F548,1,0)</x:f>
        <x:v>0</x:v>
      </x:c>
      <x:c r="K548" s="36" t="n">
        <x:f>IF(C548&lt;-G548,1,0)</x:f>
        <x:v>0</x:v>
      </x:c>
      <x:c r="L548" s="36" t="n">
        <x:f>IF(C548&lt;-H548,1,0)</x:f>
        <x:v>0</x:v>
      </x:c>
      <x:c r="M548" s="36" t="n">
        <x:f>IF(C548&lt;-I548,1,0)</x:f>
        <x:v>0</x:v>
      </x:c>
      <x:c r="N548" s="34" t="n">
        <x:f>-F548</x:f>
        <x:v>-1.7285648756338214</x:v>
      </x:c>
      <x:c r="O548" s="34" t="n">
        <x:f>-H548</x:f>
        <x:v>-1.6402857875702384</x:v>
      </x:c>
      <x:c r="P548" s="34" t="n">
        <x:f>-G548</x:f>
        <x:v>-2.444742290549751</x:v>
      </x:c>
      <x:c r="Q548" s="34" t="n">
        <x:f>-I548</x:f>
        <x:v>-2.739113863901525</x:v>
      </x:c>
      <x:c r="R548" s="36" t="n">
        <x:f>YEAR(A548)</x:f>
        <x:v>2023</x:v>
      </x:c>
    </x:row>
    <x:row r="549">
      <x:c r="A549" s="30" t="n">
        <x:v>44985</x:v>
      </x:c>
      <x:c r="B549" s="38" t="n">
        <x:v>3970.15</x:v>
      </x:c>
      <x:c r="C549" s="34" t="n">
        <x:f>(B549/B548-1)*100</x:f>
        <x:v>-0.30359797500902896</x:v>
      </x:c>
      <x:c r="D549" s="34" t="n">
        <x:f>Assumptions!$B$4*D548+(1-Assumptions!$B$4)*C548^2</x:f>
        <x:v>1.0437792466415594</x:v>
      </x:c>
      <x:c r="E549" s="34" t="n">
        <x:f>SQRT(D549)</x:f>
        <x:v>1.0216551505481481</x:v>
      </x:c>
      <x:c r="F549" s="34" t="n">
        <x:f>-Assumptions!$B$7*E549</x:f>
        <x:v>1.6804731798727746</x:v>
      </x:c>
      <x:c r="G549" s="34" t="n">
        <x:f>-Assumptions!$B$8*E549</x:f>
        <x:v>2.376725287480559</x:v>
      </x:c>
      <x:c r="H549" s="34" t="n">
        <x:f>-Assumptions!$B$9*E549</x:f>
        <x:v>1.5946501703197882</x:v>
      </x:c>
      <x:c r="I549" s="34" t="n">
        <x:f>-Assumptions!$B$10*E549</x:f>
        <x:v>2.6629069292041416</x:v>
      </x:c>
      <x:c r="J549" s="36" t="n">
        <x:f>IF(C549&lt;-F549,1,0)</x:f>
        <x:v>0</x:v>
      </x:c>
      <x:c r="K549" s="36" t="n">
        <x:f>IF(C549&lt;-G549,1,0)</x:f>
        <x:v>0</x:v>
      </x:c>
      <x:c r="L549" s="36" t="n">
        <x:f>IF(C549&lt;-H549,1,0)</x:f>
        <x:v>0</x:v>
      </x:c>
      <x:c r="M549" s="36" t="n">
        <x:f>IF(C549&lt;-I549,1,0)</x:f>
        <x:v>0</x:v>
      </x:c>
      <x:c r="N549" s="34" t="n">
        <x:f>-F549</x:f>
        <x:v>-1.6804731798727746</x:v>
      </x:c>
      <x:c r="O549" s="34" t="n">
        <x:f>-H549</x:f>
        <x:v>-1.5946501703197882</x:v>
      </x:c>
      <x:c r="P549" s="34" t="n">
        <x:f>-G549</x:f>
        <x:v>-2.376725287480559</x:v>
      </x:c>
      <x:c r="Q549" s="34" t="n">
        <x:f>-I549</x:f>
        <x:v>-2.6629069292041416</x:v>
      </x:c>
      <x:c r="R549" s="36" t="n">
        <x:f>YEAR(A549)</x:f>
        <x:v>2023</x:v>
      </x:c>
    </x:row>
    <x:row r="550">
      <x:c r="A550" s="30" t="n">
        <x:v>44986</x:v>
      </x:c>
      <x:c r="B550" s="38" t="n">
        <x:v>3951.39</x:v>
      </x:c>
      <x:c r="C550" s="34" t="n">
        <x:f>(B550/B549-1)*100</x:f>
        <x:v>-0.47252622696876134</x:v>
      </x:c>
      <x:c r="D550" s="34" t="n">
        <x:f>Assumptions!$B$4*D549+(1-Assumptions!$B$4)*C549^2</x:f>
        <x:v>0.9866827956688408</x:v>
      </x:c>
      <x:c r="E550" s="34" t="n">
        <x:f>SQRT(D550)</x:f>
        <x:v>0.993319080491682</x:v>
      </x:c>
      <x:c r="F550" s="34" t="n">
        <x:f>-Assumptions!$B$7*E550</x:f>
        <x:v>1.6338644922668453</x:v>
      </x:c>
      <x:c r="G550" s="34" t="n">
        <x:f>-Assumptions!$B$8*E550</x:f>
        <x:v>2.310805731146027</x:v>
      </x:c>
      <x:c r="H550" s="34" t="n">
        <x:f>-Assumptions!$B$9*E550</x:f>
        <x:v>1.550421822899924</x:v>
      </x:c>
      <x:c r="I550" s="34" t="n">
        <x:f>-Assumptions!$B$10*E550</x:f>
        <x:v>2.589049994934987</x:v>
      </x:c>
      <x:c r="J550" s="36" t="n">
        <x:f>IF(C550&lt;-F550,1,0)</x:f>
        <x:v>0</x:v>
      </x:c>
      <x:c r="K550" s="36" t="n">
        <x:f>IF(C550&lt;-G550,1,0)</x:f>
        <x:v>0</x:v>
      </x:c>
      <x:c r="L550" s="36" t="n">
        <x:f>IF(C550&lt;-H550,1,0)</x:f>
        <x:v>0</x:v>
      </x:c>
      <x:c r="M550" s="36" t="n">
        <x:f>IF(C550&lt;-I550,1,0)</x:f>
        <x:v>0</x:v>
      </x:c>
      <x:c r="N550" s="34" t="n">
        <x:f>-F550</x:f>
        <x:v>-1.6338644922668453</x:v>
      </x:c>
      <x:c r="O550" s="34" t="n">
        <x:f>-H550</x:f>
        <x:v>-1.550421822899924</x:v>
      </x:c>
      <x:c r="P550" s="34" t="n">
        <x:f>-G550</x:f>
        <x:v>-2.310805731146027</x:v>
      </x:c>
      <x:c r="Q550" s="34" t="n">
        <x:f>-I550</x:f>
        <x:v>-2.589049994934987</x:v>
      </x:c>
      <x:c r="R550" s="36" t="n">
        <x:f>YEAR(A550)</x:f>
        <x:v>2023</x:v>
      </x:c>
    </x:row>
    <x:row r="551">
      <x:c r="A551" s="30" t="n">
        <x:v>44987</x:v>
      </x:c>
      <x:c r="B551" s="38" t="n">
        <x:v>3981.35</x:v>
      </x:c>
      <x:c r="C551" s="34" t="n">
        <x:f>(B551/B550-1)*100</x:f>
        <x:v>0.7582141980416957</x:v>
      </x:c>
      <x:c r="D551" s="34" t="n">
        <x:f>Assumptions!$B$4*D550+(1-Assumptions!$B$4)*C550^2</x:f>
        <x:v>0.9408786900391103</x:v>
      </x:c>
      <x:c r="E551" s="34" t="n">
        <x:f>SQRT(D551)</x:f>
        <x:v>0.9699890154218811</x:v>
      </x:c>
      <x:c r="F551" s="34" t="n">
        <x:f>-Assumptions!$B$7*E551</x:f>
        <x:v>1.5954899501197692</x:v>
      </x:c>
      <x:c r="G551" s="34" t="n">
        <x:f>-Assumptions!$B$8*E551</x:f>
        <x:v>2.256531883869661</x:v>
      </x:c>
      <x:c r="H551" s="34" t="n">
        <x:f>-Assumptions!$B$9*E551</x:f>
        <x:v>1.514007097033599</x:v>
      </x:c>
      <x:c r="I551" s="34" t="n">
        <x:f>-Assumptions!$B$10*E551</x:f>
        <x:v>2.528241030285982</x:v>
      </x:c>
      <x:c r="J551" s="36" t="n">
        <x:f>IF(C551&lt;-F551,1,0)</x:f>
        <x:v>0</x:v>
      </x:c>
      <x:c r="K551" s="36" t="n">
        <x:f>IF(C551&lt;-G551,1,0)</x:f>
        <x:v>0</x:v>
      </x:c>
      <x:c r="L551" s="36" t="n">
        <x:f>IF(C551&lt;-H551,1,0)</x:f>
        <x:v>0</x:v>
      </x:c>
      <x:c r="M551" s="36" t="n">
        <x:f>IF(C551&lt;-I551,1,0)</x:f>
        <x:v>0</x:v>
      </x:c>
      <x:c r="N551" s="34" t="n">
        <x:f>-F551</x:f>
        <x:v>-1.5954899501197692</x:v>
      </x:c>
      <x:c r="O551" s="34" t="n">
        <x:f>-H551</x:f>
        <x:v>-1.514007097033599</x:v>
      </x:c>
      <x:c r="P551" s="34" t="n">
        <x:f>-G551</x:f>
        <x:v>-2.256531883869661</x:v>
      </x:c>
      <x:c r="Q551" s="34" t="n">
        <x:f>-I551</x:f>
        <x:v>-2.528241030285982</x:v>
      </x:c>
      <x:c r="R551" s="36" t="n">
        <x:f>YEAR(A551)</x:f>
        <x:v>2023</x:v>
      </x:c>
    </x:row>
    <x:row r="552">
      <x:c r="A552" s="30" t="n">
        <x:v>44988</x:v>
      </x:c>
      <x:c r="B552" s="38" t="n">
        <x:v>4045.64</x:v>
      </x:c>
      <x:c r="C552" s="34" t="n">
        <x:f>(B552/B551-1)*100</x:f>
        <x:v>1.61477890665227</x:v>
      </x:c>
      <x:c r="D552" s="34" t="n">
        <x:f>Assumptions!$B$4*D551+(1-Assumptions!$B$4)*C551^2</x:f>
        <x:v>0.9189192948434843</x:v>
      </x:c>
      <x:c r="E552" s="34" t="n">
        <x:f>SQRT(D552)</x:f>
        <x:v>0.9586027826182669</x:v>
      </x:c>
      <x:c r="F552" s="34" t="n">
        <x:f>-Assumptions!$B$7*E552</x:f>
        <x:v>1.5767612637954307</x:v>
      </x:c>
      <x:c r="G552" s="34" t="n">
        <x:f>-Assumptions!$B$8*E552</x:f>
        <x:v>2.230043545393639</x:v>
      </x:c>
      <x:c r="H552" s="34" t="n">
        <x:f>-Assumptions!$B$9*E552</x:f>
        <x:v>1.4962348985869487</x:v>
      </x:c>
      <x:c r="I552" s="34" t="n">
        <x:f>-Assumptions!$B$10*E552</x:f>
        <x:v>2.498563229303911</x:v>
      </x:c>
      <x:c r="J552" s="36" t="n">
        <x:f>IF(C552&lt;-F552,1,0)</x:f>
        <x:v>0</x:v>
      </x:c>
      <x:c r="K552" s="36" t="n">
        <x:f>IF(C552&lt;-G552,1,0)</x:f>
        <x:v>0</x:v>
      </x:c>
      <x:c r="L552" s="36" t="n">
        <x:f>IF(C552&lt;-H552,1,0)</x:f>
        <x:v>0</x:v>
      </x:c>
      <x:c r="M552" s="36" t="n">
        <x:f>IF(C552&lt;-I552,1,0)</x:f>
        <x:v>0</x:v>
      </x:c>
      <x:c r="N552" s="34" t="n">
        <x:f>-F552</x:f>
        <x:v>-1.5767612637954307</x:v>
      </x:c>
      <x:c r="O552" s="34" t="n">
        <x:f>-H552</x:f>
        <x:v>-1.4962348985869487</x:v>
      </x:c>
      <x:c r="P552" s="34" t="n">
        <x:f>-G552</x:f>
        <x:v>-2.230043545393639</x:v>
      </x:c>
      <x:c r="Q552" s="34" t="n">
        <x:f>-I552</x:f>
        <x:v>-2.498563229303911</x:v>
      </x:c>
      <x:c r="R552" s="36" t="n">
        <x:f>YEAR(A552)</x:f>
        <x:v>2023</x:v>
      </x:c>
    </x:row>
    <x:row r="553">
      <x:c r="A553" s="30" t="n">
        <x:v>44991</x:v>
      </x:c>
      <x:c r="B553" s="38" t="n">
        <x:v>4048.42</x:v>
      </x:c>
      <x:c r="C553" s="34" t="n">
        <x:f>(B553/B552-1)*100</x:f>
        <x:v>0.06871595099910977</x:v>
      </x:c>
      <x:c r="D553" s="34" t="n">
        <x:f>Assumptions!$B$4*D552+(1-Assumptions!$B$4)*C552^2</x:f>
        <x:v>1.0202347921950214</x:v>
      </x:c>
      <x:c r="E553" s="34" t="n">
        <x:f>SQRT(D553)</x:f>
        <x:v>1.0100667266052383</x:v>
      </x:c>
      <x:c r="F553" s="34" t="n">
        <x:f>-Assumptions!$B$7*E553</x:f>
        <x:v>1.6614119187196281</x:v>
      </x:c>
      <x:c r="G553" s="34" t="n">
        <x:f>-Assumptions!$B$8*E553</x:f>
        <x:v>2.349766582077487</x:v>
      </x:c>
      <x:c r="H553" s="34" t="n">
        <x:f>-Assumptions!$B$9*E553</x:f>
        <x:v>1.5765623818870824</x:v>
      </x:c>
      <x:c r="I553" s="34" t="n">
        <x:f>-Assumptions!$B$10*E553</x:f>
        <x:v>2.6327021243836763</x:v>
      </x:c>
      <x:c r="J553" s="36" t="n">
        <x:f>IF(C553&lt;-F553,1,0)</x:f>
        <x:v>0</x:v>
      </x:c>
      <x:c r="K553" s="36" t="n">
        <x:f>IF(C553&lt;-G553,1,0)</x:f>
        <x:v>0</x:v>
      </x:c>
      <x:c r="L553" s="36" t="n">
        <x:f>IF(C553&lt;-H553,1,0)</x:f>
        <x:v>0</x:v>
      </x:c>
      <x:c r="M553" s="36" t="n">
        <x:f>IF(C553&lt;-I553,1,0)</x:f>
        <x:v>0</x:v>
      </x:c>
      <x:c r="N553" s="34" t="n">
        <x:f>-F553</x:f>
        <x:v>-1.6614119187196281</x:v>
      </x:c>
      <x:c r="O553" s="34" t="n">
        <x:f>-H553</x:f>
        <x:v>-1.5765623818870824</x:v>
      </x:c>
      <x:c r="P553" s="34" t="n">
        <x:f>-G553</x:f>
        <x:v>-2.349766582077487</x:v>
      </x:c>
      <x:c r="Q553" s="34" t="n">
        <x:f>-I553</x:f>
        <x:v>-2.6327021243836763</x:v>
      </x:c>
      <x:c r="R553" s="36" t="n">
        <x:f>YEAR(A553)</x:f>
        <x:v>2023</x:v>
      </x:c>
    </x:row>
    <x:row r="554">
      <x:c r="A554" s="30" t="n">
        <x:v>44992</x:v>
      </x:c>
      <x:c r="B554" s="38" t="n">
        <x:v>3986.37</x:v>
      </x:c>
      <x:c r="C554" s="34" t="n">
        <x:f>(B554/B553-1)*100</x:f>
        <x:v>-1.5326967063694075</x:v>
      </x:c>
      <x:c r="D554" s="34" t="n">
        <x:f>Assumptions!$B$4*D553+(1-Assumptions!$B$4)*C553^2</x:f>
        <x:v>0.9593040175786228</x:v>
      </x:c>
      <x:c r="E554" s="34" t="n">
        <x:f>SQRT(D554)</x:f>
        <x:v>0.9794406656753756</x:v>
      </x:c>
      <x:c r="F554" s="34" t="n">
        <x:f>-Assumptions!$B$7*E554</x:f>
        <x:v>1.6110365313199064</x:v>
      </x:c>
      <x:c r="G554" s="34" t="n">
        <x:f>-Assumptions!$B$8*E554</x:f>
        <x:v>2.2785197103430552</x:v>
      </x:c>
      <x:c r="H554" s="34" t="n">
        <x:f>-Assumptions!$B$9*E554</x:f>
        <x:v>1.528759702820837</x:v>
      </x:c>
      <x:c r="I554" s="34" t="n">
        <x:f>-Assumptions!$B$10*E554</x:f>
        <x:v>2.5528764123314214</x:v>
      </x:c>
      <x:c r="J554" s="36" t="n">
        <x:f>IF(C554&lt;-F554,1,0)</x:f>
        <x:v>0</x:v>
      </x:c>
      <x:c r="K554" s="36" t="n">
        <x:f>IF(C554&lt;-G554,1,0)</x:f>
        <x:v>0</x:v>
      </x:c>
      <x:c r="L554" s="36" t="n">
        <x:f>IF(C554&lt;-H554,1,0)</x:f>
        <x:v>1</x:v>
      </x:c>
      <x:c r="M554" s="36" t="n">
        <x:f>IF(C554&lt;-I554,1,0)</x:f>
        <x:v>0</x:v>
      </x:c>
      <x:c r="N554" s="34" t="n">
        <x:f>-F554</x:f>
        <x:v>-1.6110365313199064</x:v>
      </x:c>
      <x:c r="O554" s="34" t="n">
        <x:f>-H554</x:f>
        <x:v>-1.528759702820837</x:v>
      </x:c>
      <x:c r="P554" s="34" t="n">
        <x:f>-G554</x:f>
        <x:v>-2.2785197103430552</x:v>
      </x:c>
      <x:c r="Q554" s="34" t="n">
        <x:f>-I554</x:f>
        <x:v>-2.5528764123314214</x:v>
      </x:c>
      <x:c r="R554" s="36" t="n">
        <x:f>YEAR(A554)</x:f>
        <x:v>2023</x:v>
      </x:c>
    </x:row>
    <x:row r="555">
      <x:c r="A555" s="30" t="n">
        <x:v>44993</x:v>
      </x:c>
      <x:c r="B555" s="38" t="n">
        <x:v>3992.01</x:v>
      </x:c>
      <x:c r="C555" s="34" t="n">
        <x:f>(B555/B554-1)*100</x:f>
        <x:v>0.1414821002566402</x:v>
      </x:c>
      <x:c r="D555" s="34" t="n">
        <x:f>Assumptions!$B$4*D554+(1-Assumptions!$B$4)*C554^2</x:f>
        <x:v>1.0426953281468434</x:v>
      </x:c>
      <x:c r="E555" s="34" t="n">
        <x:f>SQRT(D555)</x:f>
        <x:v>1.021124540958077</x:v>
      </x:c>
      <x:c r="F555" s="34" t="n">
        <x:f>-Assumptions!$B$7*E555</x:f>
        <x:v>1.6796004047640507</x:v>
      </x:c>
      <x:c r="G555" s="34" t="n">
        <x:f>-Assumptions!$B$8*E555</x:f>
        <x:v>2.375490904988751</x:v>
      </x:c>
      <x:c r="H555" s="34" t="n">
        <x:f>-Assumptions!$B$9*E555</x:f>
        <x:v>1.5938219684820876</x:v>
      </x:c>
      <x:c r="I555" s="34" t="n">
        <x:f>-Assumptions!$B$10*E555</x:f>
        <x:v>2.6615239146386642</x:v>
      </x:c>
      <x:c r="J555" s="36" t="n">
        <x:f>IF(C555&lt;-F555,1,0)</x:f>
        <x:v>0</x:v>
      </x:c>
      <x:c r="K555" s="36" t="n">
        <x:f>IF(C555&lt;-G555,1,0)</x:f>
        <x:v>0</x:v>
      </x:c>
      <x:c r="L555" s="36" t="n">
        <x:f>IF(C555&lt;-H555,1,0)</x:f>
        <x:v>0</x:v>
      </x:c>
      <x:c r="M555" s="36" t="n">
        <x:f>IF(C555&lt;-I555,1,0)</x:f>
        <x:v>0</x:v>
      </x:c>
      <x:c r="N555" s="34" t="n">
        <x:f>-F555</x:f>
        <x:v>-1.6796004047640507</x:v>
      </x:c>
      <x:c r="O555" s="34" t="n">
        <x:f>-H555</x:f>
        <x:v>-1.5938219684820876</x:v>
      </x:c>
      <x:c r="P555" s="34" t="n">
        <x:f>-G555</x:f>
        <x:v>-2.375490904988751</x:v>
      </x:c>
      <x:c r="Q555" s="34" t="n">
        <x:f>-I555</x:f>
        <x:v>-2.6615239146386642</x:v>
      </x:c>
      <x:c r="R555" s="36" t="n">
        <x:f>YEAR(A555)</x:f>
        <x:v>2023</x:v>
      </x:c>
    </x:row>
    <x:row r="556">
      <x:c r="A556" s="30" t="n">
        <x:v>44994</x:v>
      </x:c>
      <x:c r="B556" s="38" t="n">
        <x:v>3918.32</x:v>
      </x:c>
      <x:c r="C556" s="34" t="n">
        <x:f>(B556/B555-1)*100</x:f>
        <x:v>-1.8459372596762003</x:v>
      </x:c>
      <x:c r="D556" s="34" t="n">
        <x:f>Assumptions!$B$4*D555+(1-Assumptions!$B$4)*C555^2</x:f>
        <x:v>0.9813346395396145</x:v>
      </x:c>
      <x:c r="E556" s="34" t="n">
        <x:f>SQRT(D556)</x:f>
        <x:v>0.9906233590722634</x:v>
      </x:c>
      <x:c r="F556" s="34" t="n">
        <x:f>-Assumptions!$B$7*E556</x:f>
        <x:v>1.6294304251128637</x:v>
      </x:c>
      <x:c r="G556" s="34" t="n">
        <x:f>-Assumptions!$B$8*E556</x:f>
        <x:v>2.304534545352956</x:v>
      </x:c>
      <x:c r="H556" s="34" t="n">
        <x:f>-Assumptions!$B$9*E556</x:f>
        <x:v>1.546214206838571</x:v>
      </x:c>
      <x:c r="I556" s="34" t="n">
        <x:f>-Assumptions!$B$10*E556</x:f>
        <x:v>2.5820236952651596</x:v>
      </x:c>
      <x:c r="J556" s="36" t="n">
        <x:f>IF(C556&lt;-F556,1,0)</x:f>
        <x:v>1</x:v>
      </x:c>
      <x:c r="K556" s="36" t="n">
        <x:f>IF(C556&lt;-G556,1,0)</x:f>
        <x:v>0</x:v>
      </x:c>
      <x:c r="L556" s="36" t="n">
        <x:f>IF(C556&lt;-H556,1,0)</x:f>
        <x:v>1</x:v>
      </x:c>
      <x:c r="M556" s="36" t="n">
        <x:f>IF(C556&lt;-I556,1,0)</x:f>
        <x:v>0</x:v>
      </x:c>
      <x:c r="N556" s="34" t="n">
        <x:f>-F556</x:f>
        <x:v>-1.6294304251128637</x:v>
      </x:c>
      <x:c r="O556" s="34" t="n">
        <x:f>-H556</x:f>
        <x:v>-1.546214206838571</x:v>
      </x:c>
      <x:c r="P556" s="34" t="n">
        <x:f>-G556</x:f>
        <x:v>-2.304534545352956</x:v>
      </x:c>
      <x:c r="Q556" s="34" t="n">
        <x:f>-I556</x:f>
        <x:v>-2.5820236952651596</x:v>
      </x:c>
      <x:c r="R556" s="36" t="n">
        <x:f>YEAR(A556)</x:f>
        <x:v>2023</x:v>
      </x:c>
    </x:row>
    <x:row r="557">
      <x:c r="A557" s="30" t="n">
        <x:v>44995</x:v>
      </x:c>
      <x:c r="B557" s="38" t="n">
        <x:v>3861.59</x:v>
      </x:c>
      <x:c r="C557" s="34" t="n">
        <x:f>(B557/B556-1)*100</x:f>
        <x:v>-1.4478143694236278</x:v>
      </x:c>
      <x:c r="D557" s="34" t="n">
        <x:f>Assumptions!$B$4*D556+(1-Assumptions!$B$4)*C556^2</x:f>
        <x:v>1.1269036231668905</x:v>
      </x:c>
      <x:c r="E557" s="34" t="n">
        <x:f>SQRT(D557)</x:f>
        <x:v>1.0615571690525625</x:v>
      </x:c>
      <x:c r="F557" s="34" t="n">
        <x:f>-Assumptions!$B$7*E557</x:f>
        <x:v>1.7461061597324452</x:v>
      </x:c>
      <x:c r="G557" s="34" t="n">
        <x:f>-Assumptions!$B$8*E557</x:f>
        <x:v>2.4695512633982415</x:v>
      </x:c>
      <x:c r="H557" s="34" t="n">
        <x:f>-Assumptions!$B$9*E557</x:f>
        <x:v>1.6569312253020183</x:v>
      </x:c>
      <x:c r="I557" s="34" t="n">
        <x:f>-Assumptions!$B$10*E557</x:f>
        <x:v>2.7669100867349656</x:v>
      </x:c>
      <x:c r="J557" s="36" t="n">
        <x:f>IF(C557&lt;-F557,1,0)</x:f>
        <x:v>0</x:v>
      </x:c>
      <x:c r="K557" s="36" t="n">
        <x:f>IF(C557&lt;-G557,1,0)</x:f>
        <x:v>0</x:v>
      </x:c>
      <x:c r="L557" s="36" t="n">
        <x:f>IF(C557&lt;-H557,1,0)</x:f>
        <x:v>0</x:v>
      </x:c>
      <x:c r="M557" s="36" t="n">
        <x:f>IF(C557&lt;-I557,1,0)</x:f>
        <x:v>0</x:v>
      </x:c>
      <x:c r="N557" s="34" t="n">
        <x:f>-F557</x:f>
        <x:v>-1.7461061597324452</x:v>
      </x:c>
      <x:c r="O557" s="34" t="n">
        <x:f>-H557</x:f>
        <x:v>-1.6569312253020183</x:v>
      </x:c>
      <x:c r="P557" s="34" t="n">
        <x:f>-G557</x:f>
        <x:v>-2.4695512633982415</x:v>
      </x:c>
      <x:c r="Q557" s="34" t="n">
        <x:f>-I557</x:f>
        <x:v>-2.7669100867349656</x:v>
      </x:c>
      <x:c r="R557" s="36" t="n">
        <x:f>YEAR(A557)</x:f>
        <x:v>2023</x:v>
      </x:c>
    </x:row>
    <x:row r="558">
      <x:c r="A558" s="30" t="n">
        <x:v>44998</x:v>
      </x:c>
      <x:c r="B558" s="38" t="n">
        <x:v>3855.76</x:v>
      </x:c>
      <x:c r="C558" s="34" t="n">
        <x:f>(B558/B557-1)*100</x:f>
        <x:v>-0.15097408062482165</x:v>
      </x:c>
      <x:c r="D558" s="34" t="n">
        <x:f>Assumptions!$B$4*D557+(1-Assumptions!$B$4)*C557^2</x:f>
        <x:v>1.1850593926754496</x:v>
      </x:c>
      <x:c r="E558" s="34" t="n">
        <x:f>SQRT(D558)</x:f>
        <x:v>1.0886043324713757</x:v>
      </x:c>
      <x:c r="F558" s="34" t="n">
        <x:f>-Assumptions!$B$7*E558</x:f>
        <x:v>1.7905947845806294</x:v>
      </x:c>
      <x:c r="G558" s="34" t="n">
        <x:f>-Assumptions!$B$8*E558</x:f>
        <x:v>2.532472374516433</x:v>
      </x:c>
      <x:c r="H558" s="34" t="n">
        <x:f>-Assumptions!$B$9*E558</x:f>
        <x:v>1.6991477831389132</x:v>
      </x:c>
      <x:c r="I558" s="34" t="n">
        <x:f>-Assumptions!$B$10*E558</x:f>
        <x:v>2.8374075328102206</x:v>
      </x:c>
      <x:c r="J558" s="36" t="n">
        <x:f>IF(C558&lt;-F558,1,0)</x:f>
        <x:v>0</x:v>
      </x:c>
      <x:c r="K558" s="36" t="n">
        <x:f>IF(C558&lt;-G558,1,0)</x:f>
        <x:v>0</x:v>
      </x:c>
      <x:c r="L558" s="36" t="n">
        <x:f>IF(C558&lt;-H558,1,0)</x:f>
        <x:v>0</x:v>
      </x:c>
      <x:c r="M558" s="36" t="n">
        <x:f>IF(C558&lt;-I558,1,0)</x:f>
        <x:v>0</x:v>
      </x:c>
      <x:c r="N558" s="34" t="n">
        <x:f>-F558</x:f>
        <x:v>-1.7905947845806294</x:v>
      </x:c>
      <x:c r="O558" s="34" t="n">
        <x:f>-H558</x:f>
        <x:v>-1.6991477831389132</x:v>
      </x:c>
      <x:c r="P558" s="34" t="n">
        <x:f>-G558</x:f>
        <x:v>-2.532472374516433</x:v>
      </x:c>
      <x:c r="Q558" s="34" t="n">
        <x:f>-I558</x:f>
        <x:v>-2.8374075328102206</x:v>
      </x:c>
      <x:c r="R558" s="36" t="n">
        <x:f>YEAR(A558)</x:f>
        <x:v>2023</x:v>
      </x:c>
    </x:row>
    <x:row r="559">
      <x:c r="A559" s="30" t="n">
        <x:v>44999</x:v>
      </x:c>
      <x:c r="B559" s="38" t="n">
        <x:v>3919.29</x:v>
      </x:c>
      <x:c r="C559" s="34" t="n">
        <x:f>(B559/B558-1)*100</x:f>
        <x:v>1.6476647924144494</x:v>
      </x:c>
      <x:c r="D559" s="34" t="n">
        <x:f>Assumptions!$B$4*D558+(1-Assumptions!$B$4)*C558^2</x:f>
        <x:v>1.1153234194961532</x:v>
      </x:c>
      <x:c r="E559" s="34" t="n">
        <x:f>SQRT(D559)</x:f>
        <x:v>1.0560887365634353</x:v>
      </x:c>
      <x:c r="F559" s="34" t="n">
        <x:f>-Assumptions!$B$7*E559</x:f>
        <x:v>1.737111388718965</x:v>
      </x:c>
      <x:c r="G559" s="34" t="n">
        <x:f>-Assumptions!$B$8*E559</x:f>
        <x:v>2.4568297871028246</x:v>
      </x:c>
      <x:c r="H559" s="34" t="n">
        <x:f>-Assumptions!$B$9*E559</x:f>
        <x:v>1.6483958239041099</x:v>
      </x:c>
      <x:c r="I559" s="34" t="n">
        <x:f>-Assumptions!$B$10*E559</x:f>
        <x:v>2.7526568166766987</x:v>
      </x:c>
      <x:c r="J559" s="36" t="n">
        <x:f>IF(C559&lt;-F559,1,0)</x:f>
        <x:v>0</x:v>
      </x:c>
      <x:c r="K559" s="36" t="n">
        <x:f>IF(C559&lt;-G559,1,0)</x:f>
        <x:v>0</x:v>
      </x:c>
      <x:c r="L559" s="36" t="n">
        <x:f>IF(C559&lt;-H559,1,0)</x:f>
        <x:v>0</x:v>
      </x:c>
      <x:c r="M559" s="36" t="n">
        <x:f>IF(C559&lt;-I559,1,0)</x:f>
        <x:v>0</x:v>
      </x:c>
      <x:c r="N559" s="34" t="n">
        <x:f>-F559</x:f>
        <x:v>-1.737111388718965</x:v>
      </x:c>
      <x:c r="O559" s="34" t="n">
        <x:f>-H559</x:f>
        <x:v>-1.6483958239041099</x:v>
      </x:c>
      <x:c r="P559" s="34" t="n">
        <x:f>-G559</x:f>
        <x:v>-2.4568297871028246</x:v>
      </x:c>
      <x:c r="Q559" s="34" t="n">
        <x:f>-I559</x:f>
        <x:v>-2.7526568166766987</x:v>
      </x:c>
      <x:c r="R559" s="36" t="n">
        <x:f>YEAR(A559)</x:f>
        <x:v>2023</x:v>
      </x:c>
    </x:row>
    <x:row r="560">
      <x:c r="A560" s="30" t="n">
        <x:v>45000</x:v>
      </x:c>
      <x:c r="B560" s="38" t="n">
        <x:v>3891.93</x:v>
      </x:c>
      <x:c r="C560" s="34" t="n">
        <x:f>(B560/B559-1)*100</x:f>
        <x:v>-0.6980856226510457</x:v>
      </x:c>
      <x:c r="D560" s="34" t="n">
        <x:f>Assumptions!$B$4*D559+(1-Assumptions!$B$4)*C559^2</x:f>
        <x:v>1.2112919704161131</x:v>
      </x:c>
      <x:c r="E560" s="34" t="n">
        <x:f>SQRT(D560)</x:f>
        <x:v>1.1005871026030212</x:v>
      </x:c>
      <x:c r="F560" s="34" t="n">
        <x:f>-Assumptions!$B$7*E560</x:f>
        <x:v>1.810304687492592</x:v>
      </x:c>
      <x:c r="G560" s="34" t="n">
        <x:f>-Assumptions!$B$8*E560</x:f>
        <x:v>2.5603484663373064</x:v>
      </x:c>
      <x:c r="H560" s="34" t="n">
        <x:f>-Assumptions!$B$9*E560</x:f>
        <x:v>1.717851086715545</x:v>
      </x:c>
      <x:c r="I560" s="34" t="n">
        <x:f>-Assumptions!$B$10*E560</x:f>
        <x:v>2.868640186604898</x:v>
      </x:c>
      <x:c r="J560" s="36" t="n">
        <x:f>IF(C560&lt;-F560,1,0)</x:f>
        <x:v>0</x:v>
      </x:c>
      <x:c r="K560" s="36" t="n">
        <x:f>IF(C560&lt;-G560,1,0)</x:f>
        <x:v>0</x:v>
      </x:c>
      <x:c r="L560" s="36" t="n">
        <x:f>IF(C560&lt;-H560,1,0)</x:f>
        <x:v>0</x:v>
      </x:c>
      <x:c r="M560" s="36" t="n">
        <x:f>IF(C560&lt;-I560,1,0)</x:f>
        <x:v>0</x:v>
      </x:c>
      <x:c r="N560" s="34" t="n">
        <x:f>-F560</x:f>
        <x:v>-1.810304687492592</x:v>
      </x:c>
      <x:c r="O560" s="34" t="n">
        <x:f>-H560</x:f>
        <x:v>-1.717851086715545</x:v>
      </x:c>
      <x:c r="P560" s="34" t="n">
        <x:f>-G560</x:f>
        <x:v>-2.5603484663373064</x:v>
      </x:c>
      <x:c r="Q560" s="34" t="n">
        <x:f>-I560</x:f>
        <x:v>-2.868640186604898</x:v>
      </x:c>
      <x:c r="R560" s="36" t="n">
        <x:f>YEAR(A560)</x:f>
        <x:v>2023</x:v>
      </x:c>
    </x:row>
    <x:row r="561">
      <x:c r="A561" s="30" t="n">
        <x:v>45001</x:v>
      </x:c>
      <x:c r="B561" s="38" t="n">
        <x:v>3960.28</x:v>
      </x:c>
      <x:c r="C561" s="34" t="n">
        <x:f>(B561/B560-1)*100</x:f>
        <x:v>1.7561980816715783</x:v>
      </x:c>
      <x:c r="D561" s="34" t="n">
        <x:f>Assumptions!$B$4*D560+(1-Assumptions!$B$4)*C560^2</x:f>
        <x:v>1.1678538643842722</x:v>
      </x:c>
      <x:c r="E561" s="34" t="n">
        <x:f>SQRT(D561)</x:f>
        <x:v>1.0806728757511554</x:v>
      </x:c>
      <x:c r="F561" s="34" t="n">
        <x:f>-Assumptions!$B$7*E561</x:f>
        <x:v>1.7775486992273664</x:v>
      </x:c>
      <x:c r="G561" s="34" t="n">
        <x:f>-Assumptions!$B$8*E561</x:f>
        <x:v>2.5140210470373017</x:v>
      </x:c>
      <x:c r="H561" s="34" t="n">
        <x:f>-Assumptions!$B$9*E561</x:f>
        <x:v>1.6867679710242314</x:v>
      </x:c>
      <x:c r="I561" s="34" t="n">
        <x:f>-Assumptions!$B$10*E561</x:f>
        <x:v>2.8167344798259277</x:v>
      </x:c>
      <x:c r="J561" s="36" t="n">
        <x:f>IF(C561&lt;-F561,1,0)</x:f>
        <x:v>0</x:v>
      </x:c>
      <x:c r="K561" s="36" t="n">
        <x:f>IF(C561&lt;-G561,1,0)</x:f>
        <x:v>0</x:v>
      </x:c>
      <x:c r="L561" s="36" t="n">
        <x:f>IF(C561&lt;-H561,1,0)</x:f>
        <x:v>0</x:v>
      </x:c>
      <x:c r="M561" s="36" t="n">
        <x:f>IF(C561&lt;-I561,1,0)</x:f>
        <x:v>0</x:v>
      </x:c>
      <x:c r="N561" s="34" t="n">
        <x:f>-F561</x:f>
        <x:v>-1.7775486992273664</x:v>
      </x:c>
      <x:c r="O561" s="34" t="n">
        <x:f>-H561</x:f>
        <x:v>-1.6867679710242314</x:v>
      </x:c>
      <x:c r="P561" s="34" t="n">
        <x:f>-G561</x:f>
        <x:v>-2.5140210470373017</x:v>
      </x:c>
      <x:c r="Q561" s="34" t="n">
        <x:f>-I561</x:f>
        <x:v>-2.8167344798259277</x:v>
      </x:c>
      <x:c r="R561" s="36" t="n">
        <x:f>YEAR(A561)</x:f>
        <x:v>2023</x:v>
      </x:c>
    </x:row>
    <x:row r="562">
      <x:c r="A562" s="30" t="n">
        <x:v>45002</x:v>
      </x:c>
      <x:c r="B562" s="38" t="n">
        <x:v>3916.64</x:v>
      </x:c>
      <x:c r="C562" s="34" t="n">
        <x:f>(B562/B561-1)*100</x:f>
        <x:v>-1.101942286909019</x:v>
      </x:c>
      <x:c r="D562" s="34" t="n">
        <x:f>Assumptions!$B$4*D561+(1-Assumptions!$B$4)*C561^2</x:f>
        <x:v>1.282836534645232</x:v>
      </x:c>
      <x:c r="E562" s="34" t="n">
        <x:f>SQRT(D562)</x:f>
        <x:v>1.1326237392202372</x:v>
      </x:c>
      <x:c r="F562" s="34" t="n">
        <x:f>-Assumptions!$B$7*E562</x:f>
        <x:v>1.8630002654277462</x:v>
      </x:c>
      <x:c r="G562" s="34" t="n">
        <x:f>-Assumptions!$B$8*E562</x:f>
        <x:v>2.6348768278231858</x:v>
      </x:c>
      <x:c r="H562" s="34" t="n">
        <x:f>-Assumptions!$B$9*E562</x:f>
        <x:v>1.7678554624686618</x:v>
      </x:c>
      <x:c r="I562" s="34" t="n">
        <x:f>-Assumptions!$B$10*E562</x:f>
        <x:v>2.952142512796478</x:v>
      </x:c>
      <x:c r="J562" s="36" t="n">
        <x:f>IF(C562&lt;-F562,1,0)</x:f>
        <x:v>0</x:v>
      </x:c>
      <x:c r="K562" s="36" t="n">
        <x:f>IF(C562&lt;-G562,1,0)</x:f>
        <x:v>0</x:v>
      </x:c>
      <x:c r="L562" s="36" t="n">
        <x:f>IF(C562&lt;-H562,1,0)</x:f>
        <x:v>0</x:v>
      </x:c>
      <x:c r="M562" s="36" t="n">
        <x:f>IF(C562&lt;-I562,1,0)</x:f>
        <x:v>0</x:v>
      </x:c>
      <x:c r="N562" s="34" t="n">
        <x:f>-F562</x:f>
        <x:v>-1.8630002654277462</x:v>
      </x:c>
      <x:c r="O562" s="34" t="n">
        <x:f>-H562</x:f>
        <x:v>-1.7678554624686618</x:v>
      </x:c>
      <x:c r="P562" s="34" t="n">
        <x:f>-G562</x:f>
        <x:v>-2.6348768278231858</x:v>
      </x:c>
      <x:c r="Q562" s="34" t="n">
        <x:f>-I562</x:f>
        <x:v>-2.952142512796478</x:v>
      </x:c>
      <x:c r="R562" s="36" t="n">
        <x:f>YEAR(A562)</x:f>
        <x:v>2023</x:v>
      </x:c>
    </x:row>
    <x:row r="563">
      <x:c r="A563" s="30" t="n">
        <x:v>45005</x:v>
      </x:c>
      <x:c r="B563" s="38" t="n">
        <x:v>3951.57</x:v>
      </x:c>
      <x:c r="C563" s="34" t="n">
        <x:f>(B563/B562-1)*100</x:f>
        <x:v>0.8918358593079878</x:v>
      </x:c>
      <x:c r="D563" s="34" t="n">
        <x:f>Assumptions!$B$4*D562+(1-Assumptions!$B$4)*C562^2</x:f>
        <x:v>1.2787229507872147</x:v>
      </x:c>
      <x:c r="E563" s="34" t="n">
        <x:f>SQRT(D563)</x:f>
        <x:v>1.1308063277092213</x:v>
      </x:c>
      <x:c r="F563" s="34" t="n">
        <x:f>-Assumptions!$B$7*E563</x:f>
        <x:v>1.8600108895121885</x:v>
      </x:c>
      <x:c r="G563" s="34" t="n">
        <x:f>-Assumptions!$B$8*E563</x:f>
        <x:v>2.630648896418277</x:v>
      </x:c>
      <x:c r="H563" s="34" t="n">
        <x:f>-Assumptions!$B$9*E563</x:f>
        <x:v>1.7650187561945068</x:v>
      </x:c>
      <x:c r="I563" s="34" t="n">
        <x:f>-Assumptions!$B$10*E563</x:f>
        <x:v>2.947405495904523</x:v>
      </x:c>
      <x:c r="J563" s="36" t="n">
        <x:f>IF(C563&lt;-F563,1,0)</x:f>
        <x:v>0</x:v>
      </x:c>
      <x:c r="K563" s="36" t="n">
        <x:f>IF(C563&lt;-G563,1,0)</x:f>
        <x:v>0</x:v>
      </x:c>
      <x:c r="L563" s="36" t="n">
        <x:f>IF(C563&lt;-H563,1,0)</x:f>
        <x:v>0</x:v>
      </x:c>
      <x:c r="M563" s="36" t="n">
        <x:f>IF(C563&lt;-I563,1,0)</x:f>
        <x:v>0</x:v>
      </x:c>
      <x:c r="N563" s="34" t="n">
        <x:f>-F563</x:f>
        <x:v>-1.8600108895121885</x:v>
      </x:c>
      <x:c r="O563" s="34" t="n">
        <x:f>-H563</x:f>
        <x:v>-1.7650187561945068</x:v>
      </x:c>
      <x:c r="P563" s="34" t="n">
        <x:f>-G563</x:f>
        <x:v>-2.630648896418277</x:v>
      </x:c>
      <x:c r="Q563" s="34" t="n">
        <x:f>-I563</x:f>
        <x:v>-2.947405495904523</x:v>
      </x:c>
      <x:c r="R563" s="36" t="n">
        <x:f>YEAR(A563)</x:f>
        <x:v>2023</x:v>
      </x:c>
    </x:row>
    <x:row r="564">
      <x:c r="A564" s="30" t="n">
        <x:v>45006</x:v>
      </x:c>
      <x:c r="B564" s="38" t="n">
        <x:v>4002.87</x:v>
      </x:c>
      <x:c r="C564" s="34" t="n">
        <x:f>(B564/B563-1)*100</x:f>
        <x:v>1.2982181765728518</x:v>
      </x:c>
      <x:c r="D564" s="34" t="n">
        <x:f>Assumptions!$B$4*D563+(1-Assumptions!$B$4)*C563^2</x:f>
        <x:v>1.2497218457368389</x:v>
      </x:c>
      <x:c r="E564" s="34" t="n">
        <x:f>SQRT(D564)</x:f>
        <x:v>1.117909587460828</x:v>
      </x:c>
      <x:c r="F564" s="34" t="n">
        <x:f>-Assumptions!$B$7*E564</x:f>
        <x:v>1.8387976395387677</x:v>
      </x:c>
      <x:c r="G564" s="34" t="n">
        <x:f>-Assumptions!$B$8*E564</x:f>
        <x:v>2.60064659215937</x:v>
      </x:c>
      <x:c r="H564" s="34" t="n">
        <x:f>-Assumptions!$B$9*E564</x:f>
        <x:v>1.744888882603955</x:v>
      </x:c>
      <x:c r="I564" s="34" t="n">
        <x:f>-Assumptions!$B$10*E564</x:f>
        <x:v>2.9137906122980866</x:v>
      </x:c>
      <x:c r="J564" s="36" t="n">
        <x:f>IF(C564&lt;-F564,1,0)</x:f>
        <x:v>0</x:v>
      </x:c>
      <x:c r="K564" s="36" t="n">
        <x:f>IF(C564&lt;-G564,1,0)</x:f>
        <x:v>0</x:v>
      </x:c>
      <x:c r="L564" s="36" t="n">
        <x:f>IF(C564&lt;-H564,1,0)</x:f>
        <x:v>0</x:v>
      </x:c>
      <x:c r="M564" s="36" t="n">
        <x:f>IF(C564&lt;-I564,1,0)</x:f>
        <x:v>0</x:v>
      </x:c>
      <x:c r="N564" s="34" t="n">
        <x:f>-F564</x:f>
        <x:v>-1.8387976395387677</x:v>
      </x:c>
      <x:c r="O564" s="34" t="n">
        <x:f>-H564</x:f>
        <x:v>-1.744888882603955</x:v>
      </x:c>
      <x:c r="P564" s="34" t="n">
        <x:f>-G564</x:f>
        <x:v>-2.60064659215937</x:v>
      </x:c>
      <x:c r="Q564" s="34" t="n">
        <x:f>-I564</x:f>
        <x:v>-2.9137906122980866</x:v>
      </x:c>
      <x:c r="R564" s="36" t="n">
        <x:f>YEAR(A564)</x:f>
        <x:v>2023</x:v>
      </x:c>
    </x:row>
    <x:row r="565">
      <x:c r="A565" s="30" t="n">
        <x:v>45007</x:v>
      </x:c>
      <x:c r="B565" s="38" t="n">
        <x:v>3936.97</x:v>
      </x:c>
      <x:c r="C565" s="34" t="n">
        <x:f>(B565/B564-1)*100</x:f>
        <x:v>-1.646318766285193</x:v>
      </x:c>
      <x:c r="D565" s="34" t="n">
        <x:f>Assumptions!$B$4*D564+(1-Assumptions!$B$4)*C564^2</x:f>
        <x:v>1.275860761031677</x:v>
      </x:c>
      <x:c r="E565" s="34" t="n">
        <x:f>SQRT(D565)</x:f>
        <x:v>1.1295400661471362</x:v>
      </x:c>
      <x:c r="F565" s="34" t="n">
        <x:f>-Assumptions!$B$7*E565</x:f>
        <x:v>1.8579280745891236</x:v>
      </x:c>
      <x:c r="G565" s="34" t="n">
        <x:f>-Assumptions!$B$8*E565</x:f>
        <x:v>2.6277031315253403</x:v>
      </x:c>
      <x:c r="H565" s="34" t="n">
        <x:f>-Assumptions!$B$9*E565</x:f>
        <x:v>1.7630423121717218</x:v>
      </x:c>
      <x:c r="I565" s="34" t="n">
        <x:f>-Assumptions!$B$10*E565</x:f>
        <x:v>2.944105031275091</x:v>
      </x:c>
      <x:c r="J565" s="36" t="n">
        <x:f>IF(C565&lt;-F565,1,0)</x:f>
        <x:v>0</x:v>
      </x:c>
      <x:c r="K565" s="36" t="n">
        <x:f>IF(C565&lt;-G565,1,0)</x:f>
        <x:v>0</x:v>
      </x:c>
      <x:c r="L565" s="36" t="n">
        <x:f>IF(C565&lt;-H565,1,0)</x:f>
        <x:v>0</x:v>
      </x:c>
      <x:c r="M565" s="36" t="n">
        <x:f>IF(C565&lt;-I565,1,0)</x:f>
        <x:v>0</x:v>
      </x:c>
      <x:c r="N565" s="34" t="n">
        <x:f>-F565</x:f>
        <x:v>-1.8579280745891236</x:v>
      </x:c>
      <x:c r="O565" s="34" t="n">
        <x:f>-H565</x:f>
        <x:v>-1.7630423121717218</x:v>
      </x:c>
      <x:c r="P565" s="34" t="n">
        <x:f>-G565</x:f>
        <x:v>-2.6277031315253403</x:v>
      </x:c>
      <x:c r="Q565" s="34" t="n">
        <x:f>-I565</x:f>
        <x:v>-2.944105031275091</x:v>
      </x:c>
      <x:c r="R565" s="36" t="n">
        <x:f>YEAR(A565)</x:f>
        <x:v>2023</x:v>
      </x:c>
    </x:row>
    <x:row r="566">
      <x:c r="A566" s="30" t="n">
        <x:v>45008</x:v>
      </x:c>
      <x:c r="B566" s="38" t="n">
        <x:v>3948.72</x:v>
      </x:c>
      <x:c r="C566" s="34" t="n">
        <x:f>(B566/B565-1)*100</x:f>
        <x:v>0.2984528711166279</x:v>
      </x:c>
      <x:c r="D566" s="34" t="n">
        <x:f>Assumptions!$B$4*D565+(1-Assumptions!$B$4)*C565^2</x:f>
        <x:v>1.3619310441831445</x:v>
      </x:c>
      <x:c r="E566" s="34" t="n">
        <x:f>SQRT(D566)</x:f>
        <x:v>1.1670180136498085</x:v>
      </x:c>
      <x:c r="F566" s="34" t="n">
        <x:f>-Assumptions!$B$7*E566</x:f>
        <x:v>1.919573812469591</x:v>
      </x:c>
      <x:c r="G566" s="34" t="n">
        <x:f>-Assumptions!$B$8*E566</x:f>
        <x:v>2.7148898750215964</x:v>
      </x:c>
      <x:c r="H566" s="34" t="n">
        <x:f>-Assumptions!$B$9*E566</x:f>
        <x:v>1.8215397565748623</x:v>
      </x:c>
      <x:c r="I566" s="34" t="n">
        <x:f>-Assumptions!$B$10*E566</x:f>
        <x:v>3.041789936053058</x:v>
      </x:c>
      <x:c r="J566" s="36" t="n">
        <x:f>IF(C566&lt;-F566,1,0)</x:f>
        <x:v>0</x:v>
      </x:c>
      <x:c r="K566" s="36" t="n">
        <x:f>IF(C566&lt;-G566,1,0)</x:f>
        <x:v>0</x:v>
      </x:c>
      <x:c r="L566" s="36" t="n">
        <x:f>IF(C566&lt;-H566,1,0)</x:f>
        <x:v>0</x:v>
      </x:c>
      <x:c r="M566" s="36" t="n">
        <x:f>IF(C566&lt;-I566,1,0)</x:f>
        <x:v>0</x:v>
      </x:c>
      <x:c r="N566" s="34" t="n">
        <x:f>-F566</x:f>
        <x:v>-1.919573812469591</x:v>
      </x:c>
      <x:c r="O566" s="34" t="n">
        <x:f>-H566</x:f>
        <x:v>-1.8215397565748623</x:v>
      </x:c>
      <x:c r="P566" s="34" t="n">
        <x:f>-G566</x:f>
        <x:v>-2.7148898750215964</x:v>
      </x:c>
      <x:c r="Q566" s="34" t="n">
        <x:f>-I566</x:f>
        <x:v>-3.041789936053058</x:v>
      </x:c>
      <x:c r="R566" s="36" t="n">
        <x:f>YEAR(A566)</x:f>
        <x:v>2023</x:v>
      </x:c>
    </x:row>
    <x:row r="567">
      <x:c r="A567" s="30" t="n">
        <x:v>45009</x:v>
      </x:c>
      <x:c r="B567" s="38" t="n">
        <x:v>3970.99</x:v>
      </x:c>
      <x:c r="C567" s="34" t="n">
        <x:f>(B567/B566-1)*100</x:f>
        <x:v>0.5639802265037686</x:v>
      </x:c>
      <x:c r="D567" s="34" t="n">
        <x:f>Assumptions!$B$4*D566+(1-Assumptions!$B$4)*C566^2</x:f>
        <x:v>1.285559628508821</x:v>
      </x:c>
      <x:c r="E567" s="34" t="n">
        <x:f>SQRT(D567)</x:f>
        <x:v>1.1338252195593557</x:v>
      </x:c>
      <x:c r="F567" s="34" t="n">
        <x:f>-Assumptions!$B$7*E567</x:f>
        <x:v>1.8649765247212562</x:v>
      </x:c>
      <x:c r="G567" s="34" t="n">
        <x:f>-Assumptions!$B$8*E567</x:f>
        <x:v>2.637671889055796</x:v>
      </x:c>
      <x:c r="H567" s="34" t="n">
        <x:f>-Assumptions!$B$9*E567</x:f>
        <x:v>1.7697307927367891</x:v>
      </x:c>
      <x:c r="I567" s="34" t="n">
        <x:f>-Assumptions!$B$10*E567</x:f>
        <x:v>2.955274127528342</x:v>
      </x:c>
      <x:c r="J567" s="36" t="n">
        <x:f>IF(C567&lt;-F567,1,0)</x:f>
        <x:v>0</x:v>
      </x:c>
      <x:c r="K567" s="36" t="n">
        <x:f>IF(C567&lt;-G567,1,0)</x:f>
        <x:v>0</x:v>
      </x:c>
      <x:c r="L567" s="36" t="n">
        <x:f>IF(C567&lt;-H567,1,0)</x:f>
        <x:v>0</x:v>
      </x:c>
      <x:c r="M567" s="36" t="n">
        <x:f>IF(C567&lt;-I567,1,0)</x:f>
        <x:v>0</x:v>
      </x:c>
      <x:c r="N567" s="34" t="n">
        <x:f>-F567</x:f>
        <x:v>-1.8649765247212562</x:v>
      </x:c>
      <x:c r="O567" s="34" t="n">
        <x:f>-H567</x:f>
        <x:v>-1.7697307927367891</x:v>
      </x:c>
      <x:c r="P567" s="34" t="n">
        <x:f>-G567</x:f>
        <x:v>-2.637671889055796</x:v>
      </x:c>
      <x:c r="Q567" s="34" t="n">
        <x:f>-I567</x:f>
        <x:v>-2.955274127528342</x:v>
      </x:c>
      <x:c r="R567" s="36" t="n">
        <x:f>YEAR(A567)</x:f>
        <x:v>2023</x:v>
      </x:c>
    </x:row>
    <x:row r="568">
      <x:c r="A568" s="30" t="n">
        <x:v>45012</x:v>
      </x:c>
      <x:c r="B568" s="38" t="n">
        <x:v>3977.53</x:v>
      </x:c>
      <x:c r="C568" s="34" t="n">
        <x:f>(B568/B567-1)*100</x:f>
        <x:v>0.16469444647304599</x:v>
      </x:c>
      <x:c r="D568" s="34" t="n">
        <x:f>Assumptions!$B$4*D567+(1-Assumptions!$B$4)*C567^2</x:f>
        <x:v>1.2275104725515262</x:v>
      </x:c>
      <x:c r="E568" s="34" t="n">
        <x:f>SQRT(D568)</x:f>
        <x:v>1.1079307164942789</x:v>
      </x:c>
      <x:c r="F568" s="34" t="n">
        <x:f>-Assumptions!$B$7*E568</x:f>
        <x:v>1.8223838574365587</x:v>
      </x:c>
      <x:c r="G568" s="34" t="n">
        <x:f>-Assumptions!$B$8*E568</x:f>
        <x:v>2.5774322669010106</x:v>
      </x:c>
      <x:c r="H568" s="34" t="n">
        <x:f>-Assumptions!$B$9*E568</x:f>
        <x:v>1.7293133645068073</x:v>
      </x:c>
      <x:c r="I568" s="34" t="n">
        <x:f>-Assumptions!$B$10*E568</x:f>
        <x:v>2.8877810486716506</x:v>
      </x:c>
      <x:c r="J568" s="36" t="n">
        <x:f>IF(C568&lt;-F568,1,0)</x:f>
        <x:v>0</x:v>
      </x:c>
      <x:c r="K568" s="36" t="n">
        <x:f>IF(C568&lt;-G568,1,0)</x:f>
        <x:v>0</x:v>
      </x:c>
      <x:c r="L568" s="36" t="n">
        <x:f>IF(C568&lt;-H568,1,0)</x:f>
        <x:v>0</x:v>
      </x:c>
      <x:c r="M568" s="36" t="n">
        <x:f>IF(C568&lt;-I568,1,0)</x:f>
        <x:v>0</x:v>
      </x:c>
      <x:c r="N568" s="34" t="n">
        <x:f>-F568</x:f>
        <x:v>-1.8223838574365587</x:v>
      </x:c>
      <x:c r="O568" s="34" t="n">
        <x:f>-H568</x:f>
        <x:v>-1.7293133645068073</x:v>
      </x:c>
      <x:c r="P568" s="34" t="n">
        <x:f>-G568</x:f>
        <x:v>-2.5774322669010106</x:v>
      </x:c>
      <x:c r="Q568" s="34" t="n">
        <x:f>-I568</x:f>
        <x:v>-2.8877810486716506</x:v>
      </x:c>
      <x:c r="R568" s="36" t="n">
        <x:f>YEAR(A568)</x:f>
        <x:v>2023</x:v>
      </x:c>
    </x:row>
    <x:row r="569">
      <x:c r="A569" s="30" t="n">
        <x:v>45013</x:v>
      </x:c>
      <x:c r="B569" s="38" t="n">
        <x:v>3971.27</x:v>
      </x:c>
      <x:c r="C569" s="34" t="n">
        <x:f>(B569/B568-1)*100</x:f>
        <x:v>-0.15738410521103363</x:v>
      </x:c>
      <x:c r="D569" s="34" t="n">
        <x:f>Assumptions!$B$4*D568+(1-Assumptions!$B$4)*C568^2</x:f>
        <x:v>1.1554872998403785</x:v>
      </x:c>
      <x:c r="E569" s="34" t="n">
        <x:f>SQRT(D569)</x:f>
        <x:v>1.074935951506125</x:v>
      </x:c>
      <x:c r="F569" s="34" t="n">
        <x:f>-Assumptions!$B$7*E569</x:f>
        <x:v>1.768112298575382</x:v>
      </x:c>
      <x:c r="G569" s="34" t="n">
        <x:f>-Assumptions!$B$8*E569</x:f>
        <x:v>2.5006749655163416</x:v>
      </x:c>
      <x:c r="H569" s="34" t="n">
        <x:f>-Assumptions!$B$9*E569</x:f>
        <x:v>1.6778134943404488</x:v>
      </x:c>
      <x:c r="I569" s="34" t="n">
        <x:f>-Assumptions!$B$10*E569</x:f>
        <x:v>2.8017813957875277</x:v>
      </x:c>
      <x:c r="J569" s="36" t="n">
        <x:f>IF(C569&lt;-F569,1,0)</x:f>
        <x:v>0</x:v>
      </x:c>
      <x:c r="K569" s="36" t="n">
        <x:f>IF(C569&lt;-G569,1,0)</x:f>
        <x:v>0</x:v>
      </x:c>
      <x:c r="L569" s="36" t="n">
        <x:f>IF(C569&lt;-H569,1,0)</x:f>
        <x:v>0</x:v>
      </x:c>
      <x:c r="M569" s="36" t="n">
        <x:f>IF(C569&lt;-I569,1,0)</x:f>
        <x:v>0</x:v>
      </x:c>
      <x:c r="N569" s="34" t="n">
        <x:f>-F569</x:f>
        <x:v>-1.768112298575382</x:v>
      </x:c>
      <x:c r="O569" s="34" t="n">
        <x:f>-H569</x:f>
        <x:v>-1.6778134943404488</x:v>
      </x:c>
      <x:c r="P569" s="34" t="n">
        <x:f>-G569</x:f>
        <x:v>-2.5006749655163416</x:v>
      </x:c>
      <x:c r="Q569" s="34" t="n">
        <x:f>-I569</x:f>
        <x:v>-2.8017813957875277</x:v>
      </x:c>
      <x:c r="R569" s="36" t="n">
        <x:f>YEAR(A569)</x:f>
        <x:v>2023</x:v>
      </x:c>
    </x:row>
    <x:row r="570">
      <x:c r="A570" s="30" t="n">
        <x:v>45014</x:v>
      </x:c>
      <x:c r="B570" s="38" t="n">
        <x:v>4027.81</x:v>
      </x:c>
      <x:c r="C570" s="34" t="n">
        <x:f>(B570/B569-1)*100</x:f>
        <x:v>1.4237259113583312</x:v>
      </x:c>
      <x:c r="D570" s="34" t="n">
        <x:f>Assumptions!$B$4*D569+(1-Assumptions!$B$4)*C569^2</x:f>
        <x:v>1.0876442472443404</x:v>
      </x:c>
      <x:c r="E570" s="34" t="n">
        <x:f>SQRT(D570)</x:f>
        <x:v>1.042901839697457</x:v>
      </x:c>
      <x:c r="F570" s="34" t="n">
        <x:f>-Assumptions!$B$7*E570</x:f>
        <x:v>1.7154208735807257</x:v>
      </x:c>
      <x:c r="G570" s="34" t="n">
        <x:f>-Assumptions!$B$8*E570</x:f>
        <x:v>2.4261524776134604</x:v>
      </x:c>
      <x:c r="H570" s="34" t="n">
        <x:f>-Assumptions!$B$9*E570</x:f>
        <x:v>1.6278130594340836</x:v>
      </x:c>
      <x:c r="I570" s="34" t="n">
        <x:f>-Assumptions!$B$10*E570</x:f>
        <x:v>2.7182856504174446</x:v>
      </x:c>
      <x:c r="J570" s="36" t="n">
        <x:f>IF(C570&lt;-F570,1,0)</x:f>
        <x:v>0</x:v>
      </x:c>
      <x:c r="K570" s="36" t="n">
        <x:f>IF(C570&lt;-G570,1,0)</x:f>
        <x:v>0</x:v>
      </x:c>
      <x:c r="L570" s="36" t="n">
        <x:f>IF(C570&lt;-H570,1,0)</x:f>
        <x:v>0</x:v>
      </x:c>
      <x:c r="M570" s="36" t="n">
        <x:f>IF(C570&lt;-I570,1,0)</x:f>
        <x:v>0</x:v>
      </x:c>
      <x:c r="N570" s="34" t="n">
        <x:f>-F570</x:f>
        <x:v>-1.7154208735807257</x:v>
      </x:c>
      <x:c r="O570" s="34" t="n">
        <x:f>-H570</x:f>
        <x:v>-1.6278130594340836</x:v>
      </x:c>
      <x:c r="P570" s="34" t="n">
        <x:f>-G570</x:f>
        <x:v>-2.4261524776134604</x:v>
      </x:c>
      <x:c r="Q570" s="34" t="n">
        <x:f>-I570</x:f>
        <x:v>-2.7182856504174446</x:v>
      </x:c>
      <x:c r="R570" s="36" t="n">
        <x:f>YEAR(A570)</x:f>
        <x:v>2023</x:v>
      </x:c>
    </x:row>
    <x:row r="571">
      <x:c r="A571" s="30" t="n">
        <x:v>45015</x:v>
      </x:c>
      <x:c r="B571" s="38" t="n">
        <x:v>4050.83</x:v>
      </x:c>
      <x:c r="C571" s="34" t="n">
        <x:f>(B571/B570-1)*100</x:f>
        <x:v>0.5715264622710547</x:v>
      </x:c>
      <x:c r="D571" s="34" t="n">
        <x:f>Assumptions!$B$4*D570+(1-Assumptions!$B$4)*C570^2</x:f>
        <x:v>1.1440053206500667</x:v>
      </x:c>
      <x:c r="E571" s="34" t="n">
        <x:f>SQRT(D571)</x:f>
        <x:v>1.0695818438296654</x:v>
      </x:c>
      <x:c r="F571" s="34" t="n">
        <x:f>-Assumptions!$B$7*E571</x:f>
        <x:v>1.759305575144669</x:v>
      </x:c>
      <x:c r="G571" s="34" t="n">
        <x:f>-Assumptions!$B$8*E571</x:f>
        <x:v>2.488219448505824</x:v>
      </x:c>
      <x:c r="H571" s="34" t="n">
        <x:f>-Assumptions!$B$9*E571</x:f>
        <x:v>1.6694565367960212</x:v>
      </x:c>
      <x:c r="I571" s="34" t="n">
        <x:f>-Assumptions!$B$10*E571</x:f>
        <x:v>2.7878261091884244</x:v>
      </x:c>
      <x:c r="J571" s="36" t="n">
        <x:f>IF(C571&lt;-F571,1,0)</x:f>
        <x:v>0</x:v>
      </x:c>
      <x:c r="K571" s="36" t="n">
        <x:f>IF(C571&lt;-G571,1,0)</x:f>
        <x:v>0</x:v>
      </x:c>
      <x:c r="L571" s="36" t="n">
        <x:f>IF(C571&lt;-H571,1,0)</x:f>
        <x:v>0</x:v>
      </x:c>
      <x:c r="M571" s="36" t="n">
        <x:f>IF(C571&lt;-I571,1,0)</x:f>
        <x:v>0</x:v>
      </x:c>
      <x:c r="N571" s="34" t="n">
        <x:f>-F571</x:f>
        <x:v>-1.759305575144669</x:v>
      </x:c>
      <x:c r="O571" s="34" t="n">
        <x:f>-H571</x:f>
        <x:v>-1.6694565367960212</x:v>
      </x:c>
      <x:c r="P571" s="34" t="n">
        <x:f>-G571</x:f>
        <x:v>-2.488219448505824</x:v>
      </x:c>
      <x:c r="Q571" s="34" t="n">
        <x:f>-I571</x:f>
        <x:v>-2.7878261091884244</x:v>
      </x:c>
      <x:c r="R571" s="36" t="n">
        <x:f>YEAR(A571)</x:f>
        <x:v>2023</x:v>
      </x:c>
    </x:row>
    <x:row r="572">
      <x:c r="A572" s="30" t="n">
        <x:v>45016</x:v>
      </x:c>
      <x:c r="B572" s="38" t="n">
        <x:v>4109.31</x:v>
      </x:c>
      <x:c r="C572" s="34" t="n">
        <x:f>(B572/B571-1)*100</x:f>
        <x:v>1.4436547571732294</x:v>
      </x:c>
      <x:c r="D572" s="34" t="n">
        <x:f>Assumptions!$B$4*D571+(1-Assumptions!$B$4)*C571^2</x:f>
        <x:v>1.0949635512356266</x:v>
      </x:c>
      <x:c r="E572" s="34" t="n">
        <x:f>SQRT(D572)</x:f>
        <x:v>1.046405060784602</x:v>
      </x:c>
      <x:c r="F572" s="34" t="n">
        <x:f>-Assumptions!$B$7*E572</x:f>
        <x:v>1.7211831594919291</x:v>
      </x:c>
      <x:c r="G572" s="34" t="n">
        <x:f>-Assumptions!$B$8*E572</x:f>
        <x:v>2.434302188541835</x:v>
      </x:c>
      <x:c r="H572" s="34" t="n">
        <x:f>-Assumptions!$B$9*E572</x:f>
        <x:v>1.633281061137287</x:v>
      </x:c>
      <x:c r="I572" s="34" t="n">
        <x:f>-Assumptions!$B$10*E572</x:f>
        <x:v>2.7274166685525634</x:v>
      </x:c>
      <x:c r="J572" s="36" t="n">
        <x:f>IF(C572&lt;-F572,1,0)</x:f>
        <x:v>0</x:v>
      </x:c>
      <x:c r="K572" s="36" t="n">
        <x:f>IF(C572&lt;-G572,1,0)</x:f>
        <x:v>0</x:v>
      </x:c>
      <x:c r="L572" s="36" t="n">
        <x:f>IF(C572&lt;-H572,1,0)</x:f>
        <x:v>0</x:v>
      </x:c>
      <x:c r="M572" s="36" t="n">
        <x:f>IF(C572&lt;-I572,1,0)</x:f>
        <x:v>0</x:v>
      </x:c>
      <x:c r="N572" s="34" t="n">
        <x:f>-F572</x:f>
        <x:v>-1.7211831594919291</x:v>
      </x:c>
      <x:c r="O572" s="34" t="n">
        <x:f>-H572</x:f>
        <x:v>-1.633281061137287</x:v>
      </x:c>
      <x:c r="P572" s="34" t="n">
        <x:f>-G572</x:f>
        <x:v>-2.434302188541835</x:v>
      </x:c>
      <x:c r="Q572" s="34" t="n">
        <x:f>-I572</x:f>
        <x:v>-2.7274166685525634</x:v>
      </x:c>
      <x:c r="R572" s="36" t="n">
        <x:f>YEAR(A572)</x:f>
        <x:v>2023</x:v>
      </x:c>
    </x:row>
    <x:row r="573">
      <x:c r="A573" s="30" t="n">
        <x:v>45019</x:v>
      </x:c>
      <x:c r="B573" s="38" t="n">
        <x:v>4124.51</x:v>
      </x:c>
      <x:c r="C573" s="34" t="n">
        <x:f>(B573/B572-1)*100</x:f>
        <x:v>0.3698917823186765</x:v>
      </x:c>
      <x:c r="D573" s="34" t="n">
        <x:f>Assumptions!$B$4*D572+(1-Assumptions!$B$4)*C572^2</x:f>
        <x:v>1.1543140816360227</x:v>
      </x:c>
      <x:c r="E573" s="34" t="n">
        <x:f>SQRT(D573)</x:f>
        <x:v>1.0743900975139442</x:v>
      </x:c>
      <x:c r="F573" s="34" t="n">
        <x:f>-Assumptions!$B$7*E573</x:f>
        <x:v>1.7672144486565577</x:v>
      </x:c>
      <x:c r="G573" s="34" t="n">
        <x:f>-Assumptions!$B$8*E573</x:f>
        <x:v>2.499405119242095</x:v>
      </x:c>
      <x:c r="H573" s="34" t="n">
        <x:f>-Assumptions!$B$9*E573</x:f>
        <x:v>1.6769614982817653</x:v>
      </x:c>
      <x:c r="I573" s="34" t="n">
        <x:f>-Assumptions!$B$10*E573</x:f>
        <x:v>2.8003586472433324</x:v>
      </x:c>
      <x:c r="J573" s="36" t="n">
        <x:f>IF(C573&lt;-F573,1,0)</x:f>
        <x:v>0</x:v>
      </x:c>
      <x:c r="K573" s="36" t="n">
        <x:f>IF(C573&lt;-G573,1,0)</x:f>
        <x:v>0</x:v>
      </x:c>
      <x:c r="L573" s="36" t="n">
        <x:f>IF(C573&lt;-H573,1,0)</x:f>
        <x:v>0</x:v>
      </x:c>
      <x:c r="M573" s="36" t="n">
        <x:f>IF(C573&lt;-I573,1,0)</x:f>
        <x:v>0</x:v>
      </x:c>
      <x:c r="N573" s="34" t="n">
        <x:f>-F573</x:f>
        <x:v>-1.7672144486565577</x:v>
      </x:c>
      <x:c r="O573" s="34" t="n">
        <x:f>-H573</x:f>
        <x:v>-1.6769614982817653</x:v>
      </x:c>
      <x:c r="P573" s="34" t="n">
        <x:f>-G573</x:f>
        <x:v>-2.499405119242095</x:v>
      </x:c>
      <x:c r="Q573" s="34" t="n">
        <x:f>-I573</x:f>
        <x:v>-2.8003586472433324</x:v>
      </x:c>
      <x:c r="R573" s="36" t="n">
        <x:f>YEAR(A573)</x:f>
        <x:v>2023</x:v>
      </x:c>
    </x:row>
    <x:row r="574">
      <x:c r="A574" s="30" t="n">
        <x:v>45020</x:v>
      </x:c>
      <x:c r="B574" s="38" t="n">
        <x:v>4100.6</x:v>
      </x:c>
      <x:c r="C574" s="34" t="n">
        <x:f>(B574/B573-1)*100</x:f>
        <x:v>-0.5797052255904322</x:v>
      </x:c>
      <x:c r="D574" s="34" t="n">
        <x:f>Assumptions!$B$4*D573+(1-Assumptions!$B$4)*C573^2</x:f>
        <x:v>1.0932644325754743</x:v>
      </x:c>
      <x:c r="E574" s="34" t="n">
        <x:f>SQRT(D574)</x:f>
        <x:v>1.0455928617657422</x:v>
      </x:c>
      <x:c r="F574" s="34" t="n">
        <x:f>-Assumptions!$B$7*E574</x:f>
        <x:v>1.719847210989951</x:v>
      </x:c>
      <x:c r="G574" s="34" t="n">
        <x:f>-Assumptions!$B$8*E574</x:f>
        <x:v>2.4324127310810124</x:v>
      </x:c>
      <x:c r="H574" s="34" t="n">
        <x:f>-Assumptions!$B$9*E574</x:f>
        <x:v>1.6320133405144686</x:v>
      </x:c>
      <x:c r="I574" s="34" t="n">
        <x:f>-Assumptions!$B$10*E574</x:f>
        <x:v>2.725299701399748</x:v>
      </x:c>
      <x:c r="J574" s="36" t="n">
        <x:f>IF(C574&lt;-F574,1,0)</x:f>
        <x:v>0</x:v>
      </x:c>
      <x:c r="K574" s="36" t="n">
        <x:f>IF(C574&lt;-G574,1,0)</x:f>
        <x:v>0</x:v>
      </x:c>
      <x:c r="L574" s="36" t="n">
        <x:f>IF(C574&lt;-H574,1,0)</x:f>
        <x:v>0</x:v>
      </x:c>
      <x:c r="M574" s="36" t="n">
        <x:f>IF(C574&lt;-I574,1,0)</x:f>
        <x:v>0</x:v>
      </x:c>
      <x:c r="N574" s="34" t="n">
        <x:f>-F574</x:f>
        <x:v>-1.719847210989951</x:v>
      </x:c>
      <x:c r="O574" s="34" t="n">
        <x:f>-H574</x:f>
        <x:v>-1.6320133405144686</x:v>
      </x:c>
      <x:c r="P574" s="34" t="n">
        <x:f>-G574</x:f>
        <x:v>-2.4324127310810124</x:v>
      </x:c>
      <x:c r="Q574" s="34" t="n">
        <x:f>-I574</x:f>
        <x:v>-2.725299701399748</x:v>
      </x:c>
      <x:c r="R574" s="36" t="n">
        <x:f>YEAR(A574)</x:f>
        <x:v>2023</x:v>
      </x:c>
    </x:row>
    <x:row r="575">
      <x:c r="A575" s="30" t="n">
        <x:v>45021</x:v>
      </x:c>
      <x:c r="B575" s="38" t="n">
        <x:v>4090.38</x:v>
      </x:c>
      <x:c r="C575" s="34" t="n">
        <x:f>(B575/B574-1)*100</x:f>
        <x:v>-0.24923181973370845</x:v>
      </x:c>
      <x:c r="D575" s="34" t="n">
        <x:f>Assumptions!$B$4*D574+(1-Assumptions!$B$4)*C574^2</x:f>
        <x:v>1.047832055535557</x:v>
      </x:c>
      <x:c r="E575" s="34" t="n">
        <x:f>SQRT(D575)</x:f>
        <x:v>1.0236366814136533</x:v>
      </x:c>
      <x:c r="F575" s="34" t="n">
        <x:f>-Assumptions!$B$7*E575</x:f>
        <x:v>1.6837325081038168</x:v>
      </x:c>
      <x:c r="G575" s="34" t="n">
        <x:f>-Assumptions!$B$8*E575</x:f>
        <x:v>2.3813350175968733</x:v>
      </x:c>
      <x:c r="H575" s="34" t="n">
        <x:f>-Assumptions!$B$9*E575</x:f>
        <x:v>1.5977430422447978</x:v>
      </x:c>
      <x:c r="I575" s="34" t="n">
        <x:f>-Assumptions!$B$10*E575</x:f>
        <x:v>2.6680717172144153</x:v>
      </x:c>
      <x:c r="J575" s="36" t="n">
        <x:f>IF(C575&lt;-F575,1,0)</x:f>
        <x:v>0</x:v>
      </x:c>
      <x:c r="K575" s="36" t="n">
        <x:f>IF(C575&lt;-G575,1,0)</x:f>
        <x:v>0</x:v>
      </x:c>
      <x:c r="L575" s="36" t="n">
        <x:f>IF(C575&lt;-H575,1,0)</x:f>
        <x:v>0</x:v>
      </x:c>
      <x:c r="M575" s="36" t="n">
        <x:f>IF(C575&lt;-I575,1,0)</x:f>
        <x:v>0</x:v>
      </x:c>
      <x:c r="N575" s="34" t="n">
        <x:f>-F575</x:f>
        <x:v>-1.6837325081038168</x:v>
      </x:c>
      <x:c r="O575" s="34" t="n">
        <x:f>-H575</x:f>
        <x:v>-1.5977430422447978</x:v>
      </x:c>
      <x:c r="P575" s="34" t="n">
        <x:f>-G575</x:f>
        <x:v>-2.3813350175968733</x:v>
      </x:c>
      <x:c r="Q575" s="34" t="n">
        <x:f>-I575</x:f>
        <x:v>-2.6680717172144153</x:v>
      </x:c>
      <x:c r="R575" s="36" t="n">
        <x:f>YEAR(A575)</x:f>
        <x:v>2023</x:v>
      </x:c>
    </x:row>
    <x:row r="576">
      <x:c r="A576" s="30" t="n">
        <x:v>45022</x:v>
      </x:c>
      <x:c r="B576" s="38" t="n">
        <x:v>4105.02</x:v>
      </x:c>
      <x:c r="C576" s="34" t="n">
        <x:f>(B576/B575-1)*100</x:f>
        <x:v>0.3579129567424122</x:v>
      </x:c>
      <x:c r="D576" s="34" t="n">
        <x:f>Assumptions!$B$4*D575+(1-Assumptions!$B$4)*C575^2</x:f>
        <x:v>0.98868912220149</x:v>
      </x:c>
      <x:c r="E576" s="34" t="n">
        <x:f>SQRT(D576)</x:f>
        <x:v>0.9943284780199599</x:v>
      </x:c>
      <x:c r="F576" s="34" t="n">
        <x:f>-Assumptions!$B$7*E576</x:f>
        <x:v>1.635524803452269</x:v>
      </x:c>
      <x:c r="G576" s="34" t="n">
        <x:f>-Assumptions!$B$8*E576</x:f>
        <x:v>2.313153940939998</x:v>
      </x:c>
      <x:c r="H576" s="34" t="n">
        <x:f>-Assumptions!$B$9*E576</x:f>
        <x:v>1.5519973407637797</x:v>
      </x:c>
      <x:c r="I576" s="34" t="n">
        <x:f>-Assumptions!$B$10*E576</x:f>
        <x:v>2.5916809528183107</x:v>
      </x:c>
      <x:c r="J576" s="36" t="n">
        <x:f>IF(C576&lt;-F576,1,0)</x:f>
        <x:v>0</x:v>
      </x:c>
      <x:c r="K576" s="36" t="n">
        <x:f>IF(C576&lt;-G576,1,0)</x:f>
        <x:v>0</x:v>
      </x:c>
      <x:c r="L576" s="36" t="n">
        <x:f>IF(C576&lt;-H576,1,0)</x:f>
        <x:v>0</x:v>
      </x:c>
      <x:c r="M576" s="36" t="n">
        <x:f>IF(C576&lt;-I576,1,0)</x:f>
        <x:v>0</x:v>
      </x:c>
      <x:c r="N576" s="34" t="n">
        <x:f>-F576</x:f>
        <x:v>-1.635524803452269</x:v>
      </x:c>
      <x:c r="O576" s="34" t="n">
        <x:f>-H576</x:f>
        <x:v>-1.5519973407637797</x:v>
      </x:c>
      <x:c r="P576" s="34" t="n">
        <x:f>-G576</x:f>
        <x:v>-2.313153940939998</x:v>
      </x:c>
      <x:c r="Q576" s="34" t="n">
        <x:f>-I576</x:f>
        <x:v>-2.5916809528183107</x:v>
      </x:c>
      <x:c r="R576" s="36" t="n">
        <x:f>YEAR(A576)</x:f>
        <x:v>2023</x:v>
      </x:c>
    </x:row>
    <x:row r="577">
      <x:c r="A577" s="30" t="n">
        <x:v>45026</x:v>
      </x:c>
      <x:c r="B577" s="38" t="n">
        <x:v>4109.11</x:v>
      </x:c>
      <x:c r="C577" s="34" t="n">
        <x:f>(B577/B576-1)*100</x:f>
        <x:v>0.09963410653295313</x:v>
      </x:c>
      <x:c r="D577" s="34" t="n">
        <x:f>Assumptions!$B$4*D576+(1-Assumptions!$B$4)*C576^2</x:f>
        <x:v>0.9370538759456463</x:v>
      </x:c>
      <x:c r="E577" s="34" t="n">
        <x:f>SQRT(D577)</x:f>
        <x:v>0.9680154316671022</x:v>
      </x:c>
      <x:c r="F577" s="34" t="n">
        <x:f>-Assumptions!$B$7*E577</x:f>
        <x:v>1.5922436937226288</x:v>
      </x:c>
      <x:c r="G577" s="34" t="n">
        <x:f>-Assumptions!$B$8*E577</x:f>
        <x:v>2.2519406414974896</x:v>
      </x:c>
      <x:c r="H577" s="34" t="n">
        <x:f>-Assumptions!$B$9*E577</x:f>
        <x:v>1.5109266293542556</x:v>
      </x:c>
      <x:c r="I577" s="34" t="n">
        <x:f>-Assumptions!$B$10*E577</x:f>
        <x:v>2.523096956130289</x:v>
      </x:c>
      <x:c r="J577" s="36" t="n">
        <x:f>IF(C577&lt;-F577,1,0)</x:f>
        <x:v>0</x:v>
      </x:c>
      <x:c r="K577" s="36" t="n">
        <x:f>IF(C577&lt;-G577,1,0)</x:f>
        <x:v>0</x:v>
      </x:c>
      <x:c r="L577" s="36" t="n">
        <x:f>IF(C577&lt;-H577,1,0)</x:f>
        <x:v>0</x:v>
      </x:c>
      <x:c r="M577" s="36" t="n">
        <x:f>IF(C577&lt;-I577,1,0)</x:f>
        <x:v>0</x:v>
      </x:c>
      <x:c r="N577" s="34" t="n">
        <x:f>-F577</x:f>
        <x:v>-1.5922436937226288</x:v>
      </x:c>
      <x:c r="O577" s="34" t="n">
        <x:f>-H577</x:f>
        <x:v>-1.5109266293542556</x:v>
      </x:c>
      <x:c r="P577" s="34" t="n">
        <x:f>-G577</x:f>
        <x:v>-2.2519406414974896</x:v>
      </x:c>
      <x:c r="Q577" s="34" t="n">
        <x:f>-I577</x:f>
        <x:v>-2.523096956130289</x:v>
      </x:c>
      <x:c r="R577" s="36" t="n">
        <x:f>YEAR(A577)</x:f>
        <x:v>2023</x:v>
      </x:c>
    </x:row>
    <x:row r="578">
      <x:c r="A578" s="30" t="n">
        <x:v>45027</x:v>
      </x:c>
      <x:c r="B578" s="38" t="n">
        <x:v>4108.94</x:v>
      </x:c>
      <x:c r="C578" s="34" t="n">
        <x:f>(B578/B577-1)*100</x:f>
        <x:v>-0.004137148920324574</x:v>
      </x:c>
      <x:c r="D578" s="34" t="n">
        <x:f>Assumptions!$B$4*D577+(1-Assumptions!$B$4)*C577^2</x:f>
        <x:v>0.8814262606999846</x:v>
      </x:c>
      <x:c r="E578" s="34" t="n">
        <x:f>SQRT(D578)</x:f>
        <x:v>0.9388430436979254</x:v>
      </x:c>
      <x:c r="F578" s="34" t="n">
        <x:f>-Assumptions!$B$7*E578</x:f>
        <x:v>1.5442593855646927</x:v>
      </x:c>
      <x:c r="G578" s="34" t="n">
        <x:f>-Assumptions!$B$8*E578</x:f>
        <x:v>2.1840755187647005</x:v>
      </x:c>
      <x:c r="H578" s="34" t="n">
        <x:f>-Assumptions!$B$9*E578</x:f>
        <x:v>1.4653929153425134</x:v>
      </x:c>
      <x:c r="I578" s="34" t="n">
        <x:f>-Assumptions!$B$10*E578</x:f>
        <x:v>2.447060189690191</x:v>
      </x:c>
      <x:c r="J578" s="36" t="n">
        <x:f>IF(C578&lt;-F578,1,0)</x:f>
        <x:v>0</x:v>
      </x:c>
      <x:c r="K578" s="36" t="n">
        <x:f>IF(C578&lt;-G578,1,0)</x:f>
        <x:v>0</x:v>
      </x:c>
      <x:c r="L578" s="36" t="n">
        <x:f>IF(C578&lt;-H578,1,0)</x:f>
        <x:v>0</x:v>
      </x:c>
      <x:c r="M578" s="36" t="n">
        <x:f>IF(C578&lt;-I578,1,0)</x:f>
        <x:v>0</x:v>
      </x:c>
      <x:c r="N578" s="34" t="n">
        <x:f>-F578</x:f>
        <x:v>-1.5442593855646927</x:v>
      </x:c>
      <x:c r="O578" s="34" t="n">
        <x:f>-H578</x:f>
        <x:v>-1.4653929153425134</x:v>
      </x:c>
      <x:c r="P578" s="34" t="n">
        <x:f>-G578</x:f>
        <x:v>-2.1840755187647005</x:v>
      </x:c>
      <x:c r="Q578" s="34" t="n">
        <x:f>-I578</x:f>
        <x:v>-2.447060189690191</x:v>
      </x:c>
      <x:c r="R578" s="36" t="n">
        <x:f>YEAR(A578)</x:f>
        <x:v>2023</x:v>
      </x:c>
    </x:row>
    <x:row r="579">
      <x:c r="A579" s="30" t="n">
        <x:v>45028</x:v>
      </x:c>
      <x:c r="B579" s="38" t="n">
        <x:v>4091.95</x:v>
      </x:c>
      <x:c r="C579" s="34" t="n">
        <x:f>(B579/B578-1)*100</x:f>
        <x:v>-0.4134886369720592</x:v>
      </x:c>
      <x:c r="D579" s="34" t="n">
        <x:f>Assumptions!$B$4*D578+(1-Assumptions!$B$4)*C578^2</x:f>
        <x:v>0.8285417120180568</x:v>
      </x:c>
      <x:c r="E579" s="34" t="n">
        <x:f>SQRT(D579)</x:f>
        <x:v>0.9102426665554944</x:v>
      </x:c>
      <x:c r="F579" s="34" t="n">
        <x:f>-Assumptions!$B$7*E579</x:f>
        <x:v>1.497215951489785</x:v>
      </x:c>
      <x:c r="G579" s="34" t="n">
        <x:f>-Assumptions!$B$8*E579</x:f>
        <x:v>2.11754109220264</x:v>
      </x:c>
      <x:c r="H579" s="34" t="n">
        <x:f>-Assumptions!$B$9*E579</x:f>
        <x:v>1.4207520242777367</x:v>
      </x:c>
      <x:c r="I579" s="34" t="n">
        <x:f>-Assumptions!$B$10*E579</x:f>
        <x:v>2.372514348630643</x:v>
      </x:c>
      <x:c r="J579" s="36" t="n">
        <x:f>IF(C579&lt;-F579,1,0)</x:f>
        <x:v>0</x:v>
      </x:c>
      <x:c r="K579" s="36" t="n">
        <x:f>IF(C579&lt;-G579,1,0)</x:f>
        <x:v>0</x:v>
      </x:c>
      <x:c r="L579" s="36" t="n">
        <x:f>IF(C579&lt;-H579,1,0)</x:f>
        <x:v>0</x:v>
      </x:c>
      <x:c r="M579" s="36" t="n">
        <x:f>IF(C579&lt;-I579,1,0)</x:f>
        <x:v>0</x:v>
      </x:c>
      <x:c r="N579" s="34" t="n">
        <x:f>-F579</x:f>
        <x:v>-1.497215951489785</x:v>
      </x:c>
      <x:c r="O579" s="34" t="n">
        <x:f>-H579</x:f>
        <x:v>-1.4207520242777367</x:v>
      </x:c>
      <x:c r="P579" s="34" t="n">
        <x:f>-G579</x:f>
        <x:v>-2.11754109220264</x:v>
      </x:c>
      <x:c r="Q579" s="34" t="n">
        <x:f>-I579</x:f>
        <x:v>-2.372514348630643</x:v>
      </x:c>
      <x:c r="R579" s="36" t="n">
        <x:f>YEAR(A579)</x:f>
        <x:v>2023</x:v>
      </x:c>
    </x:row>
    <x:row r="580">
      <x:c r="A580" s="30" t="n">
        <x:v>45029</x:v>
      </x:c>
      <x:c r="B580" s="38" t="n">
        <x:v>4146.22</x:v>
      </x:c>
      <x:c r="C580" s="34" t="n">
        <x:f>(B580/B579-1)*100</x:f>
        <x:v>1.3262625398648753</x:v>
      </x:c>
      <x:c r="D580" s="34" t="n">
        <x:f>Assumptions!$B$4*D579+(1-Assumptions!$B$4)*C579^2</x:f>
        <x:v>0.7890875804712741</x:v>
      </x:c>
      <x:c r="E580" s="34" t="n">
        <x:f>SQRT(D580)</x:f>
        <x:v>0.8883060173562228</x:v>
      </x:c>
      <x:c r="F580" s="34" t="n">
        <x:f>-Assumptions!$B$7*E580</x:f>
        <x:v>1.4611333744912012</x:v>
      </x:c>
      <x:c r="G580" s="34" t="n">
        <x:f>-Assumptions!$B$8*E580</x:f>
        <x:v>2.066508814974335</x:v>
      </x:c>
      <x:c r="H580" s="34" t="n">
        <x:f>-Assumptions!$B$9*E580</x:f>
        <x:v>1.3865122112027521</x:v>
      </x:c>
      <x:c r="I580" s="34" t="n">
        <x:f>-Assumptions!$B$10*E580</x:f>
        <x:v>2.315337271683574</x:v>
      </x:c>
      <x:c r="J580" s="36" t="n">
        <x:f>IF(C580&lt;-F580,1,0)</x:f>
        <x:v>0</x:v>
      </x:c>
      <x:c r="K580" s="36" t="n">
        <x:f>IF(C580&lt;-G580,1,0)</x:f>
        <x:v>0</x:v>
      </x:c>
      <x:c r="L580" s="36" t="n">
        <x:f>IF(C580&lt;-H580,1,0)</x:f>
        <x:v>0</x:v>
      </x:c>
      <x:c r="M580" s="36" t="n">
        <x:f>IF(C580&lt;-I580,1,0)</x:f>
        <x:v>0</x:v>
      </x:c>
      <x:c r="N580" s="34" t="n">
        <x:f>-F580</x:f>
        <x:v>-1.4611333744912012</x:v>
      </x:c>
      <x:c r="O580" s="34" t="n">
        <x:f>-H580</x:f>
        <x:v>-1.3865122112027521</x:v>
      </x:c>
      <x:c r="P580" s="34" t="n">
        <x:f>-G580</x:f>
        <x:v>-2.066508814974335</x:v>
      </x:c>
      <x:c r="Q580" s="34" t="n">
        <x:f>-I580</x:f>
        <x:v>-2.315337271683574</x:v>
      </x:c>
      <x:c r="R580" s="36" t="n">
        <x:f>YEAR(A580)</x:f>
        <x:v>2023</x:v>
      </x:c>
    </x:row>
    <x:row r="581">
      <x:c r="A581" s="30" t="n">
        <x:v>45030</x:v>
      </x:c>
      <x:c r="B581" s="38" t="n">
        <x:v>4137.64</x:v>
      </x:c>
      <x:c r="C581" s="34" t="n">
        <x:f>(B581/B580-1)*100</x:f>
        <x:v>-0.20693547375681964</x:v>
      </x:c>
      <x:c r="D581" s="34" t="n">
        <x:f>Assumptions!$B$4*D580+(1-Assumptions!$B$4)*C580^2</x:f>
        <x:v>0.8472806651219276</x:v>
      </x:c>
      <x:c r="E581" s="34" t="n">
        <x:f>SQRT(D581)</x:f>
        <x:v>0.9204784979139532</x:v>
      </x:c>
      <x:c r="F581" s="34" t="n">
        <x:f>-Assumptions!$B$7*E581</x:f>
        <x:v>1.5140523958246097</x:v>
      </x:c>
      <x:c r="G581" s="34" t="n">
        <x:f>-Assumptions!$B$8*E581</x:f>
        <x:v>2.1413531967224313</x:v>
      </x:c>
      <x:c r="H581" s="34" t="n">
        <x:f>-Assumptions!$B$9*E581</x:f>
        <x:v>1.4367286189343325</x:v>
      </x:c>
      <x:c r="I581" s="34" t="n">
        <x:f>-Assumptions!$B$10*E581</x:f>
        <x:v>2.3991936701570706</x:v>
      </x:c>
      <x:c r="J581" s="36" t="n">
        <x:f>IF(C581&lt;-F581,1,0)</x:f>
        <x:v>0</x:v>
      </x:c>
      <x:c r="K581" s="36" t="n">
        <x:f>IF(C581&lt;-G581,1,0)</x:f>
        <x:v>0</x:v>
      </x:c>
      <x:c r="L581" s="36" t="n">
        <x:f>IF(C581&lt;-H581,1,0)</x:f>
        <x:v>0</x:v>
      </x:c>
      <x:c r="M581" s="36" t="n">
        <x:f>IF(C581&lt;-I581,1,0)</x:f>
        <x:v>0</x:v>
      </x:c>
      <x:c r="N581" s="34" t="n">
        <x:f>-F581</x:f>
        <x:v>-1.5140523958246097</x:v>
      </x:c>
      <x:c r="O581" s="34" t="n">
        <x:f>-H581</x:f>
        <x:v>-1.4367286189343325</x:v>
      </x:c>
      <x:c r="P581" s="34" t="n">
        <x:f>-G581</x:f>
        <x:v>-2.1413531967224313</x:v>
      </x:c>
      <x:c r="Q581" s="34" t="n">
        <x:f>-I581</x:f>
        <x:v>-2.3991936701570706</x:v>
      </x:c>
      <x:c r="R581" s="36" t="n">
        <x:f>YEAR(A581)</x:f>
        <x:v>2023</x:v>
      </x:c>
    </x:row>
    <x:row r="582">
      <x:c r="A582" s="30" t="n">
        <x:v>45033</x:v>
      </x:c>
      <x:c r="B582" s="38" t="n">
        <x:v>4151.32</x:v>
      </x:c>
      <x:c r="C582" s="34" t="n">
        <x:f>(B582/B581-1)*100</x:f>
        <x:v>0.3306232538355047</x:v>
      </x:c>
      <x:c r="D582" s="34" t="n">
        <x:f>Assumptions!$B$4*D581+(1-Assumptions!$B$4)*C581^2</x:f>
        <x:v>0.7990131626325494</x:v>
      </x:c>
      <x:c r="E582" s="34" t="n">
        <x:f>SQRT(D582)</x:f>
        <x:v>0.8938753619115751</x:v>
      </x:c>
      <x:c r="F582" s="34" t="n">
        <x:f>-Assumptions!$B$7*E582</x:f>
        <x:v>1.4702941310828148</x:v>
      </x:c>
      <x:c r="G582" s="34" t="n">
        <x:f>-Assumptions!$B$8*E582</x:f>
        <x:v>2.0794650478404795</x:v>
      </x:c>
      <x:c r="H582" s="34" t="n">
        <x:f>-Assumptions!$B$9*E582</x:f>
        <x:v>1.3952051211724197</x:v>
      </x:c>
      <x:c r="I582" s="34" t="n">
        <x:f>-Assumptions!$B$10*E582</x:f>
        <x:v>2.3298535653660517</x:v>
      </x:c>
      <x:c r="J582" s="36" t="n">
        <x:f>IF(C582&lt;-F582,1,0)</x:f>
        <x:v>0</x:v>
      </x:c>
      <x:c r="K582" s="36" t="n">
        <x:f>IF(C582&lt;-G582,1,0)</x:f>
        <x:v>0</x:v>
      </x:c>
      <x:c r="L582" s="36" t="n">
        <x:f>IF(C582&lt;-H582,1,0)</x:f>
        <x:v>0</x:v>
      </x:c>
      <x:c r="M582" s="36" t="n">
        <x:f>IF(C582&lt;-I582,1,0)</x:f>
        <x:v>0</x:v>
      </x:c>
      <x:c r="N582" s="34" t="n">
        <x:f>-F582</x:f>
        <x:v>-1.4702941310828148</x:v>
      </x:c>
      <x:c r="O582" s="34" t="n">
        <x:f>-H582</x:f>
        <x:v>-1.3952051211724197</x:v>
      </x:c>
      <x:c r="P582" s="34" t="n">
        <x:f>-G582</x:f>
        <x:v>-2.0794650478404795</x:v>
      </x:c>
      <x:c r="Q582" s="34" t="n">
        <x:f>-I582</x:f>
        <x:v>-2.3298535653660517</x:v>
      </x:c>
      <x:c r="R582" s="36" t="n">
        <x:f>YEAR(A582)</x:f>
        <x:v>2023</x:v>
      </x:c>
    </x:row>
    <x:row r="583">
      <x:c r="A583" s="30" t="n">
        <x:v>45034</x:v>
      </x:c>
      <x:c r="B583" s="38" t="n">
        <x:v>4154.87</x:v>
      </x:c>
      <x:c r="C583" s="34" t="n">
        <x:f>(B583/B582-1)*100</x:f>
        <x:v>0.08551496873283604</x:v>
      </x:c>
      <x:c r="D583" s="34" t="n">
        <x:f>Assumptions!$B$4*D582+(1-Assumptions!$B$4)*C582^2</x:f>
        <x:v>0.757631077033203</x:v>
      </x:c>
      <x:c r="E583" s="34" t="n">
        <x:f>SQRT(D583)</x:f>
        <x:v>0.8704200578072653</x:v>
      </x:c>
      <x:c r="F583" s="34" t="n">
        <x:f>-Assumptions!$B$7*E583</x:f>
        <x:v>1.431713589055591</x:v>
      </x:c>
      <x:c r="G583" s="34" t="n">
        <x:f>-Assumptions!$B$8*E583</x:f>
        <x:v>2.024899851002437</x:v>
      </x:c>
      <x:c r="H583" s="34" t="n">
        <x:f>-Assumptions!$B$9*E583</x:f>
        <x:v>1.3585949159923525</x:v>
      </x:c>
      <x:c r="I583" s="34" t="n">
        <x:f>-Assumptions!$B$10*E583</x:f>
        <x:v>2.268718169736278</x:v>
      </x:c>
      <x:c r="J583" s="36" t="n">
        <x:f>IF(C583&lt;-F583,1,0)</x:f>
        <x:v>0</x:v>
      </x:c>
      <x:c r="K583" s="36" t="n">
        <x:f>IF(C583&lt;-G583,1,0)</x:f>
        <x:v>0</x:v>
      </x:c>
      <x:c r="L583" s="36" t="n">
        <x:f>IF(C583&lt;-H583,1,0)</x:f>
        <x:v>0</x:v>
      </x:c>
      <x:c r="M583" s="36" t="n">
        <x:f>IF(C583&lt;-I583,1,0)</x:f>
        <x:v>0</x:v>
      </x:c>
      <x:c r="N583" s="34" t="n">
        <x:f>-F583</x:f>
        <x:v>-1.431713589055591</x:v>
      </x:c>
      <x:c r="O583" s="34" t="n">
        <x:f>-H583</x:f>
        <x:v>-1.3585949159923525</x:v>
      </x:c>
      <x:c r="P583" s="34" t="n">
        <x:f>-G583</x:f>
        <x:v>-2.024899851002437</x:v>
      </x:c>
      <x:c r="Q583" s="34" t="n">
        <x:f>-I583</x:f>
        <x:v>-2.268718169736278</x:v>
      </x:c>
      <x:c r="R583" s="36" t="n">
        <x:f>YEAR(A583)</x:f>
        <x:v>2023</x:v>
      </x:c>
    </x:row>
    <x:row r="584">
      <x:c r="A584" s="30" t="n">
        <x:v>45035</x:v>
      </x:c>
      <x:c r="B584" s="38" t="n">
        <x:v>4154.52</x:v>
      </x:c>
      <x:c r="C584" s="34" t="n">
        <x:f>(B584/B583-1)*100</x:f>
        <x:v>-0.008423849602978706</x:v>
      </x:c>
      <x:c r="D584" s="34" t="n">
        <x:f>Assumptions!$B$4*D583+(1-Assumptions!$B$4)*C583^2</x:f>
        <x:v>0.7126119810038535</x:v>
      </x:c>
      <x:c r="E584" s="34" t="n">
        <x:f>SQRT(D584)</x:f>
        <x:v>0.8441634800225922</x:v>
      </x:c>
      <x:c r="F584" s="34" t="n">
        <x:f>-Assumptions!$B$7*E584</x:f>
        <x:v>1.388525361855138</x:v>
      </x:c>
      <x:c r="G584" s="34" t="n">
        <x:f>-Assumptions!$B$8*E584</x:f>
        <x:v>1.9638179170934749</x:v>
      </x:c>
      <x:c r="H584" s="34" t="n">
        <x:f>-Assumptions!$B$9*E584</x:f>
        <x:v>1.3176123435324778</x:v>
      </x:c>
      <x:c r="I584" s="34" t="n">
        <x:f>-Assumptions!$B$10*E584</x:f>
        <x:v>2.20028135631398</x:v>
      </x:c>
      <x:c r="J584" s="36" t="n">
        <x:f>IF(C584&lt;-F584,1,0)</x:f>
        <x:v>0</x:v>
      </x:c>
      <x:c r="K584" s="36" t="n">
        <x:f>IF(C584&lt;-G584,1,0)</x:f>
        <x:v>0</x:v>
      </x:c>
      <x:c r="L584" s="36" t="n">
        <x:f>IF(C584&lt;-H584,1,0)</x:f>
        <x:v>0</x:v>
      </x:c>
      <x:c r="M584" s="36" t="n">
        <x:f>IF(C584&lt;-I584,1,0)</x:f>
        <x:v>0</x:v>
      </x:c>
      <x:c r="N584" s="34" t="n">
        <x:f>-F584</x:f>
        <x:v>-1.388525361855138</x:v>
      </x:c>
      <x:c r="O584" s="34" t="n">
        <x:f>-H584</x:f>
        <x:v>-1.3176123435324778</x:v>
      </x:c>
      <x:c r="P584" s="34" t="n">
        <x:f>-G584</x:f>
        <x:v>-1.9638179170934749</x:v>
      </x:c>
      <x:c r="Q584" s="34" t="n">
        <x:f>-I584</x:f>
        <x:v>-2.20028135631398</x:v>
      </x:c>
      <x:c r="R584" s="36" t="n">
        <x:f>YEAR(A584)</x:f>
        <x:v>2023</x:v>
      </x:c>
    </x:row>
    <x:row r="585">
      <x:c r="A585" s="30" t="n">
        <x:v>45036</x:v>
      </x:c>
      <x:c r="B585" s="38" t="n">
        <x:v>4129.79</x:v>
      </x:c>
      <x:c r="C585" s="34" t="n">
        <x:f>(B585/B584-1)*100</x:f>
        <x:v>-0.5952552882162232</x:v>
      </x:c>
      <x:c r="D585" s="34" t="n">
        <x:f>Assumptions!$B$4*D584+(1-Assumptions!$B$4)*C584^2</x:f>
        <x:v>0.6698595198181503</x:v>
      </x:c>
      <x:c r="E585" s="34" t="n">
        <x:f>SQRT(D585)</x:f>
        <x:v>0.8184494607598873</x:v>
      </x:c>
      <x:c r="F585" s="34" t="n">
        <x:f>-Assumptions!$B$7*E585</x:f>
        <x:v>1.3462295640073778</x:v>
      </x:c>
      <x:c r="G585" s="34" t="n">
        <x:f>-Assumptions!$B$8*E585</x:f>
        <x:v>1.903998163048636</x:v>
      </x:c>
      <x:c r="H585" s="34" t="n">
        <x:f>-Assumptions!$B$9*E585</x:f>
        <x:v>1.2774766233974808</x:v>
      </x:c>
      <x:c r="I585" s="34" t="n">
        <x:f>-Assumptions!$B$10*E585</x:f>
        <x:v>2.133258701912828</x:v>
      </x:c>
      <x:c r="J585" s="36" t="n">
        <x:f>IF(C585&lt;-F585,1,0)</x:f>
        <x:v>0</x:v>
      </x:c>
      <x:c r="K585" s="36" t="n">
        <x:f>IF(C585&lt;-G585,1,0)</x:f>
        <x:v>0</x:v>
      </x:c>
      <x:c r="L585" s="36" t="n">
        <x:f>IF(C585&lt;-H585,1,0)</x:f>
        <x:v>0</x:v>
      </x:c>
      <x:c r="M585" s="36" t="n">
        <x:f>IF(C585&lt;-I585,1,0)</x:f>
        <x:v>0</x:v>
      </x:c>
      <x:c r="N585" s="34" t="n">
        <x:f>-F585</x:f>
        <x:v>-1.3462295640073778</x:v>
      </x:c>
      <x:c r="O585" s="34" t="n">
        <x:f>-H585</x:f>
        <x:v>-1.2774766233974808</x:v>
      </x:c>
      <x:c r="P585" s="34" t="n">
        <x:f>-G585</x:f>
        <x:v>-1.903998163048636</x:v>
      </x:c>
      <x:c r="Q585" s="34" t="n">
        <x:f>-I585</x:f>
        <x:v>-2.133258701912828</x:v>
      </x:c>
      <x:c r="R585" s="36" t="n">
        <x:f>YEAR(A585)</x:f>
        <x:v>2023</x:v>
      </x:c>
    </x:row>
    <x:row r="586">
      <x:c r="A586" s="30" t="n">
        <x:v>45037</x:v>
      </x:c>
      <x:c r="B586" s="38" t="n">
        <x:v>4133.52</x:v>
      </x:c>
      <x:c r="C586" s="34" t="n">
        <x:f>(B586/B585-1)*100</x:f>
        <x:v>0.09031936248575789</x:v>
      </x:c>
      <x:c r="D586" s="34" t="n">
        <x:f>Assumptions!$B$4*D585+(1-Assumptions!$B$4)*C585^2</x:f>
        <x:v>0.650927680118024</x:v>
      </x:c>
      <x:c r="E586" s="34" t="n">
        <x:f>SQRT(D586)</x:f>
        <x:v>0.8068008924871266</x:v>
      </x:c>
      <x:c r="F586" s="34" t="n">
        <x:f>-Assumptions!$B$7*E586</x:f>
        <x:v>1.3270693742351356</x:v>
      </x:c>
      <x:c r="G586" s="34" t="n">
        <x:f>-Assumptions!$B$8*E586</x:f>
        <x:v>1.8768995410116796</x:v>
      </x:c>
      <x:c r="H586" s="34" t="n">
        <x:f>-Assumptions!$B$9*E586</x:f>
        <x:v>1.2592949587035052</x:v>
      </x:c>
      <x:c r="I586" s="34" t="n">
        <x:f>-Assumptions!$B$10*E586</x:f>
        <x:v>2.10289713308777</x:v>
      </x:c>
      <x:c r="J586" s="36" t="n">
        <x:f>IF(C586&lt;-F586,1,0)</x:f>
        <x:v>0</x:v>
      </x:c>
      <x:c r="K586" s="36" t="n">
        <x:f>IF(C586&lt;-G586,1,0)</x:f>
        <x:v>0</x:v>
      </x:c>
      <x:c r="L586" s="36" t="n">
        <x:f>IF(C586&lt;-H586,1,0)</x:f>
        <x:v>0</x:v>
      </x:c>
      <x:c r="M586" s="36" t="n">
        <x:f>IF(C586&lt;-I586,1,0)</x:f>
        <x:v>0</x:v>
      </x:c>
      <x:c r="N586" s="34" t="n">
        <x:f>-F586</x:f>
        <x:v>-1.3270693742351356</x:v>
      </x:c>
      <x:c r="O586" s="34" t="n">
        <x:f>-H586</x:f>
        <x:v>-1.2592949587035052</x:v>
      </x:c>
      <x:c r="P586" s="34" t="n">
        <x:f>-G586</x:f>
        <x:v>-1.8768995410116796</x:v>
      </x:c>
      <x:c r="Q586" s="34" t="n">
        <x:f>-I586</x:f>
        <x:v>-2.10289713308777</x:v>
      </x:c>
      <x:c r="R586" s="36" t="n">
        <x:f>YEAR(A586)</x:f>
        <x:v>2023</x:v>
      </x:c>
    </x:row>
    <x:row r="587">
      <x:c r="A587" s="30" t="n">
        <x:v>45040</x:v>
      </x:c>
      <x:c r="B587" s="38" t="n">
        <x:v>4137.04</x:v>
      </x:c>
      <x:c r="C587" s="34" t="n">
        <x:f>(B587/B586-1)*100</x:f>
        <x:v>0.08515744450250384</x:v>
      </x:c>
      <x:c r="D587" s="34" t="n">
        <x:f>Assumptions!$B$4*D586+(1-Assumptions!$B$4)*C586^2</x:f>
        <x:v>0.6123614745453326</x:v>
      </x:c>
      <x:c r="E587" s="34" t="n">
        <x:f>SQRT(D587)</x:f>
        <x:v>0.7825352864538011</x:v>
      </x:c>
      <x:c r="F587" s="34" t="n">
        <x:f>-Assumptions!$B$7*E587</x:f>
        <x:v>1.2871560041410446</x:v>
      </x:c>
      <x:c r="G587" s="34" t="n">
        <x:f>-Assumptions!$B$8*E587</x:f>
        <x:v>1.8204493000037403</x:v>
      </x:c>
      <x:c r="H587" s="34" t="n">
        <x:f>-Assumptions!$B$9*E587</x:f>
        <x:v>1.221419993972799</x:v>
      </x:c>
      <x:c r="I587" s="34" t="n">
        <x:f>-Assumptions!$B$10*E587</x:f>
        <x:v>2.039649715000746</x:v>
      </x:c>
      <x:c r="J587" s="36" t="n">
        <x:f>IF(C587&lt;-F587,1,0)</x:f>
        <x:v>0</x:v>
      </x:c>
      <x:c r="K587" s="36" t="n">
        <x:f>IF(C587&lt;-G587,1,0)</x:f>
        <x:v>0</x:v>
      </x:c>
      <x:c r="L587" s="36" t="n">
        <x:f>IF(C587&lt;-H587,1,0)</x:f>
        <x:v>0</x:v>
      </x:c>
      <x:c r="M587" s="36" t="n">
        <x:f>IF(C587&lt;-I587,1,0)</x:f>
        <x:v>0</x:v>
      </x:c>
      <x:c r="N587" s="34" t="n">
        <x:f>-F587</x:f>
        <x:v>-1.2871560041410446</x:v>
      </x:c>
      <x:c r="O587" s="34" t="n">
        <x:f>-H587</x:f>
        <x:v>-1.221419993972799</x:v>
      </x:c>
      <x:c r="P587" s="34" t="n">
        <x:f>-G587</x:f>
        <x:v>-1.8204493000037403</x:v>
      </x:c>
      <x:c r="Q587" s="34" t="n">
        <x:f>-I587</x:f>
        <x:v>-2.039649715000746</x:v>
      </x:c>
      <x:c r="R587" s="36" t="n">
        <x:f>YEAR(A587)</x:f>
        <x:v>2023</x:v>
      </x:c>
    </x:row>
    <x:row r="588">
      <x:c r="A588" s="30" t="n">
        <x:v>45041</x:v>
      </x:c>
      <x:c r="B588" s="38" t="n">
        <x:v>4071.63</x:v>
      </x:c>
      <x:c r="C588" s="34" t="n">
        <x:f>(B588/B587-1)*100</x:f>
        <x:v>-1.5810821263512076</x:v>
      </x:c>
      <x:c r="D588" s="34" t="n">
        <x:f>Assumptions!$B$4*D587+(1-Assumptions!$B$4)*C587^2</x:f>
        <x:v>0.5760548934938645</x:v>
      </x:c>
      <x:c r="E588" s="34" t="n">
        <x:f>SQRT(D588)</x:f>
        <x:v>0.7589828018432727</x:v>
      </x:c>
      <x:c r="F588" s="34" t="n">
        <x:f>-Assumptions!$B$7*E588</x:f>
        <x:v>1.2484156144056981</x:v>
      </x:c>
      <x:c r="G588" s="34" t="n">
        <x:f>-Assumptions!$B$8*E588</x:f>
        <x:v>1.7656580275016578</x:v>
      </x:c>
      <x:c r="H588" s="34" t="n">
        <x:f>-Assumptions!$B$9*E588</x:f>
        <x:v>1.1846581046254177</x:v>
      </x:c>
      <x:c r="I588" s="34" t="n">
        <x:f>-Assumptions!$B$10*E588</x:f>
        <x:v>1.9782610219219712</x:v>
      </x:c>
      <x:c r="J588" s="36" t="n">
        <x:f>IF(C588&lt;-F588,1,0)</x:f>
        <x:v>1</x:v>
      </x:c>
      <x:c r="K588" s="36" t="n">
        <x:f>IF(C588&lt;-G588,1,0)</x:f>
        <x:v>0</x:v>
      </x:c>
      <x:c r="L588" s="36" t="n">
        <x:f>IF(C588&lt;-H588,1,0)</x:f>
        <x:v>1</x:v>
      </x:c>
      <x:c r="M588" s="36" t="n">
        <x:f>IF(C588&lt;-I588,1,0)</x:f>
        <x:v>0</x:v>
      </x:c>
      <x:c r="N588" s="34" t="n">
        <x:f>-F588</x:f>
        <x:v>-1.2484156144056981</x:v>
      </x:c>
      <x:c r="O588" s="34" t="n">
        <x:f>-H588</x:f>
        <x:v>-1.1846581046254177</x:v>
      </x:c>
      <x:c r="P588" s="34" t="n">
        <x:f>-G588</x:f>
        <x:v>-1.7656580275016578</x:v>
      </x:c>
      <x:c r="Q588" s="34" t="n">
        <x:f>-I588</x:f>
        <x:v>-1.9782610219219712</x:v>
      </x:c>
      <x:c r="R588" s="36" t="n">
        <x:f>YEAR(A588)</x:f>
        <x:v>2023</x:v>
      </x:c>
    </x:row>
    <x:row r="589">
      <x:c r="A589" s="30" t="n">
        <x:v>45042</x:v>
      </x:c>
      <x:c r="B589" s="38" t="n">
        <x:v>4055.99</x:v>
      </x:c>
      <x:c r="C589" s="34" t="n">
        <x:f>(B589/B588-1)*100</x:f>
        <x:v>-0.3841213469789828</x:v>
      </x:c>
      <x:c r="D589" s="34" t="n">
        <x:f>Assumptions!$B$4*D588+(1-Assumptions!$B$4)*C588^2</x:f>
        <x:v>0.691480841300268</x:v>
      </x:c>
      <x:c r="E589" s="34" t="n">
        <x:f>SQRT(D589)</x:f>
        <x:v>0.8315532702721263</x:v>
      </x:c>
      <x:c r="F589" s="34" t="n">
        <x:f>-Assumptions!$B$7*E589</x:f>
        <x:v>1.3677834126104653</x:v>
      </x:c>
      <x:c r="G589" s="34" t="n">
        <x:f>-Assumptions!$B$8*E589</x:f>
        <x:v>1.9344821824492693</x:v>
      </x:c>
      <x:c r="H589" s="34" t="n">
        <x:f>-Assumptions!$B$9*E589</x:f>
        <x:v>1.297929700993496</x:v>
      </x:c>
      <x:c r="I589" s="34" t="n">
        <x:f>-Assumptions!$B$10*E589</x:f>
        <x:v>2.1674133040115797</x:v>
      </x:c>
      <x:c r="J589" s="36" t="n">
        <x:f>IF(C589&lt;-F589,1,0)</x:f>
        <x:v>0</x:v>
      </x:c>
      <x:c r="K589" s="36" t="n">
        <x:f>IF(C589&lt;-G589,1,0)</x:f>
        <x:v>0</x:v>
      </x:c>
      <x:c r="L589" s="36" t="n">
        <x:f>IF(C589&lt;-H589,1,0)</x:f>
        <x:v>0</x:v>
      </x:c>
      <x:c r="M589" s="36" t="n">
        <x:f>IF(C589&lt;-I589,1,0)</x:f>
        <x:v>0</x:v>
      </x:c>
      <x:c r="N589" s="34" t="n">
        <x:f>-F589</x:f>
        <x:v>-1.3677834126104653</x:v>
      </x:c>
      <x:c r="O589" s="34" t="n">
        <x:f>-H589</x:f>
        <x:v>-1.297929700993496</x:v>
      </x:c>
      <x:c r="P589" s="34" t="n">
        <x:f>-G589</x:f>
        <x:v>-1.9344821824492693</x:v>
      </x:c>
      <x:c r="Q589" s="34" t="n">
        <x:f>-I589</x:f>
        <x:v>-2.1674133040115797</x:v>
      </x:c>
      <x:c r="R589" s="36" t="n">
        <x:f>YEAR(A589)</x:f>
        <x:v>2023</x:v>
      </x:c>
    </x:row>
    <x:row r="590">
      <x:c r="A590" s="30" t="n">
        <x:v>45043</x:v>
      </x:c>
      <x:c r="B590" s="38" t="n">
        <x:v>4135.35</x:v>
      </x:c>
      <x:c r="C590" s="34" t="n">
        <x:f>(B590/B589-1)*100</x:f>
        <x:v>1.9566123190639217</x:v>
      </x:c>
      <x:c r="D590" s="34" t="n">
        <x:f>Assumptions!$B$4*D589+(1-Assumptions!$B$4)*C589^2</x:f>
        <x:v>0.6588449433745488</x:v>
      </x:c>
      <x:c r="E590" s="34" t="n">
        <x:f>SQRT(D590)</x:f>
        <x:v>0.8116926409513325</x:v>
      </x:c>
      <x:c r="F590" s="34" t="n">
        <x:f>-Assumptions!$B$7*E590</x:f>
        <x:v>1.3351155844386189</x:v>
      </x:c>
      <x:c r="G590" s="34" t="n">
        <x:f>-Assumptions!$B$8*E590</x:f>
        <x:v>1.8882794496517274</x:v>
      </x:c>
      <x:c r="H590" s="34" t="n">
        <x:f>-Assumptions!$B$9*E590</x:f>
        <x:v>1.2669302429943172</x:v>
      </x:c>
      <x:c r="I590" s="34" t="n">
        <x:f>-Assumptions!$B$10*E590</x:f>
        <x:v>2.115647297244696</x:v>
      </x:c>
      <x:c r="J590" s="36" t="n">
        <x:f>IF(C590&lt;-F590,1,0)</x:f>
        <x:v>0</x:v>
      </x:c>
      <x:c r="K590" s="36" t="n">
        <x:f>IF(C590&lt;-G590,1,0)</x:f>
        <x:v>0</x:v>
      </x:c>
      <x:c r="L590" s="36" t="n">
        <x:f>IF(C590&lt;-H590,1,0)</x:f>
        <x:v>0</x:v>
      </x:c>
      <x:c r="M590" s="36" t="n">
        <x:f>IF(C590&lt;-I590,1,0)</x:f>
        <x:v>0</x:v>
      </x:c>
      <x:c r="N590" s="34" t="n">
        <x:f>-F590</x:f>
        <x:v>-1.3351155844386189</x:v>
      </x:c>
      <x:c r="O590" s="34" t="n">
        <x:f>-H590</x:f>
        <x:v>-1.2669302429943172</x:v>
      </x:c>
      <x:c r="P590" s="34" t="n">
        <x:f>-G590</x:f>
        <x:v>-1.8882794496517274</x:v>
      </x:c>
      <x:c r="Q590" s="34" t="n">
        <x:f>-I590</x:f>
        <x:v>-2.115647297244696</x:v>
      </x:c>
      <x:c r="R590" s="36" t="n">
        <x:f>YEAR(A590)</x:f>
        <x:v>2023</x:v>
      </x:c>
    </x:row>
    <x:row r="591">
      <x:c r="A591" s="30" t="n">
        <x:v>45044</x:v>
      </x:c>
      <x:c r="B591" s="38" t="n">
        <x:v>4169.48</x:v>
      </x:c>
      <x:c r="C591" s="34" t="n">
        <x:f>(B591/B590-1)*100</x:f>
        <x:v>0.8253231286347917</x:v>
      </x:c>
      <x:c r="D591" s="34" t="n">
        <x:f>Assumptions!$B$4*D590+(1-Assumptions!$B$4)*C590^2</x:f>
        <x:v>0.8490141527988379</x:v>
      </x:c>
      <x:c r="E591" s="34" t="n">
        <x:f>SQRT(D591)</x:f>
        <x:v>0.921419639902926</x:v>
      </x:c>
      <x:c r="F591" s="34" t="n">
        <x:f>-Assumptions!$B$7*E591</x:f>
        <x:v>1.5156004366386477</x:v>
      </x:c>
      <x:c r="G591" s="34" t="n">
        <x:f>-Assumptions!$B$8*E591</x:f>
        <x:v>2.1435426203876484</x:v>
      </x:c>
      <x:c r="H591" s="34" t="n">
        <x:f>-Assumptions!$B$9*E591</x:f>
        <x:v>1.4381976001577963</x:v>
      </x:c>
      <x:c r="I591" s="34" t="n">
        <x:f>-Assumptions!$B$10*E591</x:f>
        <x:v>2.401646722463865</x:v>
      </x:c>
      <x:c r="J591" s="36" t="n">
        <x:f>IF(C591&lt;-F591,1,0)</x:f>
        <x:v>0</x:v>
      </x:c>
      <x:c r="K591" s="36" t="n">
        <x:f>IF(C591&lt;-G591,1,0)</x:f>
        <x:v>0</x:v>
      </x:c>
      <x:c r="L591" s="36" t="n">
        <x:f>IF(C591&lt;-H591,1,0)</x:f>
        <x:v>0</x:v>
      </x:c>
      <x:c r="M591" s="36" t="n">
        <x:f>IF(C591&lt;-I591,1,0)</x:f>
        <x:v>0</x:v>
      </x:c>
      <x:c r="N591" s="34" t="n">
        <x:f>-F591</x:f>
        <x:v>-1.5156004366386477</x:v>
      </x:c>
      <x:c r="O591" s="34" t="n">
        <x:f>-H591</x:f>
        <x:v>-1.4381976001577963</x:v>
      </x:c>
      <x:c r="P591" s="34" t="n">
        <x:f>-G591</x:f>
        <x:v>-2.1435426203876484</x:v>
      </x:c>
      <x:c r="Q591" s="34" t="n">
        <x:f>-I591</x:f>
        <x:v>-2.401646722463865</x:v>
      </x:c>
      <x:c r="R591" s="36" t="n">
        <x:f>YEAR(A591)</x:f>
        <x:v>2023</x:v>
      </x:c>
    </x:row>
    <x:row r="592">
      <x:c r="A592" s="30" t="n">
        <x:v>45047</x:v>
      </x:c>
      <x:c r="B592" s="38" t="n">
        <x:v>4167.87</x:v>
      </x:c>
      <x:c r="C592" s="34" t="n">
        <x:f>(B592/B591-1)*100</x:f>
        <x:v>-0.03861392787588569</x:v>
      </x:c>
      <x:c r="D592" s="34" t="n">
        <x:f>Assumptions!$B$4*D591+(1-Assumptions!$B$4)*C591^2</x:f>
        <x:v>0.8389427996304788</x:v>
      </x:c>
      <x:c r="E592" s="34" t="n">
        <x:f>SQRT(D592)</x:f>
        <x:v>0.9159382073210391</x:v>
      </x:c>
      <x:c r="F592" s="34" t="n">
        <x:f>-Assumptions!$B$7*E592</x:f>
        <x:v>1.5065842823754414</x:v>
      </x:c>
      <x:c r="G592" s="34" t="n">
        <x:f>-Assumptions!$B$8*E592</x:f>
        <x:v>2.130790901354078</x:v>
      </x:c>
      <x:c r="H592" s="34" t="n">
        <x:f>-Assumptions!$B$9*E592</x:f>
        <x:v>1.4296419075685578</x:v>
      </x:c>
      <x:c r="I592" s="34" t="n">
        <x:f>-Assumptions!$B$10*E592</x:f>
        <x:v>2.3873595681374367</x:v>
      </x:c>
      <x:c r="J592" s="36" t="n">
        <x:f>IF(C592&lt;-F592,1,0)</x:f>
        <x:v>0</x:v>
      </x:c>
      <x:c r="K592" s="36" t="n">
        <x:f>IF(C592&lt;-G592,1,0)</x:f>
        <x:v>0</x:v>
      </x:c>
      <x:c r="L592" s="36" t="n">
        <x:f>IF(C592&lt;-H592,1,0)</x:f>
        <x:v>0</x:v>
      </x:c>
      <x:c r="M592" s="36" t="n">
        <x:f>IF(C592&lt;-I592,1,0)</x:f>
        <x:v>0</x:v>
      </x:c>
      <x:c r="N592" s="34" t="n">
        <x:f>-F592</x:f>
        <x:v>-1.5065842823754414</x:v>
      </x:c>
      <x:c r="O592" s="34" t="n">
        <x:f>-H592</x:f>
        <x:v>-1.4296419075685578</x:v>
      </x:c>
      <x:c r="P592" s="34" t="n">
        <x:f>-G592</x:f>
        <x:v>-2.130790901354078</x:v>
      </x:c>
      <x:c r="Q592" s="34" t="n">
        <x:f>-I592</x:f>
        <x:v>-2.3873595681374367</x:v>
      </x:c>
      <x:c r="R592" s="36" t="n">
        <x:f>YEAR(A592)</x:f>
        <x:v>2023</x:v>
      </x:c>
    </x:row>
    <x:row r="593">
      <x:c r="A593" s="30" t="n">
        <x:v>45048</x:v>
      </x:c>
      <x:c r="B593" s="38" t="n">
        <x:v>4119.58</x:v>
      </x:c>
      <x:c r="C593" s="34" t="n">
        <x:f>(B593/B592-1)*100</x:f>
        <x:v>-1.1586253889876552</x:v>
      </x:c>
      <x:c r="D593" s="34" t="n">
        <x:f>Assumptions!$B$4*D592+(1-Assumptions!$B$4)*C592^2</x:f>
        <x:v>0.7886956937782102</x:v>
      </x:c>
      <x:c r="E593" s="34" t="n">
        <x:f>SQRT(D593)</x:f>
        <x:v>0.8880854090560267</x:v>
      </x:c>
      <x:c r="F593" s="34" t="n">
        <x:f>-Assumptions!$B$7*E593</x:f>
        <x:v>1.460770506128488</x:v>
      </x:c>
      <x:c r="G593" s="34" t="n">
        <x:f>-Assumptions!$B$8*E593</x:f>
        <x:v>2.0659956033241778</x:v>
      </x:c>
      <x:c r="H593" s="34" t="n">
        <x:f>-Assumptions!$B$9*E593</x:f>
        <x:v>1.386167874795998</x:v>
      </x:c>
      <x:c r="I593" s="34" t="n">
        <x:f>-Assumptions!$B$10*E593</x:f>
        <x:v>2.314762264186262</x:v>
      </x:c>
      <x:c r="J593" s="36" t="n">
        <x:f>IF(C593&lt;-F593,1,0)</x:f>
        <x:v>0</x:v>
      </x:c>
      <x:c r="K593" s="36" t="n">
        <x:f>IF(C593&lt;-G593,1,0)</x:f>
        <x:v>0</x:v>
      </x:c>
      <x:c r="L593" s="36" t="n">
        <x:f>IF(C593&lt;-H593,1,0)</x:f>
        <x:v>0</x:v>
      </x:c>
      <x:c r="M593" s="36" t="n">
        <x:f>IF(C593&lt;-I593,1,0)</x:f>
        <x:v>0</x:v>
      </x:c>
      <x:c r="N593" s="34" t="n">
        <x:f>-F593</x:f>
        <x:v>-1.460770506128488</x:v>
      </x:c>
      <x:c r="O593" s="34" t="n">
        <x:f>-H593</x:f>
        <x:v>-1.386167874795998</x:v>
      </x:c>
      <x:c r="P593" s="34" t="n">
        <x:f>-G593</x:f>
        <x:v>-2.0659956033241778</x:v>
      </x:c>
      <x:c r="Q593" s="34" t="n">
        <x:f>-I593</x:f>
        <x:v>-2.314762264186262</x:v>
      </x:c>
      <x:c r="R593" s="36" t="n">
        <x:f>YEAR(A593)</x:f>
        <x:v>2023</x:v>
      </x:c>
    </x:row>
    <x:row r="594">
      <x:c r="A594" s="30" t="n">
        <x:v>45049</x:v>
      </x:c>
      <x:c r="B594" s="38" t="n">
        <x:v>4090.75</x:v>
      </x:c>
      <x:c r="C594" s="34" t="n">
        <x:f>(B594/B593-1)*100</x:f>
        <x:v>-0.6998286233062534</x:v>
      </x:c>
      <x:c r="D594" s="34" t="n">
        <x:f>Assumptions!$B$4*D593+(1-Assumptions!$B$4)*C593^2</x:f>
        <x:v>0.8219187196719254</x:v>
      </x:c>
      <x:c r="E594" s="34" t="n">
        <x:f>SQRT(D594)</x:f>
        <x:v>0.9065973305012128</x:v>
      </x:c>
      <x:c r="F594" s="34" t="n">
        <x:f>-Assumptions!$B$7*E594</x:f>
        <x:v>1.491219907259443</x:v>
      </x:c>
      <x:c r="G594" s="34" t="n">
        <x:f>-Assumptions!$B$8*E594</x:f>
        <x:v>2.1090607724225974</x:v>
      </x:c>
      <x:c r="H594" s="34" t="n">
        <x:f>-Assumptions!$B$9*E594</x:f>
        <x:v>1.4150622024658326</x:v>
      </x:c>
      <x:c r="I594" s="34" t="n">
        <x:f>-Assumptions!$B$10*E594</x:f>
        <x:v>2.3630129130111817</x:v>
      </x:c>
      <x:c r="J594" s="36" t="n">
        <x:f>IF(C594&lt;-F594,1,0)</x:f>
        <x:v>0</x:v>
      </x:c>
      <x:c r="K594" s="36" t="n">
        <x:f>IF(C594&lt;-G594,1,0)</x:f>
        <x:v>0</x:v>
      </x:c>
      <x:c r="L594" s="36" t="n">
        <x:f>IF(C594&lt;-H594,1,0)</x:f>
        <x:v>0</x:v>
      </x:c>
      <x:c r="M594" s="36" t="n">
        <x:f>IF(C594&lt;-I594,1,0)</x:f>
        <x:v>0</x:v>
      </x:c>
      <x:c r="N594" s="34" t="n">
        <x:f>-F594</x:f>
        <x:v>-1.491219907259443</x:v>
      </x:c>
      <x:c r="O594" s="34" t="n">
        <x:f>-H594</x:f>
        <x:v>-1.4150622024658326</x:v>
      </x:c>
      <x:c r="P594" s="34" t="n">
        <x:f>-G594</x:f>
        <x:v>-2.1090607724225974</x:v>
      </x:c>
      <x:c r="Q594" s="34" t="n">
        <x:f>-I594</x:f>
        <x:v>-2.3630129130111817</x:v>
      </x:c>
      <x:c r="R594" s="36" t="n">
        <x:f>YEAR(A594)</x:f>
        <x:v>2023</x:v>
      </x:c>
    </x:row>
    <x:row r="595">
      <x:c r="A595" s="30" t="n">
        <x:v>45050</x:v>
      </x:c>
      <x:c r="B595" s="38" t="n">
        <x:v>4061.22</x:v>
      </x:c>
      <x:c r="C595" s="34" t="n">
        <x:f>(B595/B594-1)*100</x:f>
        <x:v>-0.7218725172645657</x:v>
      </x:c>
      <x:c r="D595" s="34" t="n">
        <x:f>Assumptions!$B$4*D594+(1-Assumptions!$B$4)*C594^2</x:f>
        <x:v>0.8019892026115334</x:v>
      </x:c>
      <x:c r="E595" s="34" t="n">
        <x:f>SQRT(D595)</x:f>
        <x:v>0.8955384986763737</x:v>
      </x:c>
      <x:c r="F595" s="34" t="n">
        <x:f>-Assumptions!$B$7*E595</x:f>
        <x:v>1.47302974762251</x:v>
      </x:c>
      <x:c r="G595" s="34" t="n">
        <x:f>-Assumptions!$B$8*E595</x:f>
        <x:v>2.0833340825175077</x:v>
      </x:c>
      <x:c r="H595" s="34" t="n">
        <x:f>-Assumptions!$B$9*E595</x:f>
        <x:v>1.397801027749926</x:v>
      </x:c>
      <x:c r="I595" s="34" t="n">
        <x:f>-Assumptions!$B$10*E595</x:f>
        <x:v>2.3341884707524927</x:v>
      </x:c>
      <x:c r="J595" s="36" t="n">
        <x:f>IF(C595&lt;-F595,1,0)</x:f>
        <x:v>0</x:v>
      </x:c>
      <x:c r="K595" s="36" t="n">
        <x:f>IF(C595&lt;-G595,1,0)</x:f>
        <x:v>0</x:v>
      </x:c>
      <x:c r="L595" s="36" t="n">
        <x:f>IF(C595&lt;-H595,1,0)</x:f>
        <x:v>0</x:v>
      </x:c>
      <x:c r="M595" s="36" t="n">
        <x:f>IF(C595&lt;-I595,1,0)</x:f>
        <x:v>0</x:v>
      </x:c>
      <x:c r="N595" s="34" t="n">
        <x:f>-F595</x:f>
        <x:v>-1.47302974762251</x:v>
      </x:c>
      <x:c r="O595" s="34" t="n">
        <x:f>-H595</x:f>
        <x:v>-1.397801027749926</x:v>
      </x:c>
      <x:c r="P595" s="34" t="n">
        <x:f>-G595</x:f>
        <x:v>-2.0833340825175077</x:v>
      </x:c>
      <x:c r="Q595" s="34" t="n">
        <x:f>-I595</x:f>
        <x:v>-2.3341884707524927</x:v>
      </x:c>
      <x:c r="R595" s="36" t="n">
        <x:f>YEAR(A595)</x:f>
        <x:v>2023</x:v>
      </x:c>
    </x:row>
    <x:row r="596">
      <x:c r="A596" s="30" t="n">
        <x:v>45051</x:v>
      </x:c>
      <x:c r="B596" s="38" t="n">
        <x:v>4136.25</x:v>
      </x:c>
      <x:c r="C596" s="34" t="n">
        <x:f>(B596/B595-1)*100</x:f>
        <x:v>1.8474744042430657</x:v>
      </x:c>
      <x:c r="D596" s="34" t="n">
        <x:f>Assumptions!$B$4*D595+(1-Assumptions!$B$4)*C595^2</x:f>
        <x:v>0.7851358463257542</x:v>
      </x:c>
      <x:c r="E596" s="34" t="n">
        <x:f>SQRT(D596)</x:f>
        <x:v>0.8860789165338233</x:v>
      </x:c>
      <x:c r="F596" s="34" t="n">
        <x:f>-Assumptions!$B$7*E596</x:f>
        <x:v>1.4574701196258906</x:v>
      </x:c>
      <x:c r="G596" s="34" t="n">
        <x:f>-Assumptions!$B$8*E596</x:f>
        <x:v>2.061327803710871</x:v>
      </x:c>
      <x:c r="H596" s="34" t="n">
        <x:f>-Assumptions!$B$9*E596</x:f>
        <x:v>1.3830360414757623</x:v>
      </x:c>
      <x:c r="I596" s="34" t="n">
        <x:f>-Assumptions!$B$10*E596</x:f>
        <x:v>2.309532414527202</x:v>
      </x:c>
      <x:c r="J596" s="36" t="n">
        <x:f>IF(C596&lt;-F596,1,0)</x:f>
        <x:v>0</x:v>
      </x:c>
      <x:c r="K596" s="36" t="n">
        <x:f>IF(C596&lt;-G596,1,0)</x:f>
        <x:v>0</x:v>
      </x:c>
      <x:c r="L596" s="36" t="n">
        <x:f>IF(C596&lt;-H596,1,0)</x:f>
        <x:v>0</x:v>
      </x:c>
      <x:c r="M596" s="36" t="n">
        <x:f>IF(C596&lt;-I596,1,0)</x:f>
        <x:v>0</x:v>
      </x:c>
      <x:c r="N596" s="34" t="n">
        <x:f>-F596</x:f>
        <x:v>-1.4574701196258906</x:v>
      </x:c>
      <x:c r="O596" s="34" t="n">
        <x:f>-H596</x:f>
        <x:v>-1.3830360414757623</x:v>
      </x:c>
      <x:c r="P596" s="34" t="n">
        <x:f>-G596</x:f>
        <x:v>-2.061327803710871</x:v>
      </x:c>
      <x:c r="Q596" s="34" t="n">
        <x:f>-I596</x:f>
        <x:v>-2.309532414527202</x:v>
      </x:c>
      <x:c r="R596" s="36" t="n">
        <x:f>YEAR(A596)</x:f>
        <x:v>2023</x:v>
      </x:c>
    </x:row>
    <x:row r="597">
      <x:c r="A597" s="30" t="n">
        <x:v>45054</x:v>
      </x:c>
      <x:c r="B597" s="38" t="n">
        <x:v>4138.12</x:v>
      </x:c>
      <x:c r="C597" s="34" t="n">
        <x:f>(B597/B596-1)*100</x:f>
        <x:v>0.04521003324267081</x:v>
      </x:c>
      <x:c r="D597" s="34" t="n">
        <x:f>Assumptions!$B$4*D596+(1-Assumptions!$B$4)*C596^2</x:f>
        <x:v>0.9428173960062053</x:v>
      </x:c>
      <x:c r="E597" s="34" t="n">
        <x:f>SQRT(D597)</x:f>
        <x:v>0.9709878454472051</x:v>
      </x:c>
      <x:c r="F597" s="34" t="n">
        <x:f>-Assumptions!$B$7*E597</x:f>
        <x:v>1.5971328793096313</x:v>
      </x:c>
      <x:c r="G597" s="34" t="n">
        <x:f>-Assumptions!$B$8*E597</x:f>
        <x:v>2.2588555099756014</x:v>
      </x:c>
      <x:c r="H597" s="34" t="n">
        <x:f>-Assumptions!$B$9*E597</x:f>
        <x:v>1.5155661206132764</x:v>
      </x:c>
      <x:c r="I597" s="34" t="n">
        <x:f>-Assumptions!$B$10*E597</x:f>
        <x:v>2.530844444357849</x:v>
      </x:c>
      <x:c r="J597" s="36" t="n">
        <x:f>IF(C597&lt;-F597,1,0)</x:f>
        <x:v>0</x:v>
      </x:c>
      <x:c r="K597" s="36" t="n">
        <x:f>IF(C597&lt;-G597,1,0)</x:f>
        <x:v>0</x:v>
      </x:c>
      <x:c r="L597" s="36" t="n">
        <x:f>IF(C597&lt;-H597,1,0)</x:f>
        <x:v>0</x:v>
      </x:c>
      <x:c r="M597" s="36" t="n">
        <x:f>IF(C597&lt;-I597,1,0)</x:f>
        <x:v>0</x:v>
      </x:c>
      <x:c r="N597" s="34" t="n">
        <x:f>-F597</x:f>
        <x:v>-1.5971328793096313</x:v>
      </x:c>
      <x:c r="O597" s="34" t="n">
        <x:f>-H597</x:f>
        <x:v>-1.5155661206132764</x:v>
      </x:c>
      <x:c r="P597" s="34" t="n">
        <x:f>-G597</x:f>
        <x:v>-2.2588555099756014</x:v>
      </x:c>
      <x:c r="Q597" s="34" t="n">
        <x:f>-I597</x:f>
        <x:v>-2.530844444357849</x:v>
      </x:c>
      <x:c r="R597" s="36" t="n">
        <x:f>YEAR(A597)</x:f>
        <x:v>2023</x:v>
      </x:c>
    </x:row>
    <x:row r="598">
      <x:c r="A598" s="30" t="n">
        <x:v>45055</x:v>
      </x:c>
      <x:c r="B598" s="38" t="n">
        <x:v>4119.17</x:v>
      </x:c>
      <x:c r="C598" s="34" t="n">
        <x:f>(B598/B597-1)*100</x:f>
        <x:v>-0.4579374208577791</x:v>
      </x:c>
      <x:c r="D598" s="34" t="n">
        <x:f>Assumptions!$B$4*D597+(1-Assumptions!$B$4)*C597^2</x:f>
        <x:v>0.886370989072181</x:v>
      </x:c>
      <x:c r="E598" s="34" t="n">
        <x:f>SQRT(D598)</x:f>
        <x:v>0.9414727765964245</x:v>
      </x:c>
      <x:c r="F598" s="34" t="n">
        <x:f>-Assumptions!$B$7*E598</x:f>
        <x:v>1.5485849112607026</x:v>
      </x:c>
      <x:c r="G598" s="34" t="n">
        <x:f>-Assumptions!$B$8*E598</x:f>
        <x:v>2.190193192302419</x:v>
      </x:c>
      <x:c r="H598" s="34" t="n">
        <x:f>-Assumptions!$B$9*E598</x:f>
        <x:v>1.4694975332385198</x:v>
      </x:c>
      <x:c r="I598" s="34" t="n">
        <x:f>-Assumptions!$B$10*E598</x:f>
        <x:v>2.45391449268432</x:v>
      </x:c>
      <x:c r="J598" s="36" t="n">
        <x:f>IF(C598&lt;-F598,1,0)</x:f>
        <x:v>0</x:v>
      </x:c>
      <x:c r="K598" s="36" t="n">
        <x:f>IF(C598&lt;-G598,1,0)</x:f>
        <x:v>0</x:v>
      </x:c>
      <x:c r="L598" s="36" t="n">
        <x:f>IF(C598&lt;-H598,1,0)</x:f>
        <x:v>0</x:v>
      </x:c>
      <x:c r="M598" s="36" t="n">
        <x:f>IF(C598&lt;-I598,1,0)</x:f>
        <x:v>0</x:v>
      </x:c>
      <x:c r="N598" s="34" t="n">
        <x:f>-F598</x:f>
        <x:v>-1.5485849112607026</x:v>
      </x:c>
      <x:c r="O598" s="34" t="n">
        <x:f>-H598</x:f>
        <x:v>-1.4694975332385198</x:v>
      </x:c>
      <x:c r="P598" s="34" t="n">
        <x:f>-G598</x:f>
        <x:v>-2.190193192302419</x:v>
      </x:c>
      <x:c r="Q598" s="34" t="n">
        <x:f>-I598</x:f>
        <x:v>-2.45391449268432</x:v>
      </x:c>
      <x:c r="R598" s="36" t="n">
        <x:f>YEAR(A598)</x:f>
        <x:v>2023</x:v>
      </x:c>
    </x:row>
    <x:row r="599">
      <x:c r="A599" s="30" t="n">
        <x:v>45056</x:v>
      </x:c>
      <x:c r="B599" s="38" t="n">
        <x:v>4137.64</x:v>
      </x:c>
      <x:c r="C599" s="34" t="n">
        <x:f>(B599/B598-1)*100</x:f>
        <x:v>0.4483913021312569</x:v>
      </x:c>
      <x:c r="D599" s="34" t="n">
        <x:f>Assumptions!$B$4*D598+(1-Assumptions!$B$4)*C598^2</x:f>
        <x:v>0.8457711306131626</x:v>
      </x:c>
      <x:c r="E599" s="34" t="n">
        <x:f>SQRT(D599)</x:f>
        <x:v>0.919658159651271</x:v>
      </x:c>
      <x:c r="F599" s="34" t="n">
        <x:f>-Assumptions!$B$7*E599</x:f>
        <x:v>1.5127030594579096</x:v>
      </x:c>
      <x:c r="G599" s="34" t="n">
        <x:f>-Assumptions!$B$8*E599</x:f>
        <x:v>2.1394448045490457</x:v>
      </x:c>
      <x:c r="H599" s="34" t="n">
        <x:f>-Assumptions!$B$9*E599</x:f>
        <x:v>1.4354481941749562</x:v>
      </x:c>
      <x:c r="I599" s="34" t="n">
        <x:f>-Assumptions!$B$10*E599</x:f>
        <x:v>2.3970554883617594</x:v>
      </x:c>
      <x:c r="J599" s="36" t="n">
        <x:f>IF(C599&lt;-F599,1,0)</x:f>
        <x:v>0</x:v>
      </x:c>
      <x:c r="K599" s="36" t="n">
        <x:f>IF(C599&lt;-G599,1,0)</x:f>
        <x:v>0</x:v>
      </x:c>
      <x:c r="L599" s="36" t="n">
        <x:f>IF(C599&lt;-H599,1,0)</x:f>
        <x:v>0</x:v>
      </x:c>
      <x:c r="M599" s="36" t="n">
        <x:f>IF(C599&lt;-I599,1,0)</x:f>
        <x:v>0</x:v>
      </x:c>
      <x:c r="N599" s="34" t="n">
        <x:f>-F599</x:f>
        <x:v>-1.5127030594579096</x:v>
      </x:c>
      <x:c r="O599" s="34" t="n">
        <x:f>-H599</x:f>
        <x:v>-1.4354481941749562</x:v>
      </x:c>
      <x:c r="P599" s="34" t="n">
        <x:f>-G599</x:f>
        <x:v>-2.1394448045490457</x:v>
      </x:c>
      <x:c r="Q599" s="34" t="n">
        <x:f>-I599</x:f>
        <x:v>-2.3970554883617594</x:v>
      </x:c>
      <x:c r="R599" s="36" t="n">
        <x:f>YEAR(A599)</x:f>
        <x:v>2023</x:v>
      </x:c>
    </x:row>
    <x:row r="600">
      <x:c r="A600" s="30" t="n">
        <x:v>45057</x:v>
      </x:c>
      <x:c r="B600" s="38" t="n">
        <x:v>4130.62</x:v>
      </x:c>
      <x:c r="C600" s="34" t="n">
        <x:f>(B600/B599-1)*100</x:f>
        <x:v>-0.16966193288928677</x:v>
      </x:c>
      <x:c r="D600" s="34" t="n">
        <x:f>Assumptions!$B$4*D599+(1-Assumptions!$B$4)*C599^2</x:f>
        <x:v>0.8070881483659906</x:v>
      </x:c>
      <x:c r="E600" s="34" t="n">
        <x:f>SQRT(D600)</x:f>
        <x:v>0.8983808481740863</x:v>
      </x:c>
      <x:c r="F600" s="34" t="n">
        <x:f>-Assumptions!$B$7*E600</x:f>
        <x:v>1.4777049965028863</x:v>
      </x:c>
      <x:c r="G600" s="34" t="n">
        <x:f>-Assumptions!$B$8*E600</x:f>
        <x:v>2.0899463762287924</x:v>
      </x:c>
      <x:c r="H600" s="34" t="n">
        <x:f>-Assumptions!$B$9*E600</x:f>
        <x:v>1.402237508208331</x:v>
      </x:c>
      <x:c r="I600" s="34" t="n">
        <x:f>-Assumptions!$B$10*E600</x:f>
        <x:v>2.3415969511664736</x:v>
      </x:c>
      <x:c r="J600" s="36" t="n">
        <x:f>IF(C600&lt;-F600,1,0)</x:f>
        <x:v>0</x:v>
      </x:c>
      <x:c r="K600" s="36" t="n">
        <x:f>IF(C600&lt;-G600,1,0)</x:f>
        <x:v>0</x:v>
      </x:c>
      <x:c r="L600" s="36" t="n">
        <x:f>IF(C600&lt;-H600,1,0)</x:f>
        <x:v>0</x:v>
      </x:c>
      <x:c r="M600" s="36" t="n">
        <x:f>IF(C600&lt;-I600,1,0)</x:f>
        <x:v>0</x:v>
      </x:c>
      <x:c r="N600" s="34" t="n">
        <x:f>-F600</x:f>
        <x:v>-1.4777049965028863</x:v>
      </x:c>
      <x:c r="O600" s="34" t="n">
        <x:f>-H600</x:f>
        <x:v>-1.402237508208331</x:v>
      </x:c>
      <x:c r="P600" s="34" t="n">
        <x:f>-G600</x:f>
        <x:v>-2.0899463762287924</x:v>
      </x:c>
      <x:c r="Q600" s="34" t="n">
        <x:f>-I600</x:f>
        <x:v>-2.3415969511664736</x:v>
      </x:c>
      <x:c r="R600" s="36" t="n">
        <x:f>YEAR(A600)</x:f>
        <x:v>2023</x:v>
      </x:c>
    </x:row>
    <x:row r="601">
      <x:c r="A601" s="30" t="n">
        <x:v>45058</x:v>
      </x:c>
      <x:c r="B601" s="38" t="n">
        <x:v>4124.08</x:v>
      </x:c>
      <x:c r="C601" s="34" t="n">
        <x:f>(B601/B600-1)*100</x:f>
        <x:v>-0.15832974226629437</x:v>
      </x:c>
      <x:c r="D601" s="34" t="n">
        <x:f>Assumptions!$B$4*D600+(1-Assumptions!$B$4)*C600^2</x:f>
        <x:v>0.7603899697523349</x:v>
      </x:c>
      <x:c r="E601" s="34" t="n">
        <x:f>SQRT(D601)</x:f>
        <x:v>0.8720034230164093</x:v>
      </x:c>
      <x:c r="F601" s="34" t="n">
        <x:f>-Assumptions!$B$7*E601</x:f>
        <x:v>1.4343179930626404</x:v>
      </x:c>
      <x:c r="G601" s="34" t="n">
        <x:f>-Assumptions!$B$8*E601</x:f>
        <x:v>2.028583309290559</x:v>
      </x:c>
      <x:c r="H601" s="34" t="n">
        <x:f>-Assumptions!$B$9*E601</x:f>
        <x:v>1.3610663111584076</x:v>
      </x:c>
      <x:c r="I601" s="34" t="n">
        <x:f>-Assumptions!$B$10*E601</x:f>
        <x:v>2.272845153469124</x:v>
      </x:c>
      <x:c r="J601" s="36" t="n">
        <x:f>IF(C601&lt;-F601,1,0)</x:f>
        <x:v>0</x:v>
      </x:c>
      <x:c r="K601" s="36" t="n">
        <x:f>IF(C601&lt;-G601,1,0)</x:f>
        <x:v>0</x:v>
      </x:c>
      <x:c r="L601" s="36" t="n">
        <x:f>IF(C601&lt;-H601,1,0)</x:f>
        <x:v>0</x:v>
      </x:c>
      <x:c r="M601" s="36" t="n">
        <x:f>IF(C601&lt;-I601,1,0)</x:f>
        <x:v>0</x:v>
      </x:c>
      <x:c r="N601" s="34" t="n">
        <x:f>-F601</x:f>
        <x:v>-1.4343179930626404</x:v>
      </x:c>
      <x:c r="O601" s="34" t="n">
        <x:f>-H601</x:f>
        <x:v>-1.3610663111584076</x:v>
      </x:c>
      <x:c r="P601" s="34" t="n">
        <x:f>-G601</x:f>
        <x:v>-2.028583309290559</x:v>
      </x:c>
      <x:c r="Q601" s="34" t="n">
        <x:f>-I601</x:f>
        <x:v>-2.272845153469124</x:v>
      </x:c>
      <x:c r="R601" s="36" t="n">
        <x:f>YEAR(A601)</x:f>
        <x:v>2023</x:v>
      </x:c>
    </x:row>
    <x:row r="602">
      <x:c r="A602" s="30" t="n">
        <x:v>45061</x:v>
      </x:c>
      <x:c r="B602" s="38" t="n">
        <x:v>4136.28</x:v>
      </x:c>
      <x:c r="C602" s="34" t="n">
        <x:f>(B602/B601-1)*100</x:f>
        <x:v>0.2958235533743192</x:v>
      </x:c>
      <x:c r="D602" s="34" t="n">
        <x:f>Assumptions!$B$4*D601+(1-Assumptions!$B$4)*C601^2</x:f>
        <x:v>0.7162706700043614</x:v>
      </x:c>
      <x:c r="E602" s="34" t="n">
        <x:f>SQRT(D602)</x:f>
        <x:v>0.8463277556622856</x:v>
      </x:c>
      <x:c r="F602" s="34" t="n">
        <x:f>-Assumptions!$B$7*E602</x:f>
        <x:v>1.3920852784908104</x:v>
      </x:c>
      <x:c r="G602" s="34" t="n">
        <x:f>-Assumptions!$B$8*E602</x:f>
        <x:v>1.9688527751267137</x:v>
      </x:c>
      <x:c r="H602" s="34" t="n">
        <x:f>-Assumptions!$B$9*E602</x:f>
        <x:v>1.320990452589731</x:v>
      </x:c>
      <x:c r="I602" s="34" t="n">
        <x:f>-Assumptions!$B$10*E602</x:f>
        <x:v>2.2059224619204607</x:v>
      </x:c>
      <x:c r="J602" s="36" t="n">
        <x:f>IF(C602&lt;-F602,1,0)</x:f>
        <x:v>0</x:v>
      </x:c>
      <x:c r="K602" s="36" t="n">
        <x:f>IF(C602&lt;-G602,1,0)</x:f>
        <x:v>0</x:v>
      </x:c>
      <x:c r="L602" s="36" t="n">
        <x:f>IF(C602&lt;-H602,1,0)</x:f>
        <x:v>0</x:v>
      </x:c>
      <x:c r="M602" s="36" t="n">
        <x:f>IF(C602&lt;-I602,1,0)</x:f>
        <x:v>0</x:v>
      </x:c>
      <x:c r="N602" s="34" t="n">
        <x:f>-F602</x:f>
        <x:v>-1.3920852784908104</x:v>
      </x:c>
      <x:c r="O602" s="34" t="n">
        <x:f>-H602</x:f>
        <x:v>-1.320990452589731</x:v>
      </x:c>
      <x:c r="P602" s="34" t="n">
        <x:f>-G602</x:f>
        <x:v>-1.9688527751267137</x:v>
      </x:c>
      <x:c r="Q602" s="34" t="n">
        <x:f>-I602</x:f>
        <x:v>-2.2059224619204607</x:v>
      </x:c>
      <x:c r="R602" s="36" t="n">
        <x:f>YEAR(A602)</x:f>
        <x:v>2023</x:v>
      </x:c>
    </x:row>
    <x:row r="603">
      <x:c r="A603" s="30" t="n">
        <x:v>45062</x:v>
      </x:c>
      <x:c r="B603" s="38" t="n">
        <x:v>4109.9</x:v>
      </x:c>
      <x:c r="C603" s="34" t="n">
        <x:f>(B603/B602-1)*100</x:f>
        <x:v>-0.6377711373504735</x:v>
      </x:c>
      <x:c r="D603" s="34" t="n">
        <x:f>Assumptions!$B$4*D602+(1-Assumptions!$B$4)*C602^2</x:f>
        <x:v>0.6785451242879602</x:v>
      </x:c>
      <x:c r="E603" s="34" t="n">
        <x:f>SQRT(D603)</x:f>
        <x:v>0.8237385047986772</x:v>
      </x:c>
      <x:c r="F603" s="34" t="n">
        <x:f>-Assumptions!$B$7*E603</x:f>
        <x:v>1.3549292672776874</x:v>
      </x:c>
      <x:c r="G603" s="34" t="n">
        <x:f>-Assumptions!$B$8*E603</x:f>
        <x:v>1.9163023194039832</x:v>
      </x:c>
      <x:c r="H603" s="34" t="n">
        <x:f>-Assumptions!$B$9*E603</x:f>
        <x:v>1.2857320263803365</x:v>
      </x:c>
      <x:c r="I603" s="34" t="n">
        <x:f>-Assumptions!$B$10*E603</x:f>
        <x:v>2.147044402510728</x:v>
      </x:c>
      <x:c r="J603" s="36" t="n">
        <x:f>IF(C603&lt;-F603,1,0)</x:f>
        <x:v>0</x:v>
      </x:c>
      <x:c r="K603" s="36" t="n">
        <x:f>IF(C603&lt;-G603,1,0)</x:f>
        <x:v>0</x:v>
      </x:c>
      <x:c r="L603" s="36" t="n">
        <x:f>IF(C603&lt;-H603,1,0)</x:f>
        <x:v>0</x:v>
      </x:c>
      <x:c r="M603" s="36" t="n">
        <x:f>IF(C603&lt;-I603,1,0)</x:f>
        <x:v>0</x:v>
      </x:c>
      <x:c r="N603" s="34" t="n">
        <x:f>-F603</x:f>
        <x:v>-1.3549292672776874</x:v>
      </x:c>
      <x:c r="O603" s="34" t="n">
        <x:f>-H603</x:f>
        <x:v>-1.2857320263803365</x:v>
      </x:c>
      <x:c r="P603" s="34" t="n">
        <x:f>-G603</x:f>
        <x:v>-1.9163023194039832</x:v>
      </x:c>
      <x:c r="Q603" s="34" t="n">
        <x:f>-I603</x:f>
        <x:v>-2.147044402510728</x:v>
      </x:c>
      <x:c r="R603" s="36" t="n">
        <x:f>YEAR(A603)</x:f>
        <x:v>2023</x:v>
      </x:c>
    </x:row>
    <x:row r="604">
      <x:c r="A604" s="30" t="n">
        <x:v>45063</x:v>
      </x:c>
      <x:c r="B604" s="38" t="n">
        <x:v>4158.77</x:v>
      </x:c>
      <x:c r="C604" s="34" t="n">
        <x:f>(B604/B603-1)*100</x:f>
        <x:v>1.1890800262780221</x:v>
      </x:c>
      <x:c r="D604" s="34" t="n">
        <x:f>Assumptions!$B$4*D603+(1-Assumptions!$B$4)*C603^2</x:f>
        <x:v>0.6622375382489216</x:v>
      </x:c>
      <x:c r="E604" s="34" t="n">
        <x:f>SQRT(D604)</x:f>
        <x:v>0.813779784861311</x:v>
      </x:c>
      <x:c r="F604" s="34" t="n">
        <x:f>-Assumptions!$B$7*E604</x:f>
        <x:v>1.3385486306689167</x:v>
      </x:c>
      <x:c r="G604" s="34" t="n">
        <x:f>-Assumptions!$B$8*E604</x:f>
        <x:v>1.8931348724495232</x:v>
      </x:c>
      <x:c r="H604" s="34" t="n">
        <x:f>-Assumptions!$B$9*E604</x:f>
        <x:v>1.2701879610117357</x:v>
      </x:c>
      <x:c r="I604" s="34" t="n">
        <x:f>-Assumptions!$B$10*E604</x:f>
        <x:v>2.12108736180772</x:v>
      </x:c>
      <x:c r="J604" s="36" t="n">
        <x:f>IF(C604&lt;-F604,1,0)</x:f>
        <x:v>0</x:v>
      </x:c>
      <x:c r="K604" s="36" t="n">
        <x:f>IF(C604&lt;-G604,1,0)</x:f>
        <x:v>0</x:v>
      </x:c>
      <x:c r="L604" s="36" t="n">
        <x:f>IF(C604&lt;-H604,1,0)</x:f>
        <x:v>0</x:v>
      </x:c>
      <x:c r="M604" s="36" t="n">
        <x:f>IF(C604&lt;-I604,1,0)</x:f>
        <x:v>0</x:v>
      </x:c>
      <x:c r="N604" s="34" t="n">
        <x:f>-F604</x:f>
        <x:v>-1.3385486306689167</x:v>
      </x:c>
      <x:c r="O604" s="34" t="n">
        <x:f>-H604</x:f>
        <x:v>-1.2701879610117357</x:v>
      </x:c>
      <x:c r="P604" s="34" t="n">
        <x:f>-G604</x:f>
        <x:v>-1.8931348724495232</x:v>
      </x:c>
      <x:c r="Q604" s="34" t="n">
        <x:f>-I604</x:f>
        <x:v>-2.12108736180772</x:v>
      </x:c>
      <x:c r="R604" s="36" t="n">
        <x:f>YEAR(A604)</x:f>
        <x:v>2023</x:v>
      </x:c>
    </x:row>
    <x:row r="605">
      <x:c r="A605" s="30" t="n">
        <x:v>45064</x:v>
      </x:c>
      <x:c r="B605" s="38" t="n">
        <x:v>4198.05</x:v>
      </x:c>
      <x:c r="C605" s="34" t="n">
        <x:f>(B605/B604-1)*100</x:f>
        <x:v>0.9445100354191105</x:v>
      </x:c>
      <x:c r="D605" s="34" t="n">
        <x:f>Assumptions!$B$4*D604+(1-Assumptions!$B$4)*C604^2</x:f>
        <x:v>0.7073379644875869</x:v>
      </x:c>
      <x:c r="E605" s="34" t="n">
        <x:f>SQRT(D605)</x:f>
        <x:v>0.8410338664332054</x:v>
      </x:c>
      <x:c r="F605" s="34" t="n">
        <x:f>-Assumptions!$B$7*E605</x:f>
        <x:v>1.3833776055916784</x:v>
      </x:c>
      <x:c r="G605" s="34" t="n">
        <x:f>-Assumptions!$B$8*E605</x:f>
        <x:v>1.9565373471732355</x:v>
      </x:c>
      <x:c r="H605" s="34" t="n">
        <x:f>-Assumptions!$B$9*E605</x:f>
        <x:v>1.3127274869928978</x:v>
      </x:c>
      <x:c r="I605" s="34" t="n">
        <x:f>-Assumptions!$B$10*E605</x:f>
        <x:v>2.1921241325105876</x:v>
      </x:c>
      <x:c r="J605" s="36" t="n">
        <x:f>IF(C605&lt;-F605,1,0)</x:f>
        <x:v>0</x:v>
      </x:c>
      <x:c r="K605" s="36" t="n">
        <x:f>IF(C605&lt;-G605,1,0)</x:f>
        <x:v>0</x:v>
      </x:c>
      <x:c r="L605" s="36" t="n">
        <x:f>IF(C605&lt;-H605,1,0)</x:f>
        <x:v>0</x:v>
      </x:c>
      <x:c r="M605" s="36" t="n">
        <x:f>IF(C605&lt;-I605,1,0)</x:f>
        <x:v>0</x:v>
      </x:c>
      <x:c r="N605" s="34" t="n">
        <x:f>-F605</x:f>
        <x:v>-1.3833776055916784</x:v>
      </x:c>
      <x:c r="O605" s="34" t="n">
        <x:f>-H605</x:f>
        <x:v>-1.3127274869928978</x:v>
      </x:c>
      <x:c r="P605" s="34" t="n">
        <x:f>-G605</x:f>
        <x:v>-1.9565373471732355</x:v>
      </x:c>
      <x:c r="Q605" s="34" t="n">
        <x:f>-I605</x:f>
        <x:v>-2.1921241325105876</x:v>
      </x:c>
      <x:c r="R605" s="36" t="n">
        <x:f>YEAR(A605)</x:f>
        <x:v>2023</x:v>
      </x:c>
    </x:row>
    <x:row r="606">
      <x:c r="A606" s="30" t="n">
        <x:v>45065</x:v>
      </x:c>
      <x:c r="B606" s="38" t="n">
        <x:v>4191.98</x:v>
      </x:c>
      <x:c r="C606" s="34" t="n">
        <x:f>(B606/B605-1)*100</x:f>
        <x:v>-0.1445909410321633</x:v>
      </x:c>
      <x:c r="D606" s="34" t="n">
        <x:f>Assumptions!$B$4*D605+(1-Assumptions!$B$4)*C605^2</x:f>
        <x:v>0.7184236390387762</x:v>
      </x:c>
      <x:c r="E606" s="34" t="n">
        <x:f>SQRT(D606)</x:f>
        <x:v>0.8475987488421489</x:v>
      </x:c>
      <x:c r="F606" s="34" t="n">
        <x:f>-Assumptions!$B$7*E606</x:f>
        <x:v>1.3941758762325391</x:v>
      </x:c>
      <x:c r="G606" s="34" t="n">
        <x:f>-Assumptions!$B$8*E606</x:f>
        <x:v>1.9718095474086093</x:v>
      </x:c>
      <x:c r="H606" s="34" t="n">
        <x:f>-Assumptions!$B$9*E606</x:f>
        <x:v>1.322974281956868</x:v>
      </x:c>
      <x:c r="I606" s="34" t="n">
        <x:f>-Assumptions!$B$10*E606</x:f>
        <x:v>2.2092352593392506</x:v>
      </x:c>
      <x:c r="J606" s="36" t="n">
        <x:f>IF(C606&lt;-F606,1,0)</x:f>
        <x:v>0</x:v>
      </x:c>
      <x:c r="K606" s="36" t="n">
        <x:f>IF(C606&lt;-G606,1,0)</x:f>
        <x:v>0</x:v>
      </x:c>
      <x:c r="L606" s="36" t="n">
        <x:f>IF(C606&lt;-H606,1,0)</x:f>
        <x:v>0</x:v>
      </x:c>
      <x:c r="M606" s="36" t="n">
        <x:f>IF(C606&lt;-I606,1,0)</x:f>
        <x:v>0</x:v>
      </x:c>
      <x:c r="N606" s="34" t="n">
        <x:f>-F606</x:f>
        <x:v>-1.3941758762325391</x:v>
      </x:c>
      <x:c r="O606" s="34" t="n">
        <x:f>-H606</x:f>
        <x:v>-1.322974281956868</x:v>
      </x:c>
      <x:c r="P606" s="34" t="n">
        <x:f>-G606</x:f>
        <x:v>-1.9718095474086093</x:v>
      </x:c>
      <x:c r="Q606" s="34" t="n">
        <x:f>-I606</x:f>
        <x:v>-2.2092352593392506</x:v>
      </x:c>
      <x:c r="R606" s="36" t="n">
        <x:f>YEAR(A606)</x:f>
        <x:v>2023</x:v>
      </x:c>
    </x:row>
    <x:row r="607">
      <x:c r="A607" s="30" t="n">
        <x:v>45068</x:v>
      </x:c>
      <x:c r="B607" s="38" t="n">
        <x:v>4192.63</x:v>
      </x:c>
      <x:c r="C607" s="34" t="n">
        <x:f>(B607/B606-1)*100</x:f>
        <x:v>0.015505799168891166</x:v>
      </x:c>
      <x:c r="D607" s="34" t="n">
        <x:f>Assumptions!$B$4*D606+(1-Assumptions!$B$4)*C606^2</x:f>
        <x:v>0.6765726131101635</x:v>
      </x:c>
      <x:c r="E607" s="34" t="n">
        <x:f>SQRT(D607)</x:f>
        <x:v>0.8225403413268941</x:v>
      </x:c>
      <x:c r="F607" s="34" t="n">
        <x:f>-Assumptions!$B$7*E607</x:f>
        <x:v>1.3529584637454444</x:v>
      </x:c>
      <x:c r="G607" s="34" t="n">
        <x:f>-Assumptions!$B$8*E607</x:f>
        <x:v>1.9135149743586473</x:v>
      </x:c>
      <x:c r="H607" s="34" t="n">
        <x:f>-Assumptions!$B$9*E607</x:f>
        <x:v>1.2838618732437086</x:v>
      </x:c>
      <x:c r="I607" s="34" t="n">
        <x:f>-Assumptions!$B$10*E607</x:f>
        <x:v>2.1439214330727343</x:v>
      </x:c>
      <x:c r="J607" s="36" t="n">
        <x:f>IF(C607&lt;-F607,1,0)</x:f>
        <x:v>0</x:v>
      </x:c>
      <x:c r="K607" s="36" t="n">
        <x:f>IF(C607&lt;-G607,1,0)</x:f>
        <x:v>0</x:v>
      </x:c>
      <x:c r="L607" s="36" t="n">
        <x:f>IF(C607&lt;-H607,1,0)</x:f>
        <x:v>0</x:v>
      </x:c>
      <x:c r="M607" s="36" t="n">
        <x:f>IF(C607&lt;-I607,1,0)</x:f>
        <x:v>0</x:v>
      </x:c>
      <x:c r="N607" s="34" t="n">
        <x:f>-F607</x:f>
        <x:v>-1.3529584637454444</x:v>
      </x:c>
      <x:c r="O607" s="34" t="n">
        <x:f>-H607</x:f>
        <x:v>-1.2838618732437086</x:v>
      </x:c>
      <x:c r="P607" s="34" t="n">
        <x:f>-G607</x:f>
        <x:v>-1.9135149743586473</x:v>
      </x:c>
      <x:c r="Q607" s="34" t="n">
        <x:f>-I607</x:f>
        <x:v>-2.1439214330727343</x:v>
      </x:c>
      <x:c r="R607" s="36" t="n">
        <x:f>YEAR(A607)</x:f>
        <x:v>2023</x:v>
      </x:c>
    </x:row>
    <x:row r="608">
      <x:c r="A608" s="30" t="n">
        <x:v>45069</x:v>
      </x:c>
      <x:c r="B608" s="38" t="n">
        <x:v>4145.58</x:v>
      </x:c>
      <x:c r="C608" s="34" t="n">
        <x:f>(B608/B607-1)*100</x:f>
        <x:v>-1.1222073018606449</x:v>
      </x:c>
      <x:c r="D608" s="34" t="n">
        <x:f>Assumptions!$B$4*D607+(1-Assumptions!$B$4)*C607^2</x:f>
        <x:v>0.6359926821120256</x:v>
      </x:c>
      <x:c r="E608" s="34" t="n">
        <x:f>SQRT(D608)</x:f>
        <x:v>0.7974914934417957</x:v>
      </x:c>
      <x:c r="F608" s="34" t="n">
        <x:f>-Assumptions!$B$7*E608</x:f>
        <x:v>1.3117567754506845</x:v>
      </x:c>
      <x:c r="G608" s="34" t="n">
        <x:f>-Assumptions!$B$8*E608</x:f>
        <x:v>1.8552426403339761</x:v>
      </x:c>
      <x:c r="H608" s="34" t="n">
        <x:f>-Assumptions!$B$9*E608</x:f>
        <x:v>1.244764385676739</x:v>
      </x:c>
      <x:c r="I608" s="34" t="n">
        <x:f>-Assumptions!$B$10*E608</x:f>
        <x:v>2.0786325236339467</x:v>
      </x:c>
      <x:c r="J608" s="36" t="n">
        <x:f>IF(C608&lt;-F608,1,0)</x:f>
        <x:v>0</x:v>
      </x:c>
      <x:c r="K608" s="36" t="n">
        <x:f>IF(C608&lt;-G608,1,0)</x:f>
        <x:v>0</x:v>
      </x:c>
      <x:c r="L608" s="36" t="n">
        <x:f>IF(C608&lt;-H608,1,0)</x:f>
        <x:v>0</x:v>
      </x:c>
      <x:c r="M608" s="36" t="n">
        <x:f>IF(C608&lt;-I608,1,0)</x:f>
        <x:v>0</x:v>
      </x:c>
      <x:c r="N608" s="34" t="n">
        <x:f>-F608</x:f>
        <x:v>-1.3117567754506845</x:v>
      </x:c>
      <x:c r="O608" s="34" t="n">
        <x:f>-H608</x:f>
        <x:v>-1.244764385676739</x:v>
      </x:c>
      <x:c r="P608" s="34" t="n">
        <x:f>-G608</x:f>
        <x:v>-1.8552426403339761</x:v>
      </x:c>
      <x:c r="Q608" s="34" t="n">
        <x:f>-I608</x:f>
        <x:v>-2.0786325236339467</x:v>
      </x:c>
      <x:c r="R608" s="36" t="n">
        <x:f>YEAR(A608)</x:f>
        <x:v>2023</x:v>
      </x:c>
    </x:row>
    <x:row r="609">
      <x:c r="A609" s="30" t="n">
        <x:v>45070</x:v>
      </x:c>
      <x:c r="B609" s="38" t="n">
        <x:v>4115.24</x:v>
      </x:c>
      <x:c r="C609" s="34" t="n">
        <x:f>(B609/B608-1)*100</x:f>
        <x:v>-0.7318638164020563</x:v>
      </x:c>
      <x:c r="D609" s="34" t="n">
        <x:f>Assumptions!$B$4*D608+(1-Assumptions!$B$4)*C608^2</x:f>
        <x:v>0.673394074886265</x:v>
      </x:c>
      <x:c r="E609" s="34" t="n">
        <x:f>SQRT(D609)</x:f>
        <x:v>0.8206059193585341</x:v>
      </x:c>
      <x:c r="F609" s="34" t="n">
        <x:f>-Assumptions!$B$7*E609</x:f>
        <x:v>1.3497766227547328</x:v>
      </x:c>
      <x:c r="G609" s="34" t="n">
        <x:f>-Assumptions!$B$8*E609</x:f>
        <x:v>1.9090148359250552</x:v>
      </x:c>
      <x:c r="H609" s="34" t="n">
        <x:f>-Assumptions!$B$9*E609</x:f>
        <x:v>1.280842531228293</x:v>
      </x:c>
      <x:c r="I609" s="34" t="n">
        <x:f>-Assumptions!$B$10*E609</x:f>
        <x:v>2.1388794326866094</x:v>
      </x:c>
      <x:c r="J609" s="36" t="n">
        <x:f>IF(C609&lt;-F609,1,0)</x:f>
        <x:v>0</x:v>
      </x:c>
      <x:c r="K609" s="36" t="n">
        <x:f>IF(C609&lt;-G609,1,0)</x:f>
        <x:v>0</x:v>
      </x:c>
      <x:c r="L609" s="36" t="n">
        <x:f>IF(C609&lt;-H609,1,0)</x:f>
        <x:v>0</x:v>
      </x:c>
      <x:c r="M609" s="36" t="n">
        <x:f>IF(C609&lt;-I609,1,0)</x:f>
        <x:v>0</x:v>
      </x:c>
      <x:c r="N609" s="34" t="n">
        <x:f>-F609</x:f>
        <x:v>-1.3497766227547328</x:v>
      </x:c>
      <x:c r="O609" s="34" t="n">
        <x:f>-H609</x:f>
        <x:v>-1.280842531228293</x:v>
      </x:c>
      <x:c r="P609" s="34" t="n">
        <x:f>-G609</x:f>
        <x:v>-1.9090148359250552</x:v>
      </x:c>
      <x:c r="Q609" s="34" t="n">
        <x:f>-I609</x:f>
        <x:v>-2.1388794326866094</x:v>
      </x:c>
      <x:c r="R609" s="36" t="n">
        <x:f>YEAR(A609)</x:f>
        <x:v>2023</x:v>
      </x:c>
    </x:row>
    <x:row r="610">
      <x:c r="A610" s="30" t="n">
        <x:v>45071</x:v>
      </x:c>
      <x:c r="B610" s="38" t="n">
        <x:v>4151.28</x:v>
      </x:c>
      <x:c r="C610" s="34" t="n">
        <x:f>(B610/B609-1)*100</x:f>
        <x:v>0.875769092446621</x:v>
      </x:c>
      <x:c r="D610" s="34" t="n">
        <x:f>Assumptions!$B$4*D609+(1-Assumptions!$B$4)*C609^2</x:f>
        <x:v>0.6651279091386041</x:v>
      </x:c>
      <x:c r="E610" s="34" t="n">
        <x:f>SQRT(D610)</x:f>
        <x:v>0.8155537438689152</x:v>
      </x:c>
      <x:c r="F610" s="34" t="n">
        <x:f>-Assumptions!$B$7*E610</x:f>
        <x:v>1.3414665335766378</x:v>
      </x:c>
      <x:c r="G610" s="34" t="n">
        <x:f>-Assumptions!$B$8*E610</x:f>
        <x:v>1.897261718215499</x:v>
      </x:c>
      <x:c r="H610" s="34" t="n">
        <x:f>-Assumptions!$B$9*E610</x:f>
        <x:v>1.2729568444574841</x:v>
      </x:c>
      <x:c r="I610" s="34" t="n">
        <x:f>-Assumptions!$B$10*E610</x:f>
        <x:v>2.125711121332584</x:v>
      </x:c>
      <x:c r="J610" s="36" t="n">
        <x:f>IF(C610&lt;-F610,1,0)</x:f>
        <x:v>0</x:v>
      </x:c>
      <x:c r="K610" s="36" t="n">
        <x:f>IF(C610&lt;-G610,1,0)</x:f>
        <x:v>0</x:v>
      </x:c>
      <x:c r="L610" s="36" t="n">
        <x:f>IF(C610&lt;-H610,1,0)</x:f>
        <x:v>0</x:v>
      </x:c>
      <x:c r="M610" s="36" t="n">
        <x:f>IF(C610&lt;-I610,1,0)</x:f>
        <x:v>0</x:v>
      </x:c>
      <x:c r="N610" s="34" t="n">
        <x:f>-F610</x:f>
        <x:v>-1.3414665335766378</x:v>
      </x:c>
      <x:c r="O610" s="34" t="n">
        <x:f>-H610</x:f>
        <x:v>-1.2729568444574841</x:v>
      </x:c>
      <x:c r="P610" s="34" t="n">
        <x:f>-G610</x:f>
        <x:v>-1.897261718215499</x:v>
      </x:c>
      <x:c r="Q610" s="34" t="n">
        <x:f>-I610</x:f>
        <x:v>-2.125711121332584</x:v>
      </x:c>
      <x:c r="R610" s="36" t="n">
        <x:f>YEAR(A610)</x:f>
        <x:v>2023</x:v>
      </x:c>
    </x:row>
    <x:row r="611">
      <x:c r="A611" s="30" t="n">
        <x:v>45072</x:v>
      </x:c>
      <x:c r="B611" s="38" t="n">
        <x:v>4205.45</x:v>
      </x:c>
      <x:c r="C611" s="34" t="n">
        <x:f>(B611/B610-1)*100</x:f>
        <x:v>1.3048987300302572</x:v>
      </x:c>
      <x:c r="D611" s="34" t="n">
        <x:f>Assumptions!$B$4*D610+(1-Assumptions!$B$4)*C610^2</x:f>
        <x:v>0.6712385247873746</x:v>
      </x:c>
      <x:c r="E611" s="34" t="n">
        <x:f>SQRT(D611)</x:f>
        <x:v>0.8192914773066876</x:v>
      </x:c>
      <x:c r="F611" s="34" t="n">
        <x:f>-Assumptions!$B$7*E611</x:f>
        <x:v>1.3476145579783354</x:v>
      </x:c>
      <x:c r="G611" s="34" t="n">
        <x:f>-Assumptions!$B$8*E611</x:f>
        <x:v>1.9059569864521921</x:v>
      </x:c>
      <x:c r="H611" s="34" t="n">
        <x:f>-Assumptions!$B$9*E611</x:f>
        <x:v>1.2787908847008636</x:v>
      </x:c>
      <x:c r="I611" s="34" t="n">
        <x:f>-Assumptions!$B$10*E611</x:f>
        <x:v>2.1354533873659145</x:v>
      </x:c>
      <x:c r="J611" s="36" t="n">
        <x:f>IF(C611&lt;-F611,1,0)</x:f>
        <x:v>0</x:v>
      </x:c>
      <x:c r="K611" s="36" t="n">
        <x:f>IF(C611&lt;-G611,1,0)</x:f>
        <x:v>0</x:v>
      </x:c>
      <x:c r="L611" s="36" t="n">
        <x:f>IF(C611&lt;-H611,1,0)</x:f>
        <x:v>0</x:v>
      </x:c>
      <x:c r="M611" s="36" t="n">
        <x:f>IF(C611&lt;-I611,1,0)</x:f>
        <x:v>0</x:v>
      </x:c>
      <x:c r="N611" s="34" t="n">
        <x:f>-F611</x:f>
        <x:v>-1.3476145579783354</x:v>
      </x:c>
      <x:c r="O611" s="34" t="n">
        <x:f>-H611</x:f>
        <x:v>-1.2787908847008636</x:v>
      </x:c>
      <x:c r="P611" s="34" t="n">
        <x:f>-G611</x:f>
        <x:v>-1.9059569864521921</x:v>
      </x:c>
      <x:c r="Q611" s="34" t="n">
        <x:f>-I611</x:f>
        <x:v>-2.1354533873659145</x:v>
      </x:c>
      <x:c r="R611" s="36" t="n">
        <x:f>YEAR(A611)</x:f>
        <x:v>2023</x:v>
      </x:c>
    </x:row>
    <x:row r="612">
      <x:c r="A612" s="30" t="n">
        <x:v>45076</x:v>
      </x:c>
      <x:c r="B612" s="38" t="n">
        <x:v>4205.52</x:v>
      </x:c>
      <x:c r="C612" s="34" t="n">
        <x:f>(B612/B611-1)*100</x:f>
        <x:v>0.0016645067709930572</x:v>
      </x:c>
      <x:c r="D612" s="34" t="n">
        <x:f>Assumptions!$B$4*D611+(1-Assumptions!$B$4)*C611^2</x:f>
        <x:v>0.7331298550382068</x:v>
      </x:c>
      <x:c r="E612" s="34" t="n">
        <x:f>SQRT(D612)</x:f>
        <x:v>0.8562300246068265</x:v>
      </x:c>
      <x:c r="F612" s="34" t="n">
        <x:f>-Assumptions!$B$7*E612</x:f>
        <x:v>1.4083730614792875</x:v>
      </x:c>
      <x:c r="G612" s="34" t="n">
        <x:f>-Assumptions!$B$8*E612</x:f>
        <x:v>1.9918888974340272</x:v>
      </x:c>
      <x:c r="H612" s="34" t="n">
        <x:f>-Assumptions!$B$9*E612</x:f>
        <x:v>1.3364464064411772</x:v>
      </x:c>
      <x:c r="I612" s="34" t="n">
        <x:f>-Assumptions!$B$10*E612</x:f>
        <x:v>2.2317323651672787</x:v>
      </x:c>
      <x:c r="J612" s="36" t="n">
        <x:f>IF(C612&lt;-F612,1,0)</x:f>
        <x:v>0</x:v>
      </x:c>
      <x:c r="K612" s="36" t="n">
        <x:f>IF(C612&lt;-G612,1,0)</x:f>
        <x:v>0</x:v>
      </x:c>
      <x:c r="L612" s="36" t="n">
        <x:f>IF(C612&lt;-H612,1,0)</x:f>
        <x:v>0</x:v>
      </x:c>
      <x:c r="M612" s="36" t="n">
        <x:f>IF(C612&lt;-I612,1,0)</x:f>
        <x:v>0</x:v>
      </x:c>
      <x:c r="N612" s="34" t="n">
        <x:f>-F612</x:f>
        <x:v>-1.4083730614792875</x:v>
      </x:c>
      <x:c r="O612" s="34" t="n">
        <x:f>-H612</x:f>
        <x:v>-1.3364464064411772</x:v>
      </x:c>
      <x:c r="P612" s="34" t="n">
        <x:f>-G612</x:f>
        <x:v>-1.9918888974340272</x:v>
      </x:c>
      <x:c r="Q612" s="34" t="n">
        <x:f>-I612</x:f>
        <x:v>-2.2317323651672787</x:v>
      </x:c>
      <x:c r="R612" s="36" t="n">
        <x:f>YEAR(A612)</x:f>
        <x:v>2023</x:v>
      </x:c>
    </x:row>
    <x:row r="613">
      <x:c r="A613" s="30" t="n">
        <x:v>45077</x:v>
      </x:c>
      <x:c r="B613" s="38" t="n">
        <x:v>4179.83</x:v>
      </x:c>
      <x:c r="C613" s="34" t="n">
        <x:f>(B613/B612-1)*100</x:f>
        <x:v>-0.6108638170785219</x:v>
      </x:c>
      <x:c r="D613" s="34" t="n">
        <x:f>Assumptions!$B$4*D612+(1-Assumptions!$B$4)*C612^2</x:f>
        <x:v>0.6891422299708818</x:v>
      </x:c>
      <x:c r="E613" s="34" t="n">
        <x:f>SQRT(D613)</x:f>
        <x:v>0.8301459088442716</x:v>
      </x:c>
      <x:c r="F613" s="34" t="n">
        <x:f>-Assumptions!$B$7*E613</x:f>
        <x:v>1.365468509061427</x:v>
      </x:c>
      <x:c r="G613" s="34" t="n">
        <x:f>-Assumptions!$B$8*E613</x:f>
        <x:v>1.9312081701835726</x:v>
      </x:c>
      <x:c r="H613" s="34" t="n">
        <x:f>-Assumptions!$B$9*E613</x:f>
        <x:v>1.2957330212827092</x:v>
      </x:c>
      <x:c r="I613" s="34" t="n">
        <x:f>-Assumptions!$B$10*E613</x:f>
        <x:v>2.163745067722536</x:v>
      </x:c>
      <x:c r="J613" s="36" t="n">
        <x:f>IF(C613&lt;-F613,1,0)</x:f>
        <x:v>0</x:v>
      </x:c>
      <x:c r="K613" s="36" t="n">
        <x:f>IF(C613&lt;-G613,1,0)</x:f>
        <x:v>0</x:v>
      </x:c>
      <x:c r="L613" s="36" t="n">
        <x:f>IF(C613&lt;-H613,1,0)</x:f>
        <x:v>0</x:v>
      </x:c>
      <x:c r="M613" s="36" t="n">
        <x:f>IF(C613&lt;-I613,1,0)</x:f>
        <x:v>0</x:v>
      </x:c>
      <x:c r="N613" s="34" t="n">
        <x:f>-F613</x:f>
        <x:v>-1.365468509061427</x:v>
      </x:c>
      <x:c r="O613" s="34" t="n">
        <x:f>-H613</x:f>
        <x:v>-1.2957330212827092</x:v>
      </x:c>
      <x:c r="P613" s="34" t="n">
        <x:f>-G613</x:f>
        <x:v>-1.9312081701835726</x:v>
      </x:c>
      <x:c r="Q613" s="34" t="n">
        <x:f>-I613</x:f>
        <x:v>-2.163745067722536</x:v>
      </x:c>
      <x:c r="R613" s="36" t="n">
        <x:f>YEAR(A613)</x:f>
        <x:v>2023</x:v>
      </x:c>
    </x:row>
    <x:row r="614">
      <x:c r="A614" s="30" t="n">
        <x:v>45078</x:v>
      </x:c>
      <x:c r="B614" s="38" t="n">
        <x:v>4221.02</x:v>
      </x:c>
      <x:c r="C614" s="34" t="n">
        <x:f>(B614/B613-1)*100</x:f>
        <x:v>0.9854467765435526</x:v>
      </x:c>
      <x:c r="D614" s="34" t="n">
        <x:f>Assumptions!$B$4*D613+(1-Assumptions!$B$4)*C613^2</x:f>
        <x:v>0.6701829723535734</x:v>
      </x:c>
      <x:c r="E614" s="34" t="n">
        <x:f>SQRT(D614)</x:f>
        <x:v>0.8186470377113529</x:v>
      </x:c>
      <x:c r="F614" s="34" t="n">
        <x:f>-Assumptions!$B$7*E614</x:f>
        <x:v>1.346554549172598</x:v>
      </x:c>
      <x:c r="G614" s="34" t="n">
        <x:f>-Assumptions!$B$8*E614</x:f>
        <x:v>1.9044577957696376</x:v>
      </x:c>
      <x:c r="H614" s="34" t="n">
        <x:f>-Assumptions!$B$9*E614</x:f>
        <x:v>1.2777850113296876</x:v>
      </x:c>
      <x:c r="I614" s="34" t="n">
        <x:f>-Assumptions!$B$10*E614</x:f>
        <x:v>2.133773679038746</x:v>
      </x:c>
      <x:c r="J614" s="36" t="n">
        <x:f>IF(C614&lt;-F614,1,0)</x:f>
        <x:v>0</x:v>
      </x:c>
      <x:c r="K614" s="36" t="n">
        <x:f>IF(C614&lt;-G614,1,0)</x:f>
        <x:v>0</x:v>
      </x:c>
      <x:c r="L614" s="36" t="n">
        <x:f>IF(C614&lt;-H614,1,0)</x:f>
        <x:v>0</x:v>
      </x:c>
      <x:c r="M614" s="36" t="n">
        <x:f>IF(C614&lt;-I614,1,0)</x:f>
        <x:v>0</x:v>
      </x:c>
      <x:c r="N614" s="34" t="n">
        <x:f>-F614</x:f>
        <x:v>-1.346554549172598</x:v>
      </x:c>
      <x:c r="O614" s="34" t="n">
        <x:f>-H614</x:f>
        <x:v>-1.2777850113296876</x:v>
      </x:c>
      <x:c r="P614" s="34" t="n">
        <x:f>-G614</x:f>
        <x:v>-1.9044577957696376</x:v>
      </x:c>
      <x:c r="Q614" s="34" t="n">
        <x:f>-I614</x:f>
        <x:v>-2.133773679038746</x:v>
      </x:c>
      <x:c r="R614" s="36" t="n">
        <x:f>YEAR(A614)</x:f>
        <x:v>2023</x:v>
      </x:c>
    </x:row>
    <x:row r="615">
      <x:c r="A615" s="30" t="n">
        <x:v>45079</x:v>
      </x:c>
      <x:c r="B615" s="38" t="n">
        <x:v>4282.37</x:v>
      </x:c>
      <x:c r="C615" s="34" t="n">
        <x:f>(B615/B614-1)*100</x:f>
        <x:v>1.4534401637518846</x:v>
      </x:c>
      <x:c r="D615" s="34" t="n">
        <x:f>Assumptions!$B$4*D614+(1-Assumptions!$B$4)*C614^2</x:f>
        <x:v>0.6882383149763637</x:v>
      </x:c>
      <x:c r="E615" s="34" t="n">
        <x:f>SQRT(D615)</x:f>
        <x:v>0.8296012988034455</x:v>
      </x:c>
      <x:c r="F615" s="34" t="n">
        <x:f>-Assumptions!$B$7*E615</x:f>
        <x:v>1.3645727052605</x:v>
      </x:c>
      <x:c r="G615" s="34" t="n">
        <x:f>-Assumptions!$B$8*E615</x:f>
        <x:v>1.9299412177729154</x:v>
      </x:c>
      <x:c r="H615" s="34" t="n">
        <x:f>-Assumptions!$B$9*E615</x:f>
        <x:v>1.2948829668451671</x:v>
      </x:c>
      <x:c r="I615" s="34" t="n">
        <x:f>-Assumptions!$B$10*E615</x:f>
        <x:v>2.1623255614922274</x:v>
      </x:c>
      <x:c r="J615" s="36" t="n">
        <x:f>IF(C615&lt;-F615,1,0)</x:f>
        <x:v>0</x:v>
      </x:c>
      <x:c r="K615" s="36" t="n">
        <x:f>IF(C615&lt;-G615,1,0)</x:f>
        <x:v>0</x:v>
      </x:c>
      <x:c r="L615" s="36" t="n">
        <x:f>IF(C615&lt;-H615,1,0)</x:f>
        <x:v>0</x:v>
      </x:c>
      <x:c r="M615" s="36" t="n">
        <x:f>IF(C615&lt;-I615,1,0)</x:f>
        <x:v>0</x:v>
      </x:c>
      <x:c r="N615" s="34" t="n">
        <x:f>-F615</x:f>
        <x:v>-1.3645727052605</x:v>
      </x:c>
      <x:c r="O615" s="34" t="n">
        <x:f>-H615</x:f>
        <x:v>-1.2948829668451671</x:v>
      </x:c>
      <x:c r="P615" s="34" t="n">
        <x:f>-G615</x:f>
        <x:v>-1.9299412177729154</x:v>
      </x:c>
      <x:c r="Q615" s="34" t="n">
        <x:f>-I615</x:f>
        <x:v>-2.1623255614922274</x:v>
      </x:c>
      <x:c r="R615" s="36" t="n">
        <x:f>YEAR(A615)</x:f>
        <x:v>2023</x:v>
      </x:c>
    </x:row>
    <x:row r="616">
      <x:c r="A616" s="30" t="n">
        <x:v>45082</x:v>
      </x:c>
      <x:c r="B616" s="38" t="n">
        <x:v>4273.79</x:v>
      </x:c>
      <x:c r="C616" s="34" t="n">
        <x:f>(B616/B615-1)*100</x:f>
        <x:v>-0.2003563447343426</x:v>
      </x:c>
      <x:c r="D616" s="34" t="n">
        <x:f>Assumptions!$B$4*D615+(1-Assumptions!$B$4)*C615^2</x:f>
        <x:v>0.7736933146542082</x:v>
      </x:c>
      <x:c r="E616" s="34" t="n">
        <x:f>SQRT(D616)</x:f>
        <x:v>0.8795983825895818</x:v>
      </x:c>
      <x:c r="F616" s="34" t="n">
        <x:f>-Assumptions!$B$7*E616</x:f>
        <x:v>1.446810589863123</x:v>
      </x:c>
      <x:c r="G616" s="34" t="n">
        <x:f>-Assumptions!$B$8*E616</x:f>
        <x:v>2.046251827347035</x:v>
      </x:c>
      <x:c r="H616" s="34" t="n">
        <x:f>-Assumptions!$B$9*E616</x:f>
        <x:v>1.372920901790514</x:v>
      </x:c>
      <x:c r="I616" s="34" t="n">
        <x:f>-Assumptions!$B$10*E616</x:f>
        <x:v>2.292641138898821</x:v>
      </x:c>
      <x:c r="J616" s="36" t="n">
        <x:f>IF(C616&lt;-F616,1,0)</x:f>
        <x:v>0</x:v>
      </x:c>
      <x:c r="K616" s="36" t="n">
        <x:f>IF(C616&lt;-G616,1,0)</x:f>
        <x:v>0</x:v>
      </x:c>
      <x:c r="L616" s="36" t="n">
        <x:f>IF(C616&lt;-H616,1,0)</x:f>
        <x:v>0</x:v>
      </x:c>
      <x:c r="M616" s="36" t="n">
        <x:f>IF(C616&lt;-I616,1,0)</x:f>
        <x:v>0</x:v>
      </x:c>
      <x:c r="N616" s="34" t="n">
        <x:f>-F616</x:f>
        <x:v>-1.446810589863123</x:v>
      </x:c>
      <x:c r="O616" s="34" t="n">
        <x:f>-H616</x:f>
        <x:v>-1.372920901790514</x:v>
      </x:c>
      <x:c r="P616" s="34" t="n">
        <x:f>-G616</x:f>
        <x:v>-2.046251827347035</x:v>
      </x:c>
      <x:c r="Q616" s="34" t="n">
        <x:f>-I616</x:f>
        <x:v>-2.292641138898821</x:v>
      </x:c>
      <x:c r="R616" s="36" t="n">
        <x:f>YEAR(A616)</x:f>
        <x:v>2023</x:v>
      </x:c>
    </x:row>
    <x:row r="617">
      <x:c r="A617" s="30" t="n">
        <x:v>45083</x:v>
      </x:c>
      <x:c r="B617" s="38" t="n">
        <x:v>4283.85</x:v>
      </x:c>
      <x:c r="C617" s="34" t="n">
        <x:f>(B617/B616-1)*100</x:f>
        <x:v>0.23538826194080542</x:v>
      </x:c>
      <x:c r="D617" s="34" t="n">
        <x:f>Assumptions!$B$4*D616+(1-Assumptions!$B$4)*C616^2</x:f>
        <x:v>0.7296802756674741</x:v>
      </x:c>
      <x:c r="E617" s="34" t="n">
        <x:f>SQRT(D617)</x:f>
        <x:v>0.8542132495269984</x:v>
      </x:c>
      <x:c r="F617" s="34" t="n">
        <x:f>-Assumptions!$B$7*E617</x:f>
        <x:v>1.4050557616744868</x:v>
      </x:c>
      <x:c r="G617" s="34" t="n">
        <x:f>-Assumptions!$B$8*E617</x:f>
        <x:v>1.9871971770146506</x:v>
      </x:c>
      <x:c r="H617" s="34" t="n">
        <x:f>-Assumptions!$B$9*E617</x:f>
        <x:v>1.3332985235936046</x:v>
      </x:c>
      <x:c r="I617" s="34" t="n">
        <x:f>-Assumptions!$B$10*E617</x:f>
        <x:v>2.226475714396381</x:v>
      </x:c>
      <x:c r="J617" s="36" t="n">
        <x:f>IF(C617&lt;-F617,1,0)</x:f>
        <x:v>0</x:v>
      </x:c>
      <x:c r="K617" s="36" t="n">
        <x:f>IF(C617&lt;-G617,1,0)</x:f>
        <x:v>0</x:v>
      </x:c>
      <x:c r="L617" s="36" t="n">
        <x:f>IF(C617&lt;-H617,1,0)</x:f>
        <x:v>0</x:v>
      </x:c>
      <x:c r="M617" s="36" t="n">
        <x:f>IF(C617&lt;-I617,1,0)</x:f>
        <x:v>0</x:v>
      </x:c>
      <x:c r="N617" s="34" t="n">
        <x:f>-F617</x:f>
        <x:v>-1.4050557616744868</x:v>
      </x:c>
      <x:c r="O617" s="34" t="n">
        <x:f>-H617</x:f>
        <x:v>-1.3332985235936046</x:v>
      </x:c>
      <x:c r="P617" s="34" t="n">
        <x:f>-G617</x:f>
        <x:v>-1.9871971770146506</x:v>
      </x:c>
      <x:c r="Q617" s="34" t="n">
        <x:f>-I617</x:f>
        <x:v>-2.226475714396381</x:v>
      </x:c>
      <x:c r="R617" s="36" t="n">
        <x:f>YEAR(A617)</x:f>
        <x:v>2023</x:v>
      </x:c>
    </x:row>
    <x:row r="618">
      <x:c r="A618" s="30" t="n">
        <x:v>45084</x:v>
      </x:c>
      <x:c r="B618" s="38" t="n">
        <x:v>4267.52</x:v>
      </x:c>
      <x:c r="C618" s="34" t="n">
        <x:f>(B618/B617-1)*100</x:f>
        <x:v>-0.381199154965739</x:v>
      </x:c>
      <x:c r="D618" s="34" t="n">
        <x:f>Assumptions!$B$4*D617+(1-Assumptions!$B$4)*C617^2</x:f>
        <x:v>0.6892239171589963</x:v>
      </x:c>
      <x:c r="E618" s="34" t="n">
        <x:f>SQRT(D618)</x:f>
        <x:v>0.8301951078866922</x:v>
      </x:c>
      <x:c r="F618" s="34" t="n">
        <x:f>-Assumptions!$B$7*E618</x:f>
        <x:v>1.365549434284795</x:v>
      </x:c>
      <x:c r="G618" s="34" t="n">
        <x:f>-Assumptions!$B$8*E618</x:f>
        <x:v>1.9313226242713124</x:v>
      </x:c>
      <x:c r="H618" s="34" t="n">
        <x:f>-Assumptions!$B$9*E618</x:f>
        <x:v>1.2958098135950011</x:v>
      </x:c>
      <x:c r="I618" s="34" t="n">
        <x:f>-Assumptions!$B$10*E618</x:f>
        <x:v>2.163873303234197</x:v>
      </x:c>
      <x:c r="J618" s="36" t="n">
        <x:f>IF(C618&lt;-F618,1,0)</x:f>
        <x:v>0</x:v>
      </x:c>
      <x:c r="K618" s="36" t="n">
        <x:f>IF(C618&lt;-G618,1,0)</x:f>
        <x:v>0</x:v>
      </x:c>
      <x:c r="L618" s="36" t="n">
        <x:f>IF(C618&lt;-H618,1,0)</x:f>
        <x:v>0</x:v>
      </x:c>
      <x:c r="M618" s="36" t="n">
        <x:f>IF(C618&lt;-I618,1,0)</x:f>
        <x:v>0</x:v>
      </x:c>
      <x:c r="N618" s="34" t="n">
        <x:f>-F618</x:f>
        <x:v>-1.365549434284795</x:v>
      </x:c>
      <x:c r="O618" s="34" t="n">
        <x:f>-H618</x:f>
        <x:v>-1.2958098135950011</x:v>
      </x:c>
      <x:c r="P618" s="34" t="n">
        <x:f>-G618</x:f>
        <x:v>-1.9313226242713124</x:v>
      </x:c>
      <x:c r="Q618" s="34" t="n">
        <x:f>-I618</x:f>
        <x:v>-2.163873303234197</x:v>
      </x:c>
      <x:c r="R618" s="36" t="n">
        <x:f>YEAR(A618)</x:f>
        <x:v>2023</x:v>
      </x:c>
    </x:row>
    <x:row r="619">
      <x:c r="A619" s="30" t="n">
        <x:v>45085</x:v>
      </x:c>
      <x:c r="B619" s="38" t="n">
        <x:v>4293.93</x:v>
      </x:c>
      <x:c r="C619" s="34" t="n">
        <x:f>(B619/B618-1)*100</x:f>
        <x:v>0.6188606028794119</x:v>
      </x:c>
      <x:c r="D619" s="34" t="n">
        <x:f>Assumptions!$B$4*D618+(1-Assumptions!$B$4)*C618^2</x:f>
        <x:v>0.6565892498742522</x:v>
      </x:c>
      <x:c r="E619" s="34" t="n">
        <x:f>SQRT(D619)</x:f>
        <x:v>0.8103019498151612</x:v>
      </x:c>
      <x:c r="F619" s="34" t="n">
        <x:f>-Assumptions!$B$7*E619</x:f>
        <x:v>1.3328281010793184</x:v>
      </x:c>
      <x:c r="G619" s="34" t="n">
        <x:f>-Assumptions!$B$8*E619</x:f>
        <x:v>1.885044218283648</x:v>
      </x:c>
      <x:c r="H619" s="34" t="n">
        <x:f>-Assumptions!$B$9*E619</x:f>
        <x:v>1.2647595831038758</x:v>
      </x:c>
      <x:c r="I619" s="34" t="n">
        <x:f>-Assumptions!$B$10*E619</x:f>
        <x:v>2.1120225114635973</x:v>
      </x:c>
      <x:c r="J619" s="36" t="n">
        <x:f>IF(C619&lt;-F619,1,0)</x:f>
        <x:v>0</x:v>
      </x:c>
      <x:c r="K619" s="36" t="n">
        <x:f>IF(C619&lt;-G619,1,0)</x:f>
        <x:v>0</x:v>
      </x:c>
      <x:c r="L619" s="36" t="n">
        <x:f>IF(C619&lt;-H619,1,0)</x:f>
        <x:v>0</x:v>
      </x:c>
      <x:c r="M619" s="36" t="n">
        <x:f>IF(C619&lt;-I619,1,0)</x:f>
        <x:v>0</x:v>
      </x:c>
      <x:c r="N619" s="34" t="n">
        <x:f>-F619</x:f>
        <x:v>-1.3328281010793184</x:v>
      </x:c>
      <x:c r="O619" s="34" t="n">
        <x:f>-H619</x:f>
        <x:v>-1.2647595831038758</x:v>
      </x:c>
      <x:c r="P619" s="34" t="n">
        <x:f>-G619</x:f>
        <x:v>-1.885044218283648</x:v>
      </x:c>
      <x:c r="Q619" s="34" t="n">
        <x:f>-I619</x:f>
        <x:v>-2.1120225114635973</x:v>
      </x:c>
      <x:c r="R619" s="36" t="n">
        <x:f>YEAR(A619)</x:f>
        <x:v>2023</x:v>
      </x:c>
    </x:row>
    <x:row r="620">
      <x:c r="A620" s="30" t="n">
        <x:v>45086</x:v>
      </x:c>
      <x:c r="B620" s="38" t="n">
        <x:v>4298.86</x:v>
      </x:c>
      <x:c r="C620" s="34" t="n">
        <x:f>(B620/B619-1)*100</x:f>
        <x:v>0.11481323635922358</x:v>
      </x:c>
      <x:c r="D620" s="34" t="n">
        <x:f>Assumptions!$B$4*D619+(1-Assumptions!$B$4)*C619^2</x:f>
        <x:v>0.6401732016295731</x:v>
      </x:c>
      <x:c r="E620" s="34" t="n">
        <x:f>SQRT(D620)</x:f>
        <x:v>0.8001082436955472</x:v>
      </x:c>
      <x:c r="F620" s="34" t="n">
        <x:f>-Assumptions!$B$7*E620</x:f>
        <x:v>1.3160609465963937</x:v>
      </x:c>
      <x:c r="G620" s="34" t="n">
        <x:f>-Assumptions!$B$8*E620</x:f>
        <x:v>1.861330111723687</x:v>
      </x:c>
      <x:c r="H620" s="34" t="n">
        <x:f>-Assumptions!$B$9*E620</x:f>
        <x:v>1.2488487396151402</x:v>
      </x:c>
      <x:c r="I620" s="34" t="n">
        <x:f>-Assumptions!$B$10*E620</x:f>
        <x:v>2.0854529878375216</x:v>
      </x:c>
      <x:c r="J620" s="36" t="n">
        <x:f>IF(C620&lt;-F620,1,0)</x:f>
        <x:v>0</x:v>
      </x:c>
      <x:c r="K620" s="36" t="n">
        <x:f>IF(C620&lt;-G620,1,0)</x:f>
        <x:v>0</x:v>
      </x:c>
      <x:c r="L620" s="36" t="n">
        <x:f>IF(C620&lt;-H620,1,0)</x:f>
        <x:v>0</x:v>
      </x:c>
      <x:c r="M620" s="36" t="n">
        <x:f>IF(C620&lt;-I620,1,0)</x:f>
        <x:v>0</x:v>
      </x:c>
      <x:c r="N620" s="34" t="n">
        <x:f>-F620</x:f>
        <x:v>-1.3160609465963937</x:v>
      </x:c>
      <x:c r="O620" s="34" t="n">
        <x:f>-H620</x:f>
        <x:v>-1.2488487396151402</x:v>
      </x:c>
      <x:c r="P620" s="34" t="n">
        <x:f>-G620</x:f>
        <x:v>-1.861330111723687</x:v>
      </x:c>
      <x:c r="Q620" s="34" t="n">
        <x:f>-I620</x:f>
        <x:v>-2.0854529878375216</x:v>
      </x:c>
      <x:c r="R620" s="36" t="n">
        <x:f>YEAR(A620)</x:f>
        <x:v>2023</x:v>
      </x:c>
    </x:row>
    <x:row r="621">
      <x:c r="A621" s="30" t="n">
        <x:v>45089</x:v>
      </x:c>
      <x:c r="B621" s="38" t="n">
        <x:v>4338.93</x:v>
      </x:c>
      <x:c r="C621" s="34" t="n">
        <x:f>(B621/B620-1)*100</x:f>
        <x:v>0.9321075820101221</x:v>
      </x:c>
      <x:c r="D621" s="34" t="n">
        <x:f>Assumptions!$B$4*D620+(1-Assumptions!$B$4)*C620^2</x:f>
        <x:v>0.6025537342863955</x:v>
      </x:c>
      <x:c r="E621" s="34" t="n">
        <x:f>SQRT(D621)</x:f>
        <x:v>0.7762433473379308</x:v>
      </x:c>
      <x:c r="F621" s="34" t="n">
        <x:f>-Assumptions!$B$7*E621</x:f>
        <x:v>1.2768066852657474</x:v>
      </x:c>
      <x:c r="G621" s="34" t="n">
        <x:f>-Assumptions!$B$8*E621</x:f>
        <x:v>1.8058120608179409</x:v>
      </x:c>
      <x:c r="H621" s="34" t="n">
        <x:f>-Assumptions!$B$9*E621</x:f>
        <x:v>1.2115992224753118</x:v>
      </x:c>
      <x:c r="I621" s="34" t="n">
        <x:f>-Assumptions!$B$10*E621</x:f>
        <x:v>2.023250004921673</x:v>
      </x:c>
      <x:c r="J621" s="36" t="n">
        <x:f>IF(C621&lt;-F621,1,0)</x:f>
        <x:v>0</x:v>
      </x:c>
      <x:c r="K621" s="36" t="n">
        <x:f>IF(C621&lt;-G621,1,0)</x:f>
        <x:v>0</x:v>
      </x:c>
      <x:c r="L621" s="36" t="n">
        <x:f>IF(C621&lt;-H621,1,0)</x:f>
        <x:v>0</x:v>
      </x:c>
      <x:c r="M621" s="36" t="n">
        <x:f>IF(C621&lt;-I621,1,0)</x:f>
        <x:v>0</x:v>
      </x:c>
      <x:c r="N621" s="34" t="n">
        <x:f>-F621</x:f>
        <x:v>-1.2768066852657474</x:v>
      </x:c>
      <x:c r="O621" s="34" t="n">
        <x:f>-H621</x:f>
        <x:v>-1.2115992224753118</x:v>
      </x:c>
      <x:c r="P621" s="34" t="n">
        <x:f>-G621</x:f>
        <x:v>-1.8058120608179409</x:v>
      </x:c>
      <x:c r="Q621" s="34" t="n">
        <x:f>-I621</x:f>
        <x:v>-2.023250004921673</x:v>
      </x:c>
      <x:c r="R621" s="36" t="n">
        <x:f>YEAR(A621)</x:f>
        <x:v>2023</x:v>
      </x:c>
    </x:row>
    <x:row r="622">
      <x:c r="A622" s="30" t="n">
        <x:v>45090</x:v>
      </x:c>
      <x:c r="B622" s="38" t="n">
        <x:v>4369.01</x:v>
      </x:c>
      <x:c r="C622" s="34" t="n">
        <x:f>(B622/B621-1)*100</x:f>
        <x:v>0.6932584761680793</x:v>
      </x:c>
      <x:c r="D622" s="34" t="n">
        <x:f>Assumptions!$B$4*D621+(1-Assumptions!$B$4)*C621^2</x:f>
        <x:v>0.6185299828956571</x:v>
      </x:c>
      <x:c r="E622" s="34" t="n">
        <x:f>SQRT(D622)</x:f>
        <x:v>0.7864667716411528</x:v>
      </x:c>
      <x:c r="F622" s="34" t="n">
        <x:f>-Assumptions!$B$7*E622</x:f>
        <x:v>1.2936227218107659</x:v>
      </x:c>
      <x:c r="G622" s="34" t="n">
        <x:f>-Assumptions!$B$8*E622</x:f>
        <x:v>1.8295953022111588</x:v>
      </x:c>
      <x:c r="H622" s="34" t="n">
        <x:f>-Assumptions!$B$9*E622</x:f>
        <x:v>1.227556451583037</x:v>
      </x:c>
      <x:c r="I622" s="34" t="n">
        <x:f>-Assumptions!$B$10*E622</x:f>
        <x:v>2.049896987910637</x:v>
      </x:c>
      <x:c r="J622" s="36" t="n">
        <x:f>IF(C622&lt;-F622,1,0)</x:f>
        <x:v>0</x:v>
      </x:c>
      <x:c r="K622" s="36" t="n">
        <x:f>IF(C622&lt;-G622,1,0)</x:f>
        <x:v>0</x:v>
      </x:c>
      <x:c r="L622" s="36" t="n">
        <x:f>IF(C622&lt;-H622,1,0)</x:f>
        <x:v>0</x:v>
      </x:c>
      <x:c r="M622" s="36" t="n">
        <x:f>IF(C622&lt;-I622,1,0)</x:f>
        <x:v>0</x:v>
      </x:c>
      <x:c r="N622" s="34" t="n">
        <x:f>-F622</x:f>
        <x:v>-1.2936227218107659</x:v>
      </x:c>
      <x:c r="O622" s="34" t="n">
        <x:f>-H622</x:f>
        <x:v>-1.227556451583037</x:v>
      </x:c>
      <x:c r="P622" s="34" t="n">
        <x:f>-G622</x:f>
        <x:v>-1.8295953022111588</x:v>
      </x:c>
      <x:c r="Q622" s="34" t="n">
        <x:f>-I622</x:f>
        <x:v>-2.049896987910637</x:v>
      </x:c>
      <x:c r="R622" s="36" t="n">
        <x:f>YEAR(A622)</x:f>
        <x:v>2023</x:v>
      </x:c>
    </x:row>
    <x:row r="623">
      <x:c r="A623" s="30" t="n">
        <x:v>45091</x:v>
      </x:c>
      <x:c r="B623" s="38" t="n">
        <x:v>4372.59</x:v>
      </x:c>
      <x:c r="C623" s="34" t="n">
        <x:f>(B623/B622-1)*100</x:f>
        <x:v>0.08194076003487094</x:v>
      </x:c>
      <x:c r="D623" s="34" t="n">
        <x:f>Assumptions!$B$4*D622+(1-Assumptions!$B$4)*C622^2</x:f>
        <x:v>0.6102546228086508</x:v>
      </x:c>
      <x:c r="E623" s="34" t="n">
        <x:f>SQRT(D623)</x:f>
        <x:v>0.7811879561338941</x:v>
      </x:c>
      <x:c r="F623" s="34" t="n">
        <x:f>-Assumptions!$B$7*E623</x:f>
        <x:v>1.2849398429776437</x:v>
      </x:c>
      <x:c r="G623" s="34" t="n">
        <x:f>-Assumptions!$B$8*E623</x:f>
        <x:v>1.8173149409783937</x:v>
      </x:c>
      <x:c r="H623" s="34" t="n">
        <x:f>-Assumptions!$B$9*E623</x:f>
        <x:v>1.2193170138009046</x:v>
      </x:c>
      <x:c r="I623" s="34" t="n">
        <x:f>-Assumptions!$B$10*E623</x:f>
        <x:v>2.0361379476075294</x:v>
      </x:c>
      <x:c r="J623" s="36" t="n">
        <x:f>IF(C623&lt;-F623,1,0)</x:f>
        <x:v>0</x:v>
      </x:c>
      <x:c r="K623" s="36" t="n">
        <x:f>IF(C623&lt;-G623,1,0)</x:f>
        <x:v>0</x:v>
      </x:c>
      <x:c r="L623" s="36" t="n">
        <x:f>IF(C623&lt;-H623,1,0)</x:f>
        <x:v>0</x:v>
      </x:c>
      <x:c r="M623" s="36" t="n">
        <x:f>IF(C623&lt;-I623,1,0)</x:f>
        <x:v>0</x:v>
      </x:c>
      <x:c r="N623" s="34" t="n">
        <x:f>-F623</x:f>
        <x:v>-1.2849398429776437</x:v>
      </x:c>
      <x:c r="O623" s="34" t="n">
        <x:f>-H623</x:f>
        <x:v>-1.2193170138009046</x:v>
      </x:c>
      <x:c r="P623" s="34" t="n">
        <x:f>-G623</x:f>
        <x:v>-1.8173149409783937</x:v>
      </x:c>
      <x:c r="Q623" s="34" t="n">
        <x:f>-I623</x:f>
        <x:v>-2.0361379476075294</x:v>
      </x:c>
      <x:c r="R623" s="36" t="n">
        <x:f>YEAR(A623)</x:f>
        <x:v>2023</x:v>
      </x:c>
    </x:row>
    <x:row r="624">
      <x:c r="A624" s="30" t="n">
        <x:v>45092</x:v>
      </x:c>
      <x:c r="B624" s="38" t="n">
        <x:v>4425.84</x:v>
      </x:c>
      <x:c r="C624" s="34" t="n">
        <x:f>(B624/B623-1)*100</x:f>
        <x:v>1.217813698517345</x:v>
      </x:c>
      <x:c r="D624" s="34" t="n">
        <x:f>Assumptions!$B$4*D623+(1-Assumptions!$B$4)*C623^2</x:f>
        <x:v>0.5740422027294373</x:v>
      </x:c>
      <x:c r="E624" s="34" t="n">
        <x:f>SQRT(D624)</x:f>
        <x:v>0.7576557283683911</x:v>
      </x:c>
      <x:c r="F624" s="34" t="n">
        <x:f>-Assumptions!$B$7*E624</x:f>
        <x:v>1.2462327727873082</x:v>
      </x:c>
      <x:c r="G624" s="34" t="n">
        <x:f>-Assumptions!$B$8*E624</x:f>
        <x:v>1.762570792944671</x:v>
      </x:c>
      <x:c r="H624" s="34" t="n">
        <x:f>-Assumptions!$B$9*E624</x:f>
        <x:v>1.1825867423446996</x:v>
      </x:c>
      <x:c r="I624" s="34" t="n">
        <x:f>-Assumptions!$B$10*E624</x:f>
        <x:v>1.9748020532573203</x:v>
      </x:c>
      <x:c r="J624" s="36" t="n">
        <x:f>IF(C624&lt;-F624,1,0)</x:f>
        <x:v>0</x:v>
      </x:c>
      <x:c r="K624" s="36" t="n">
        <x:f>IF(C624&lt;-G624,1,0)</x:f>
        <x:v>0</x:v>
      </x:c>
      <x:c r="L624" s="36" t="n">
        <x:f>IF(C624&lt;-H624,1,0)</x:f>
        <x:v>0</x:v>
      </x:c>
      <x:c r="M624" s="36" t="n">
        <x:f>IF(C624&lt;-I624,1,0)</x:f>
        <x:v>0</x:v>
      </x:c>
      <x:c r="N624" s="34" t="n">
        <x:f>-F624</x:f>
        <x:v>-1.2462327727873082</x:v>
      </x:c>
      <x:c r="O624" s="34" t="n">
        <x:f>-H624</x:f>
        <x:v>-1.1825867423446996</x:v>
      </x:c>
      <x:c r="P624" s="34" t="n">
        <x:f>-G624</x:f>
        <x:v>-1.762570792944671</x:v>
      </x:c>
      <x:c r="Q624" s="34" t="n">
        <x:f>-I624</x:f>
        <x:v>-1.9748020532573203</x:v>
      </x:c>
      <x:c r="R624" s="36" t="n">
        <x:f>YEAR(A624)</x:f>
        <x:v>2023</x:v>
      </x:c>
    </x:row>
    <x:row r="625">
      <x:c r="A625" s="30" t="n">
        <x:v>45093</x:v>
      </x:c>
      <x:c r="B625" s="38" t="n">
        <x:v>4409.59</x:v>
      </x:c>
      <x:c r="C625" s="34" t="n">
        <x:f>(B625/B624-1)*100</x:f>
        <x:v>-0.36716193988033385</x:v>
      </x:c>
      <x:c r="D625" s="34" t="n">
        <x:f>Assumptions!$B$4*D624+(1-Assumptions!$B$4)*C624^2</x:f>
        <x:v>0.6285838828234608</x:v>
      </x:c>
      <x:c r="E625" s="34" t="n">
        <x:f>SQRT(D625)</x:f>
        <x:v>0.7928328214847445</x:v>
      </x:c>
      <x:c r="F625" s="34" t="n">
        <x:f>-Assumptions!$B$7*E625</x:f>
        <x:v>1.3040939419853517</x:v>
      </x:c>
      <x:c r="G625" s="34" t="n">
        <x:f>-Assumptions!$B$8*E625</x:f>
        <x:v>1.8444049487308365</x:v>
      </x:c>
      <x:c r="H625" s="34" t="n">
        <x:f>-Assumptions!$B$9*E625</x:f>
        <x:v>1.2374928987902</x:v>
      </x:c>
      <x:c r="I625" s="34" t="n">
        <x:f>-Assumptions!$B$10*E625</x:f>
        <x:v>2.0664898649015315</x:v>
      </x:c>
      <x:c r="J625" s="36" t="n">
        <x:f>IF(C625&lt;-F625,1,0)</x:f>
        <x:v>0</x:v>
      </x:c>
      <x:c r="K625" s="36" t="n">
        <x:f>IF(C625&lt;-G625,1,0)</x:f>
        <x:v>0</x:v>
      </x:c>
      <x:c r="L625" s="36" t="n">
        <x:f>IF(C625&lt;-H625,1,0)</x:f>
        <x:v>0</x:v>
      </x:c>
      <x:c r="M625" s="36" t="n">
        <x:f>IF(C625&lt;-I625,1,0)</x:f>
        <x:v>0</x:v>
      </x:c>
      <x:c r="N625" s="34" t="n">
        <x:f>-F625</x:f>
        <x:v>-1.3040939419853517</x:v>
      </x:c>
      <x:c r="O625" s="34" t="n">
        <x:f>-H625</x:f>
        <x:v>-1.2374928987902</x:v>
      </x:c>
      <x:c r="P625" s="34" t="n">
        <x:f>-G625</x:f>
        <x:v>-1.8444049487308365</x:v>
      </x:c>
      <x:c r="Q625" s="34" t="n">
        <x:f>-I625</x:f>
        <x:v>-2.0664898649015315</x:v>
      </x:c>
      <x:c r="R625" s="36" t="n">
        <x:f>YEAR(A625)</x:f>
        <x:v>2023</x:v>
      </x:c>
    </x:row>
    <x:row r="626">
      <x:c r="A626" s="30" t="n">
        <x:v>45097</x:v>
      </x:c>
      <x:c r="B626" s="38" t="n">
        <x:v>4388.71</x:v>
      </x:c>
      <x:c r="C626" s="34" t="n">
        <x:f>(B626/B625-1)*100</x:f>
        <x:v>-0.47351341054383544</x:v>
      </x:c>
      <x:c r="D626" s="34" t="n">
        <x:f>Assumptions!$B$4*D625+(1-Assumptions!$B$4)*C625^2</x:f>
        <x:v>0.5989573232598545</x:v>
      </x:c>
      <x:c r="E626" s="34" t="n">
        <x:f>SQRT(D626)</x:f>
        <x:v>0.7739233316420009</x:v>
      </x:c>
      <x:c r="F626" s="34" t="n">
        <x:f>-Assumptions!$B$7*E626</x:f>
        <x:v>1.2729905990337127</x:v>
      </x:c>
      <x:c r="G626" s="34" t="n">
        <x:f>-Assumptions!$B$8*E626</x:f>
        <x:v>1.800414897235973</x:v>
      </x:c>
      <x:c r="H626" s="34" t="n">
        <x:f>-Assumptions!$B$9*E626</x:f>
        <x:v>1.2079780265926559</x:v>
      </x:c>
      <x:c r="I626" s="34" t="n">
        <x:f>-Assumptions!$B$10*E626</x:f>
        <x:v>2.0172029685324966</x:v>
      </x:c>
      <x:c r="J626" s="36" t="n">
        <x:f>IF(C626&lt;-F626,1,0)</x:f>
        <x:v>0</x:v>
      </x:c>
      <x:c r="K626" s="36" t="n">
        <x:f>IF(C626&lt;-G626,1,0)</x:f>
        <x:v>0</x:v>
      </x:c>
      <x:c r="L626" s="36" t="n">
        <x:f>IF(C626&lt;-H626,1,0)</x:f>
        <x:v>0</x:v>
      </x:c>
      <x:c r="M626" s="36" t="n">
        <x:f>IF(C626&lt;-I626,1,0)</x:f>
        <x:v>0</x:v>
      </x:c>
      <x:c r="N626" s="34" t="n">
        <x:f>-F626</x:f>
        <x:v>-1.2729905990337127</x:v>
      </x:c>
      <x:c r="O626" s="34" t="n">
        <x:f>-H626</x:f>
        <x:v>-1.2079780265926559</x:v>
      </x:c>
      <x:c r="P626" s="34" t="n">
        <x:f>-G626</x:f>
        <x:v>-1.800414897235973</x:v>
      </x:c>
      <x:c r="Q626" s="34" t="n">
        <x:f>-I626</x:f>
        <x:v>-2.0172029685324966</x:v>
      </x:c>
      <x:c r="R626" s="36" t="n">
        <x:f>YEAR(A626)</x:f>
        <x:v>2023</x:v>
      </x:c>
    </x:row>
    <x:row r="627">
      <x:c r="A627" s="30" t="n">
        <x:v>45098</x:v>
      </x:c>
      <x:c r="B627" s="38" t="n">
        <x:v>4365.69</x:v>
      </x:c>
      <x:c r="C627" s="34" t="n">
        <x:f>(B627/B626-1)*100</x:f>
        <x:v>-0.5245277085977551</x:v>
      </x:c>
      <x:c r="D627" s="34" t="n">
        <x:f>Assumptions!$B$4*D626+(1-Assumptions!$B$4)*C626^2</x:f>
        <x:v>0.5764727808621545</x:v>
      </x:c>
      <x:c r="E627" s="34" t="n">
        <x:f>SQRT(D627)</x:f>
        <x:v>0.759258046293982</x:v>
      </x:c>
      <x:c r="F627" s="34" t="n">
        <x:f>-Assumptions!$B$7*E627</x:f>
        <x:v>1.2488683512387455</x:v>
      </x:c>
      <x:c r="G627" s="34" t="n">
        <x:f>-Assumptions!$B$8*E627</x:f>
        <x:v>1.766298341844407</x:v>
      </x:c>
      <x:c r="H627" s="34" t="n">
        <x:f>-Assumptions!$B$9*E627</x:f>
        <x:v>1.1850877198531857</x:v>
      </x:c>
      <x:c r="I627" s="34" t="n">
        <x:f>-Assumptions!$B$10*E627</x:f>
        <x:v>1.9789784365551037</x:v>
      </x:c>
      <x:c r="J627" s="36" t="n">
        <x:f>IF(C627&lt;-F627,1,0)</x:f>
        <x:v>0</x:v>
      </x:c>
      <x:c r="K627" s="36" t="n">
        <x:f>IF(C627&lt;-G627,1,0)</x:f>
        <x:v>0</x:v>
      </x:c>
      <x:c r="L627" s="36" t="n">
        <x:f>IF(C627&lt;-H627,1,0)</x:f>
        <x:v>0</x:v>
      </x:c>
      <x:c r="M627" s="36" t="n">
        <x:f>IF(C627&lt;-I627,1,0)</x:f>
        <x:v>0</x:v>
      </x:c>
      <x:c r="N627" s="34" t="n">
        <x:f>-F627</x:f>
        <x:v>-1.2488683512387455</x:v>
      </x:c>
      <x:c r="O627" s="34" t="n">
        <x:f>-H627</x:f>
        <x:v>-1.1850877198531857</x:v>
      </x:c>
      <x:c r="P627" s="34" t="n">
        <x:f>-G627</x:f>
        <x:v>-1.766298341844407</x:v>
      </x:c>
      <x:c r="Q627" s="34" t="n">
        <x:f>-I627</x:f>
        <x:v>-1.9789784365551037</x:v>
      </x:c>
      <x:c r="R627" s="36" t="n">
        <x:f>YEAR(A627)</x:f>
        <x:v>2023</x:v>
      </x:c>
    </x:row>
    <x:row r="628">
      <x:c r="A628" s="30" t="n">
        <x:v>45099</x:v>
      </x:c>
      <x:c r="B628" s="38" t="n">
        <x:v>4381.89</x:v>
      </x:c>
      <x:c r="C628" s="34" t="n">
        <x:f>(B628/B627-1)*100</x:f>
        <x:v>0.3710753626574581</x:v>
      </x:c>
      <x:c r="D628" s="34" t="n">
        <x:f>Assumptions!$B$4*D627+(1-Assumptions!$B$4)*C627^2</x:f>
        <x:v>0.5583921730356339</x:v>
      </x:c>
      <x:c r="E628" s="34" t="n">
        <x:f>SQRT(D628)</x:f>
        <x:v>0.7472564305749626</x:v>
      </x:c>
      <x:c r="F628" s="34" t="n">
        <x:f>-Assumptions!$B$7*E628</x:f>
        <x:v>1.2291274500940388</x:v>
      </x:c>
      <x:c r="G628" s="34" t="n">
        <x:f>-Assumptions!$B$8*E628</x:f>
        <x:v>1.7383784086314111</x:v>
      </x:c>
      <x:c r="H628" s="34" t="n">
        <x:f>-Assumptions!$B$9*E628</x:f>
        <x:v>1.166355001146508</x:v>
      </x:c>
      <x:c r="I628" s="34" t="n">
        <x:f>-Assumptions!$B$10*E628</x:f>
        <x:v>1.9476966624235146</x:v>
      </x:c>
      <x:c r="J628" s="36" t="n">
        <x:f>IF(C628&lt;-F628,1,0)</x:f>
        <x:v>0</x:v>
      </x:c>
      <x:c r="K628" s="36" t="n">
        <x:f>IF(C628&lt;-G628,1,0)</x:f>
        <x:v>0</x:v>
      </x:c>
      <x:c r="L628" s="36" t="n">
        <x:f>IF(C628&lt;-H628,1,0)</x:f>
        <x:v>0</x:v>
      </x:c>
      <x:c r="M628" s="36" t="n">
        <x:f>IF(C628&lt;-I628,1,0)</x:f>
        <x:v>0</x:v>
      </x:c>
      <x:c r="N628" s="34" t="n">
        <x:f>-F628</x:f>
        <x:v>-1.2291274500940388</x:v>
      </x:c>
      <x:c r="O628" s="34" t="n">
        <x:f>-H628</x:f>
        <x:v>-1.166355001146508</x:v>
      </x:c>
      <x:c r="P628" s="34" t="n">
        <x:f>-G628</x:f>
        <x:v>-1.7383784086314111</x:v>
      </x:c>
      <x:c r="Q628" s="34" t="n">
        <x:f>-I628</x:f>
        <x:v>-1.9476966624235146</x:v>
      </x:c>
      <x:c r="R628" s="36" t="n">
        <x:f>YEAR(A628)</x:f>
        <x:v>2023</x:v>
      </x:c>
    </x:row>
    <x:row r="629">
      <x:c r="A629" s="30" t="n">
        <x:v>45100</x:v>
      </x:c>
      <x:c r="B629" s="38" t="n">
        <x:v>4348.33</x:v>
      </x:c>
      <x:c r="C629" s="34" t="n">
        <x:f>(B629/B628-1)*100</x:f>
        <x:v>-0.7658795633847637</x:v>
      </x:c>
      <x:c r="D629" s="34" t="n">
        <x:f>Assumptions!$B$4*D628+(1-Assumptions!$B$4)*C628^2</x:f>
        <x:v>0.5331504581397777</x:v>
      </x:c>
      <x:c r="E629" s="34" t="n">
        <x:f>SQRT(D629)</x:f>
        <x:v>0.7301715265194731</x:v>
      </x:c>
      <x:c r="F629" s="34" t="n">
        <x:f>-Assumptions!$B$7*E629</x:f>
        <x:v>1.201025283692249</x:v>
      </x:c>
      <x:c r="G629" s="34" t="n">
        <x:f>-Assumptions!$B$8*E629</x:f>
        <x:v>1.6986329784037315</x:v>
      </x:c>
      <x:c r="H629" s="34" t="n">
        <x:f>-Assumptions!$B$9*E629</x:f>
        <x:v>1.1396880331902792</x:v>
      </x:c>
      <x:c r="I629" s="34" t="n">
        <x:f>-Assumptions!$B$10*E629</x:f>
        <x:v>1.9031654824360784</x:v>
      </x:c>
      <x:c r="J629" s="36" t="n">
        <x:f>IF(C629&lt;-F629,1,0)</x:f>
        <x:v>0</x:v>
      </x:c>
      <x:c r="K629" s="36" t="n">
        <x:f>IF(C629&lt;-G629,1,0)</x:f>
        <x:v>0</x:v>
      </x:c>
      <x:c r="L629" s="36" t="n">
        <x:f>IF(C629&lt;-H629,1,0)</x:f>
        <x:v>0</x:v>
      </x:c>
      <x:c r="M629" s="36" t="n">
        <x:f>IF(C629&lt;-I629,1,0)</x:f>
        <x:v>0</x:v>
      </x:c>
      <x:c r="N629" s="34" t="n">
        <x:f>-F629</x:f>
        <x:v>-1.201025283692249</x:v>
      </x:c>
      <x:c r="O629" s="34" t="n">
        <x:f>-H629</x:f>
        <x:v>-1.1396880331902792</x:v>
      </x:c>
      <x:c r="P629" s="34" t="n">
        <x:f>-G629</x:f>
        <x:v>-1.6986329784037315</x:v>
      </x:c>
      <x:c r="Q629" s="34" t="n">
        <x:f>-I629</x:f>
        <x:v>-1.9031654824360784</x:v>
      </x:c>
      <x:c r="R629" s="36" t="n">
        <x:f>YEAR(A629)</x:f>
        <x:v>2023</x:v>
      </x:c>
    </x:row>
    <x:row r="630">
      <x:c r="A630" s="30" t="n">
        <x:v>45103</x:v>
      </x:c>
      <x:c r="B630" s="38" t="n">
        <x:v>4328.82</x:v>
      </x:c>
      <x:c r="C630" s="34" t="n">
        <x:f>(B630/B629-1)*100</x:f>
        <x:v>-0.4486779982200151</x:v>
      </x:c>
      <x:c r="D630" s="34" t="n">
        <x:f>Assumptions!$B$4*D629+(1-Assumptions!$B$4)*C629^2</x:f>
        <x:v>0.5363557209880172</x:v>
      </x:c>
      <x:c r="E630" s="34" t="n">
        <x:f>SQRT(D630)</x:f>
        <x:v>0.7323631073368027</x:v>
      </x:c>
      <x:c r="F630" s="34" t="n">
        <x:f>-Assumptions!$B$7*E630</x:f>
        <x:v>1.2046301133483908</x:v>
      </x:c>
      <x:c r="G630" s="34" t="n">
        <x:f>-Assumptions!$B$8*E630</x:f>
        <x:v>1.7037313577789146</x:v>
      </x:c>
      <x:c r="H630" s="34" t="n">
        <x:f>-Assumptions!$B$9*E630</x:f>
        <x:v>1.1431087615267919</x:v>
      </x:c>
      <x:c r="I630" s="34" t="n">
        <x:f>-Assumptions!$B$10*E630</x:f>
        <x:v>1.908877757993292</x:v>
      </x:c>
      <x:c r="J630" s="36" t="n">
        <x:f>IF(C630&lt;-F630,1,0)</x:f>
        <x:v>0</x:v>
      </x:c>
      <x:c r="K630" s="36" t="n">
        <x:f>IF(C630&lt;-G630,1,0)</x:f>
        <x:v>0</x:v>
      </x:c>
      <x:c r="L630" s="36" t="n">
        <x:f>IF(C630&lt;-H630,1,0)</x:f>
        <x:v>0</x:v>
      </x:c>
      <x:c r="M630" s="36" t="n">
        <x:f>IF(C630&lt;-I630,1,0)</x:f>
        <x:v>0</x:v>
      </x:c>
      <x:c r="N630" s="34" t="n">
        <x:f>-F630</x:f>
        <x:v>-1.2046301133483908</x:v>
      </x:c>
      <x:c r="O630" s="34" t="n">
        <x:f>-H630</x:f>
        <x:v>-1.1431087615267919</x:v>
      </x:c>
      <x:c r="P630" s="34" t="n">
        <x:f>-G630</x:f>
        <x:v>-1.7037313577789146</x:v>
      </x:c>
      <x:c r="Q630" s="34" t="n">
        <x:f>-I630</x:f>
        <x:v>-1.908877757993292</x:v>
      </x:c>
      <x:c r="R630" s="36" t="n">
        <x:f>YEAR(A630)</x:f>
        <x:v>2023</x:v>
      </x:c>
    </x:row>
    <x:row r="631">
      <x:c r="A631" s="30" t="n">
        <x:v>45104</x:v>
      </x:c>
      <x:c r="B631" s="38" t="n">
        <x:v>4378.41</x:v>
      </x:c>
      <x:c r="C631" s="34" t="n">
        <x:f>(B631/B630-1)*100</x:f>
        <x:v>1.1455777787018118</x:v>
      </x:c>
      <x:c r="D631" s="34" t="n">
        <x:f>Assumptions!$B$4*D630+(1-Assumptions!$B$4)*C630^2</x:f>
        <x:v>0.5162530944939394</x:v>
      </x:c>
      <x:c r="E631" s="34" t="n">
        <x:f>SQRT(D631)</x:f>
        <x:v>0.7185075465810636</x:v>
      </x:c>
      <x:c r="F631" s="34" t="n">
        <x:f>-Assumptions!$B$7*E631</x:f>
        <x:v>1.1818397439858668</x:v>
      </x:c>
      <x:c r="G631" s="34" t="n">
        <x:f>-Assumptions!$B$8*E631</x:f>
        <x:v>1.6714985034711574</x:v>
      </x:c>
      <x:c r="H631" s="34" t="n">
        <x:f>-Assumptions!$B$9*E631</x:f>
        <x:v>1.1214823132020701</x:v>
      </x:c>
      <x:c r="I631" s="34" t="n">
        <x:f>-Assumptions!$B$10*E631</x:f>
        <x:v>1.8727637436659814</x:v>
      </x:c>
      <x:c r="J631" s="36" t="n">
        <x:f>IF(C631&lt;-F631,1,0)</x:f>
        <x:v>0</x:v>
      </x:c>
      <x:c r="K631" s="36" t="n">
        <x:f>IF(C631&lt;-G631,1,0)</x:f>
        <x:v>0</x:v>
      </x:c>
      <x:c r="L631" s="36" t="n">
        <x:f>IF(C631&lt;-H631,1,0)</x:f>
        <x:v>0</x:v>
      </x:c>
      <x:c r="M631" s="36" t="n">
        <x:f>IF(C631&lt;-I631,1,0)</x:f>
        <x:v>0</x:v>
      </x:c>
      <x:c r="N631" s="34" t="n">
        <x:f>-F631</x:f>
        <x:v>-1.1818397439858668</x:v>
      </x:c>
      <x:c r="O631" s="34" t="n">
        <x:f>-H631</x:f>
        <x:v>-1.1214823132020701</x:v>
      </x:c>
      <x:c r="P631" s="34" t="n">
        <x:f>-G631</x:f>
        <x:v>-1.6714985034711574</x:v>
      </x:c>
      <x:c r="Q631" s="34" t="n">
        <x:f>-I631</x:f>
        <x:v>-1.8727637436659814</x:v>
      </x:c>
      <x:c r="R631" s="36" t="n">
        <x:f>YEAR(A631)</x:f>
        <x:v>2023</x:v>
      </x:c>
    </x:row>
    <x:row r="632">
      <x:c r="A632" s="30" t="n">
        <x:v>45105</x:v>
      </x:c>
      <x:c r="B632" s="38" t="n">
        <x:v>4376.86</x:v>
      </x:c>
      <x:c r="C632" s="34" t="n">
        <x:f>(B632/B631-1)*100</x:f>
        <x:v>-0.035400978894173374</x:v>
      </x:c>
      <x:c r="D632" s="34" t="n">
        <x:f>Assumptions!$B$4*D631+(1-Assumptions!$B$4)*C631^2</x:f>
        <x:v>0.5640188156476257</x:v>
      </x:c>
      <x:c r="E632" s="34" t="n">
        <x:f>SQRT(D632)</x:f>
        <x:v>0.7510118611897056</x:v>
      </x:c>
      <x:c r="F632" s="34" t="n">
        <x:f>-Assumptions!$B$7*E632</x:f>
        <x:v>1.2353045837614633</x:v>
      </x:c>
      <x:c r="G632" s="34" t="n">
        <x:f>-Assumptions!$B$8*E632</x:f>
        <x:v>1.7471148466581263</x:v>
      </x:c>
      <x:c r="H632" s="34" t="n">
        <x:f>-Assumptions!$B$9*E632</x:f>
        <x:v>1.1722166640238605</x:v>
      </x:c>
      <x:c r="I632" s="34" t="n">
        <x:f>-Assumptions!$B$10*E632</x:f>
        <x:v>1.9574850555038794</x:v>
      </x:c>
      <x:c r="J632" s="36" t="n">
        <x:f>IF(C632&lt;-F632,1,0)</x:f>
        <x:v>0</x:v>
      </x:c>
      <x:c r="K632" s="36" t="n">
        <x:f>IF(C632&lt;-G632,1,0)</x:f>
        <x:v>0</x:v>
      </x:c>
      <x:c r="L632" s="36" t="n">
        <x:f>IF(C632&lt;-H632,1,0)</x:f>
        <x:v>0</x:v>
      </x:c>
      <x:c r="M632" s="36" t="n">
        <x:f>IF(C632&lt;-I632,1,0)</x:f>
        <x:v>0</x:v>
      </x:c>
      <x:c r="N632" s="34" t="n">
        <x:f>-F632</x:f>
        <x:v>-1.2353045837614633</x:v>
      </x:c>
      <x:c r="O632" s="34" t="n">
        <x:f>-H632</x:f>
        <x:v>-1.1722166640238605</x:v>
      </x:c>
      <x:c r="P632" s="34" t="n">
        <x:f>-G632</x:f>
        <x:v>-1.7471148466581263</x:v>
      </x:c>
      <x:c r="Q632" s="34" t="n">
        <x:f>-I632</x:f>
        <x:v>-1.9574850555038794</x:v>
      </x:c>
      <x:c r="R632" s="36" t="n">
        <x:f>YEAR(A632)</x:f>
        <x:v>2023</x:v>
      </x:c>
    </x:row>
    <x:row r="633">
      <x:c r="A633" s="30" t="n">
        <x:v>45106</x:v>
      </x:c>
      <x:c r="B633" s="38" t="n">
        <x:v>4396.44</x:v>
      </x:c>
      <x:c r="C633" s="34" t="n">
        <x:f>(B633/B632-1)*100</x:f>
        <x:v>0.4473526683512752</x:v>
      </x:c>
      <x:c r="D633" s="34" t="n">
        <x:f>Assumptions!$B$4*D632+(1-Assumptions!$B$4)*C632^2</x:f>
        <x:v>0.530252880467168</x:v>
      </x:c>
      <x:c r="E633" s="34" t="n">
        <x:f>SQRT(D633)</x:f>
        <x:v>0.728184647233906</x:v>
      </x:c>
      <x:c r="F633" s="34" t="n">
        <x:f>-Assumptions!$B$7*E633</x:f>
        <x:v>1.197757158093069</x:v>
      </x:c>
      <x:c r="G633" s="34" t="n">
        <x:f>-Assumptions!$B$8*E633</x:f>
        <x:v>1.6940108060017764</x:v>
      </x:c>
      <x:c r="H633" s="34" t="n">
        <x:f>-Assumptions!$B$9*E633</x:f>
        <x:v>1.1365868131852368</x:v>
      </x:c>
      <x:c r="I633" s="34" t="n">
        <x:f>-Assumptions!$B$10*E633</x:f>
        <x:v>1.8979867539637654</x:v>
      </x:c>
      <x:c r="J633" s="36" t="n">
        <x:f>IF(C633&lt;-F633,1,0)</x:f>
        <x:v>0</x:v>
      </x:c>
      <x:c r="K633" s="36" t="n">
        <x:f>IF(C633&lt;-G633,1,0)</x:f>
        <x:v>0</x:v>
      </x:c>
      <x:c r="L633" s="36" t="n">
        <x:f>IF(C633&lt;-H633,1,0)</x:f>
        <x:v>0</x:v>
      </x:c>
      <x:c r="M633" s="36" t="n">
        <x:f>IF(C633&lt;-I633,1,0)</x:f>
        <x:v>0</x:v>
      </x:c>
      <x:c r="N633" s="34" t="n">
        <x:f>-F633</x:f>
        <x:v>-1.197757158093069</x:v>
      </x:c>
      <x:c r="O633" s="34" t="n">
        <x:f>-H633</x:f>
        <x:v>-1.1365868131852368</x:v>
      </x:c>
      <x:c r="P633" s="34" t="n">
        <x:f>-G633</x:f>
        <x:v>-1.6940108060017764</x:v>
      </x:c>
      <x:c r="Q633" s="34" t="n">
        <x:f>-I633</x:f>
        <x:v>-1.8979867539637654</x:v>
      </x:c>
      <x:c r="R633" s="36" t="n">
        <x:f>YEAR(A633)</x:f>
        <x:v>2023</x:v>
      </x:c>
    </x:row>
    <x:row r="634">
      <x:c r="A634" s="30" t="n">
        <x:v>45107</x:v>
      </x:c>
      <x:c r="B634" s="38" t="n">
        <x:v>4450.38</x:v>
      </x:c>
      <x:c r="C634" s="34" t="n">
        <x:f>(B634/B633-1)*100</x:f>
        <x:v>1.2269017659743087</x:v>
      </x:c>
      <x:c r="D634" s="34" t="n">
        <x:f>Assumptions!$B$4*D633+(1-Assumptions!$B$4)*C633^2</x:f>
        <x:v>0.5104451722319983</x:v>
      </x:c>
      <x:c r="E634" s="34" t="n">
        <x:f>SQRT(D634)</x:f>
        <x:v>0.7144544577732007</x:v>
      </x:c>
      <x:c r="F634" s="34" t="n">
        <x:f>-Assumptions!$B$7*E634</x:f>
        <x:v>1.175173006159897</x:v>
      </x:c>
      <x:c r="G634" s="34" t="n">
        <x:f>-Assumptions!$B$8*E634</x:f>
        <x:v>1.6620696089396867</x:v>
      </x:c>
      <x:c r="H634" s="34" t="n">
        <x:f>-Assumptions!$B$9*E634</x:f>
        <x:v>1.1151560506130622</x:v>
      </x:c>
      <x:c r="I634" s="34" t="n">
        <x:f>-Assumptions!$B$10*E634</x:f>
        <x:v>1.8621995153494628</x:v>
      </x:c>
      <x:c r="J634" s="36" t="n">
        <x:f>IF(C634&lt;-F634,1,0)</x:f>
        <x:v>0</x:v>
      </x:c>
      <x:c r="K634" s="36" t="n">
        <x:f>IF(C634&lt;-G634,1,0)</x:f>
        <x:v>0</x:v>
      </x:c>
      <x:c r="L634" s="36" t="n">
        <x:f>IF(C634&lt;-H634,1,0)</x:f>
        <x:v>0</x:v>
      </x:c>
      <x:c r="M634" s="36" t="n">
        <x:f>IF(C634&lt;-I634,1,0)</x:f>
        <x:v>0</x:v>
      </x:c>
      <x:c r="N634" s="34" t="n">
        <x:f>-F634</x:f>
        <x:v>-1.175173006159897</x:v>
      </x:c>
      <x:c r="O634" s="34" t="n">
        <x:f>-H634</x:f>
        <x:v>-1.1151560506130622</x:v>
      </x:c>
      <x:c r="P634" s="34" t="n">
        <x:f>-G634</x:f>
        <x:v>-1.6620696089396867</x:v>
      </x:c>
      <x:c r="Q634" s="34" t="n">
        <x:f>-I634</x:f>
        <x:v>-1.8621995153494628</x:v>
      </x:c>
      <x:c r="R634" s="36" t="n">
        <x:f>YEAR(A634)</x:f>
        <x:v>2023</x:v>
      </x:c>
    </x:row>
    <x:row r="635">
      <x:c r="A635" s="30" t="n">
        <x:v>45110</x:v>
      </x:c>
      <x:c r="B635" s="38" t="n">
        <x:v>4455.59</x:v>
      </x:c>
      <x:c r="C635" s="34" t="n">
        <x:f>(B635/B634-1)*100</x:f>
        <x:v>0.11706865481149187</x:v>
      </x:c>
      <x:c r="D635" s="34" t="n">
        <x:f>Assumptions!$B$4*D634+(1-Assumptions!$B$4)*C634^2</x:f>
        <x:v>0.570135738499131</x:v>
      </x:c>
      <x:c r="E635" s="34" t="n">
        <x:f>SQRT(D635)</x:f>
        <x:v>0.7550733331929628</x:v>
      </x:c>
      <x:c r="F635" s="34" t="n">
        <x:f>-Assumptions!$B$7*E635</x:f>
        <x:v>1.2419851107167827</x:v>
      </x:c>
      <x:c r="G635" s="34" t="n">
        <x:f>-Assumptions!$B$8*E635</x:f>
        <x:v>1.75656324341838</x:v>
      </x:c>
      <x:c r="H635" s="34" t="n">
        <x:f>-Assumptions!$B$9*E635</x:f>
        <x:v>1.1785560115211724</x:v>
      </x:c>
      <x:c r="I635" s="34" t="n">
        <x:f>-Assumptions!$B$10*E635</x:f>
        <x:v>1.9680711343137784</x:v>
      </x:c>
      <x:c r="J635" s="36" t="n">
        <x:f>IF(C635&lt;-F635,1,0)</x:f>
        <x:v>0</x:v>
      </x:c>
      <x:c r="K635" s="36" t="n">
        <x:f>IF(C635&lt;-G635,1,0)</x:f>
        <x:v>0</x:v>
      </x:c>
      <x:c r="L635" s="36" t="n">
        <x:f>IF(C635&lt;-H635,1,0)</x:f>
        <x:v>0</x:v>
      </x:c>
      <x:c r="M635" s="36" t="n">
        <x:f>IF(C635&lt;-I635,1,0)</x:f>
        <x:v>0</x:v>
      </x:c>
      <x:c r="N635" s="34" t="n">
        <x:f>-F635</x:f>
        <x:v>-1.2419851107167827</x:v>
      </x:c>
      <x:c r="O635" s="34" t="n">
        <x:f>-H635</x:f>
        <x:v>-1.1785560115211724</x:v>
      </x:c>
      <x:c r="P635" s="34" t="n">
        <x:f>-G635</x:f>
        <x:v>-1.75656324341838</x:v>
      </x:c>
      <x:c r="Q635" s="34" t="n">
        <x:f>-I635</x:f>
        <x:v>-1.9680711343137784</x:v>
      </x:c>
      <x:c r="R635" s="36" t="n">
        <x:f>YEAR(A635)</x:f>
        <x:v>2023</x:v>
      </x:c>
    </x:row>
    <x:row r="636">
      <x:c r="A636" s="30" t="n">
        <x:v>45112</x:v>
      </x:c>
      <x:c r="B636" s="38" t="n">
        <x:v>4446.82</x:v>
      </x:c>
      <x:c r="C636" s="34" t="n">
        <x:f>(B636/B635-1)*100</x:f>
        <x:v>-0.19683139606652134</x:v>
      </x:c>
      <x:c r="D636" s="34" t="n">
        <x:f>Assumptions!$B$4*D635+(1-Assumptions!$B$4)*C635^2</x:f>
        <x:v>0.5367498983855454</x:v>
      </x:c>
      <x:c r="E636" s="34" t="n">
        <x:f>SQRT(D636)</x:f>
        <x:v>0.7326321712739248</x:v>
      </x:c>
      <x:c r="F636" s="34" t="n">
        <x:f>-Assumptions!$B$7*E636</x:f>
        <x:v>1.2050726841412478</x:v>
      </x:c>
      <x:c r="G636" s="34" t="n">
        <x:f>-Assumptions!$B$8*E636</x:f>
        <x:v>1.7043572940970197</x:v>
      </x:c>
      <x:c r="H636" s="34" t="n">
        <x:f>-Assumptions!$B$9*E636</x:f>
        <x:v>1.1435287299015693</x:v>
      </x:c>
      <x:c r="I636" s="34" t="n">
        <x:f>-Assumptions!$B$10*E636</x:f>
        <x:v>1.9095790633429268</x:v>
      </x:c>
      <x:c r="J636" s="36" t="n">
        <x:f>IF(C636&lt;-F636,1,0)</x:f>
        <x:v>0</x:v>
      </x:c>
      <x:c r="K636" s="36" t="n">
        <x:f>IF(C636&lt;-G636,1,0)</x:f>
        <x:v>0</x:v>
      </x:c>
      <x:c r="L636" s="36" t="n">
        <x:f>IF(C636&lt;-H636,1,0)</x:f>
        <x:v>0</x:v>
      </x:c>
      <x:c r="M636" s="36" t="n">
        <x:f>IF(C636&lt;-I636,1,0)</x:f>
        <x:v>0</x:v>
      </x:c>
      <x:c r="N636" s="34" t="n">
        <x:f>-F636</x:f>
        <x:v>-1.2050726841412478</x:v>
      </x:c>
      <x:c r="O636" s="34" t="n">
        <x:f>-H636</x:f>
        <x:v>-1.1435287299015693</x:v>
      </x:c>
      <x:c r="P636" s="34" t="n">
        <x:f>-G636</x:f>
        <x:v>-1.7043572940970197</x:v>
      </x:c>
      <x:c r="Q636" s="34" t="n">
        <x:f>-I636</x:f>
        <x:v>-1.9095790633429268</x:v>
      </x:c>
      <x:c r="R636" s="36" t="n">
        <x:f>YEAR(A636)</x:f>
        <x:v>2023</x:v>
      </x:c>
    </x:row>
    <x:row r="637">
      <x:c r="A637" s="30" t="n">
        <x:v>45113</x:v>
      </x:c>
      <x:c r="B637" s="38" t="n">
        <x:v>4411.59</x:v>
      </x:c>
      <x:c r="C637" s="34" t="n">
        <x:f>(B637/B636-1)*100</x:f>
        <x:v>-0.7922515415510367</x:v>
      </x:c>
      <x:c r="D637" s="34" t="n">
        <x:f>Assumptions!$B$4*D636+(1-Assumptions!$B$4)*C636^2</x:f>
        <x:v>0.5068694603910624</x:v>
      </x:c>
      <x:c r="E637" s="34" t="n">
        <x:f>SQRT(D637)</x:f>
        <x:v>0.7119476528446894</x:v>
      </x:c>
      <x:c r="F637" s="34" t="n">
        <x:f>-Assumptions!$B$7*E637</x:f>
        <x:v>1.1710496789811755</x:v>
      </x:c>
      <x:c r="G637" s="34" t="n">
        <x:f>-Assumptions!$B$8*E637</x:f>
        <x:v>1.6562379086236094</x:v>
      </x:c>
      <x:c r="H637" s="34" t="n">
        <x:f>-Assumptions!$B$9*E637</x:f>
        <x:v>1.1112433048063541</x:v>
      </x:c>
      <x:c r="I637" s="34" t="n">
        <x:f>-Assumptions!$B$10*E637</x:f>
        <x:v>1.8556656196306243</x:v>
      </x:c>
      <x:c r="J637" s="36" t="n">
        <x:f>IF(C637&lt;-F637,1,0)</x:f>
        <x:v>0</x:v>
      </x:c>
      <x:c r="K637" s="36" t="n">
        <x:f>IF(C637&lt;-G637,1,0)</x:f>
        <x:v>0</x:v>
      </x:c>
      <x:c r="L637" s="36" t="n">
        <x:f>IF(C637&lt;-H637,1,0)</x:f>
        <x:v>0</x:v>
      </x:c>
      <x:c r="M637" s="36" t="n">
        <x:f>IF(C637&lt;-I637,1,0)</x:f>
        <x:v>0</x:v>
      </x:c>
      <x:c r="N637" s="34" t="n">
        <x:f>-F637</x:f>
        <x:v>-1.1710496789811755</x:v>
      </x:c>
      <x:c r="O637" s="34" t="n">
        <x:f>-H637</x:f>
        <x:v>-1.1112433048063541</x:v>
      </x:c>
      <x:c r="P637" s="34" t="n">
        <x:f>-G637</x:f>
        <x:v>-1.6562379086236094</x:v>
      </x:c>
      <x:c r="Q637" s="34" t="n">
        <x:f>-I637</x:f>
        <x:v>-1.8556656196306243</x:v>
      </x:c>
      <x:c r="R637" s="36" t="n">
        <x:f>YEAR(A637)</x:f>
        <x:v>2023</x:v>
      </x:c>
    </x:row>
    <x:row r="638">
      <x:c r="A638" s="30" t="n">
        <x:v>45114</x:v>
      </x:c>
      <x:c r="B638" s="38" t="n">
        <x:v>4398.95</x:v>
      </x:c>
      <x:c r="C638" s="34" t="n">
        <x:f>(B638/B637-1)*100</x:f>
        <x:v>-0.28651801277997935</x:v>
      </x:c>
      <x:c r="D638" s="34" t="n">
        <x:f>Assumptions!$B$4*D637+(1-Assumptions!$B$4)*C637^2</x:f>
        <x:v>0.5141170430729983</x:v>
      </x:c>
      <x:c r="E638" s="34" t="n">
        <x:f>SQRT(D638)</x:f>
        <x:v>0.7170195555722301</x:v>
      </x:c>
      <x:c r="F638" s="34" t="n">
        <x:f>-Assumptions!$B$7*E638</x:f>
        <x:v>1.1793922165781159</x:v>
      </x:c>
      <x:c r="G638" s="34" t="n">
        <x:f>-Assumptions!$B$8*E638</x:f>
        <x:v>1.6680369187511657</x:v>
      </x:c>
      <x:c r="H638" s="34" t="n">
        <x:f>-Assumptions!$B$9*E638</x:f>
        <x:v>1.1191597828312325</x:v>
      </x:c>
      <x:c r="I638" s="34" t="n">
        <x:f>-Assumptions!$B$10*E638</x:f>
        <x:v>1.8688853493115944</x:v>
      </x:c>
      <x:c r="J638" s="36" t="n">
        <x:f>IF(C638&lt;-F638,1,0)</x:f>
        <x:v>0</x:v>
      </x:c>
      <x:c r="K638" s="36" t="n">
        <x:f>IF(C638&lt;-G638,1,0)</x:f>
        <x:v>0</x:v>
      </x:c>
      <x:c r="L638" s="36" t="n">
        <x:f>IF(C638&lt;-H638,1,0)</x:f>
        <x:v>0</x:v>
      </x:c>
      <x:c r="M638" s="36" t="n">
        <x:f>IF(C638&lt;-I638,1,0)</x:f>
        <x:v>0</x:v>
      </x:c>
      <x:c r="N638" s="34" t="n">
        <x:f>-F638</x:f>
        <x:v>-1.1793922165781159</x:v>
      </x:c>
      <x:c r="O638" s="34" t="n">
        <x:f>-H638</x:f>
        <x:v>-1.1191597828312325</x:v>
      </x:c>
      <x:c r="P638" s="34" t="n">
        <x:f>-G638</x:f>
        <x:v>-1.6680369187511657</x:v>
      </x:c>
      <x:c r="Q638" s="34" t="n">
        <x:f>-I638</x:f>
        <x:v>-1.8688853493115944</x:v>
      </x:c>
      <x:c r="R638" s="36" t="n">
        <x:f>YEAR(A638)</x:f>
        <x:v>2023</x:v>
      </x:c>
    </x:row>
    <x:row r="639">
      <x:c r="A639" s="30" t="n">
        <x:v>45117</x:v>
      </x:c>
      <x:c r="B639" s="38" t="n">
        <x:v>4409.53</x:v>
      </x:c>
      <x:c r="C639" s="34" t="n">
        <x:f>(B639/B638-1)*100</x:f>
        <x:v>0.24051194034939716</x:v>
      </x:c>
      <x:c r="D639" s="34" t="n">
        <x:f>Assumptions!$B$4*D638+(1-Assumptions!$B$4)*C638^2</x:f>
        <x:v>0.4881955747874617</x:v>
      </x:c>
      <x:c r="E639" s="34" t="n">
        <x:f>SQRT(D639)</x:f>
        <x:v>0.6987099360875453</x:v>
      </x:c>
      <x:c r="F639" s="34" t="n">
        <x:f>-Assumptions!$B$7*E639</x:f>
        <x:v>1.1492755725606307</x:v>
      </x:c>
      <x:c r="G639" s="34" t="n">
        <x:f>-Assumptions!$B$8*E639</x:f>
        <x:v>1.6254423743884723</x:v>
      </x:c>
      <x:c r="H639" s="34" t="n">
        <x:f>-Assumptions!$B$9*E639</x:f>
        <x:v>1.0905812181227026</x:v>
      </x:c>
      <x:c r="I639" s="34" t="n">
        <x:f>-Assumptions!$B$10*E639</x:f>
        <x:v>1.8211619931765044</x:v>
      </x:c>
      <x:c r="J639" s="36" t="n">
        <x:f>IF(C639&lt;-F639,1,0)</x:f>
        <x:v>0</x:v>
      </x:c>
      <x:c r="K639" s="36" t="n">
        <x:f>IF(C639&lt;-G639,1,0)</x:f>
        <x:v>0</x:v>
      </x:c>
      <x:c r="L639" s="36" t="n">
        <x:f>IF(C639&lt;-H639,1,0)</x:f>
        <x:v>0</x:v>
      </x:c>
      <x:c r="M639" s="36" t="n">
        <x:f>IF(C639&lt;-I639,1,0)</x:f>
        <x:v>0</x:v>
      </x:c>
      <x:c r="N639" s="34" t="n">
        <x:f>-F639</x:f>
        <x:v>-1.1492755725606307</x:v>
      </x:c>
      <x:c r="O639" s="34" t="n">
        <x:f>-H639</x:f>
        <x:v>-1.0905812181227026</x:v>
      </x:c>
      <x:c r="P639" s="34" t="n">
        <x:f>-G639</x:f>
        <x:v>-1.6254423743884723</x:v>
      </x:c>
      <x:c r="Q639" s="34" t="n">
        <x:f>-I639</x:f>
        <x:v>-1.8211619931765044</x:v>
      </x:c>
      <x:c r="R639" s="36" t="n">
        <x:f>YEAR(A639)</x:f>
        <x:v>2023</x:v>
      </x:c>
    </x:row>
    <x:row r="640">
      <x:c r="A640" s="30" t="n">
        <x:v>45118</x:v>
      </x:c>
      <x:c r="B640" s="38" t="n">
        <x:v>4439.26</x:v>
      </x:c>
      <x:c r="C640" s="34" t="n">
        <x:f>(B640/B639-1)*100</x:f>
        <x:v>0.6742215156717579</x:v>
      </x:c>
      <x:c r="D640" s="34" t="n">
        <x:f>Assumptions!$B$4*D639+(1-Assumptions!$B$4)*C639^2</x:f>
        <x:v>0.4623745999072519</x:v>
      </x:c>
      <x:c r="E640" s="34" t="n">
        <x:f>SQRT(D640)</x:f>
        <x:v>0.6799813232047274</x:v>
      </x:c>
      <x:c r="F640" s="34" t="n">
        <x:f>-Assumptions!$B$7*E640</x:f>
        <x:v>1.1184697457325576</x:v>
      </x:c>
      <x:c r="G640" s="34" t="n">
        <x:f>-Assumptions!$B$8*E640</x:f>
        <x:v>1.581873105624795</x:v>
      </x:c>
      <x:c r="H640" s="34" t="n">
        <x:f>-Assumptions!$B$9*E640</x:f>
        <x:v>1.0613486676800066</x:v>
      </x:c>
      <x:c r="I640" s="34" t="n">
        <x:f>-Assumptions!$B$10*E640</x:f>
        <x:v>1.7723465460138492</x:v>
      </x:c>
      <x:c r="J640" s="36" t="n">
        <x:f>IF(C640&lt;-F640,1,0)</x:f>
        <x:v>0</x:v>
      </x:c>
      <x:c r="K640" s="36" t="n">
        <x:f>IF(C640&lt;-G640,1,0)</x:f>
        <x:v>0</x:v>
      </x:c>
      <x:c r="L640" s="36" t="n">
        <x:f>IF(C640&lt;-H640,1,0)</x:f>
        <x:v>0</x:v>
      </x:c>
      <x:c r="M640" s="36" t="n">
        <x:f>IF(C640&lt;-I640,1,0)</x:f>
        <x:v>0</x:v>
      </x:c>
      <x:c r="N640" s="34" t="n">
        <x:f>-F640</x:f>
        <x:v>-1.1184697457325576</x:v>
      </x:c>
      <x:c r="O640" s="34" t="n">
        <x:f>-H640</x:f>
        <x:v>-1.0613486676800066</x:v>
      </x:c>
      <x:c r="P640" s="34" t="n">
        <x:f>-G640</x:f>
        <x:v>-1.581873105624795</x:v>
      </x:c>
      <x:c r="Q640" s="34" t="n">
        <x:f>-I640</x:f>
        <x:v>-1.7723465460138492</x:v>
      </x:c>
      <x:c r="R640" s="36" t="n">
        <x:f>YEAR(A640)</x:f>
        <x:v>2023</x:v>
      </x:c>
    </x:row>
    <x:row r="641">
      <x:c r="A641" s="30" t="n">
        <x:v>45119</x:v>
      </x:c>
      <x:c r="B641" s="38" t="n">
        <x:v>4472.16</x:v>
      </x:c>
      <x:c r="C641" s="34" t="n">
        <x:f>(B641/B640-1)*100</x:f>
        <x:v>0.7411145100759908</x:v>
      </x:c>
      <x:c r="D641" s="34" t="n">
        <x:f>Assumptions!$B$4*D640+(1-Assumptions!$B$4)*C640^2</x:f>
        <x:v>0.4619066030445001</x:v>
      </x:c>
      <x:c r="E641" s="34" t="n">
        <x:f>SQRT(D641)</x:f>
        <x:v>0.6796371112913863</x:v>
      </x:c>
      <x:c r="F641" s="34" t="n">
        <x:f>-Assumptions!$B$7*E641</x:f>
        <x:v>1.1179035675184585</x:v>
      </x:c>
      <x:c r="G641" s="34" t="n">
        <x:f>-Assumptions!$B$8*E641</x:f>
        <x:v>1.5810723489719745</x:v>
      </x:c>
      <x:c r="H641" s="34" t="n">
        <x:f>-Assumptions!$B$9*E641</x:f>
        <x:v>1.0608114046065116</x:v>
      </x:c>
      <x:c r="I641" s="34" t="n">
        <x:f>-Assumptions!$B$10*E641</x:f>
        <x:v>1.771449370201973</x:v>
      </x:c>
      <x:c r="J641" s="36" t="n">
        <x:f>IF(C641&lt;-F641,1,0)</x:f>
        <x:v>0</x:v>
      </x:c>
      <x:c r="K641" s="36" t="n">
        <x:f>IF(C641&lt;-G641,1,0)</x:f>
        <x:v>0</x:v>
      </x:c>
      <x:c r="L641" s="36" t="n">
        <x:f>IF(C641&lt;-H641,1,0)</x:f>
        <x:v>0</x:v>
      </x:c>
      <x:c r="M641" s="36" t="n">
        <x:f>IF(C641&lt;-I641,1,0)</x:f>
        <x:v>0</x:v>
      </x:c>
      <x:c r="N641" s="34" t="n">
        <x:f>-F641</x:f>
        <x:v>-1.1179035675184585</x:v>
      </x:c>
      <x:c r="O641" s="34" t="n">
        <x:f>-H641</x:f>
        <x:v>-1.0608114046065116</x:v>
      </x:c>
      <x:c r="P641" s="34" t="n">
        <x:f>-G641</x:f>
        <x:v>-1.5810723489719745</x:v>
      </x:c>
      <x:c r="Q641" s="34" t="n">
        <x:f>-I641</x:f>
        <x:v>-1.771449370201973</x:v>
      </x:c>
      <x:c r="R641" s="36" t="n">
        <x:f>YEAR(A641)</x:f>
        <x:v>2023</x:v>
      </x:c>
    </x:row>
    <x:row r="642">
      <x:c r="A642" s="30" t="n">
        <x:v>45120</x:v>
      </x:c>
      <x:c r="B642" s="38" t="n">
        <x:v>4510.04</x:v>
      </x:c>
      <x:c r="C642" s="34" t="n">
        <x:f>(B642/B641-1)*100</x:f>
        <x:v>0.8470179957783319</x:v>
      </x:c>
      <x:c r="D642" s="34" t="n">
        <x:f>Assumptions!$B$4*D641+(1-Assumptions!$B$4)*C641^2</x:f>
        <x:v>0.46714724988454065</x:v>
      </x:c>
      <x:c r="E642" s="34" t="n">
        <x:f>SQRT(D642)</x:f>
        <x:v>0.683481711448478</x:v>
      </x:c>
      <x:c r="F642" s="34" t="n">
        <x:f>-Assumptions!$B$7*E642</x:f>
        <x:v>1.1242273720310292</x:v>
      </x:c>
      <x:c r="G642" s="34" t="n">
        <x:f>-Assumptions!$B$8*E642</x:f>
        <x:v>1.590016226373962</x:v>
      </x:c>
      <x:c r="H642" s="34" t="n">
        <x:f>-Assumptions!$B$9*E642</x:f>
        <x:v>1.0668122477403503</x:v>
      </x:c>
      <x:c r="I642" s="34" t="n">
        <x:f>-Assumptions!$B$10*E642</x:f>
        <x:v>1.781470180445866</x:v>
      </x:c>
      <x:c r="J642" s="36" t="n">
        <x:f>IF(C642&lt;-F642,1,0)</x:f>
        <x:v>0</x:v>
      </x:c>
      <x:c r="K642" s="36" t="n">
        <x:f>IF(C642&lt;-G642,1,0)</x:f>
        <x:v>0</x:v>
      </x:c>
      <x:c r="L642" s="36" t="n">
        <x:f>IF(C642&lt;-H642,1,0)</x:f>
        <x:v>0</x:v>
      </x:c>
      <x:c r="M642" s="36" t="n">
        <x:f>IF(C642&lt;-I642,1,0)</x:f>
        <x:v>0</x:v>
      </x:c>
      <x:c r="N642" s="34" t="n">
        <x:f>-F642</x:f>
        <x:v>-1.1242273720310292</x:v>
      </x:c>
      <x:c r="O642" s="34" t="n">
        <x:f>-H642</x:f>
        <x:v>-1.0668122477403503</x:v>
      </x:c>
      <x:c r="P642" s="34" t="n">
        <x:f>-G642</x:f>
        <x:v>-1.590016226373962</x:v>
      </x:c>
      <x:c r="Q642" s="34" t="n">
        <x:f>-I642</x:f>
        <x:v>-1.781470180445866</x:v>
      </x:c>
      <x:c r="R642" s="36" t="n">
        <x:f>YEAR(A642)</x:f>
        <x:v>2023</x:v>
      </x:c>
    </x:row>
    <x:row r="643">
      <x:c r="A643" s="30" t="n">
        <x:v>45121</x:v>
      </x:c>
      <x:c r="B643" s="38" t="n">
        <x:v>4505.42</x:v>
      </x:c>
      <x:c r="C643" s="34" t="n">
        <x:f>(B643/B642-1)*100</x:f>
        <x:v>-0.10243811584819129</x:v>
      </x:c>
      <x:c r="D643" s="34" t="n">
        <x:f>Assumptions!$B$4*D642+(1-Assumptions!$B$4)*C642^2</x:f>
        <x:v>0.4821647840018088</x:v>
      </x:c>
      <x:c r="E643" s="34" t="n">
        <x:f>SQRT(D643)</x:f>
        <x:v>0.6943808637929251</x:v>
      </x:c>
      <x:c r="F643" s="34" t="n">
        <x:f>-Assumptions!$B$7*E643</x:f>
        <x:v>1.1421548822954894</x:v>
      </x:c>
      <x:c r="G643" s="34" t="n">
        <x:f>-Assumptions!$B$8*E643</x:f>
        <x:v>1.6153714462593136</x:v>
      </x:c>
      <x:c r="H643" s="34" t="n">
        <x:f>-Assumptions!$B$9*E643</x:f>
        <x:v>1.0838241867817076</x:v>
      </x:c>
      <x:c r="I643" s="34" t="n">
        <x:f>-Assumptions!$B$10*E643</x:f>
        <x:v>1.8098784239563181</x:v>
      </x:c>
      <x:c r="J643" s="36" t="n">
        <x:f>IF(C643&lt;-F643,1,0)</x:f>
        <x:v>0</x:v>
      </x:c>
      <x:c r="K643" s="36" t="n">
        <x:f>IF(C643&lt;-G643,1,0)</x:f>
        <x:v>0</x:v>
      </x:c>
      <x:c r="L643" s="36" t="n">
        <x:f>IF(C643&lt;-H643,1,0)</x:f>
        <x:v>0</x:v>
      </x:c>
      <x:c r="M643" s="36" t="n">
        <x:f>IF(C643&lt;-I643,1,0)</x:f>
        <x:v>0</x:v>
      </x:c>
      <x:c r="N643" s="34" t="n">
        <x:f>-F643</x:f>
        <x:v>-1.1421548822954894</x:v>
      </x:c>
      <x:c r="O643" s="34" t="n">
        <x:f>-H643</x:f>
        <x:v>-1.0838241867817076</x:v>
      </x:c>
      <x:c r="P643" s="34" t="n">
        <x:f>-G643</x:f>
        <x:v>-1.6153714462593136</x:v>
      </x:c>
      <x:c r="Q643" s="34" t="n">
        <x:f>-I643</x:f>
        <x:v>-1.8098784239563181</x:v>
      </x:c>
      <x:c r="R643" s="36" t="n">
        <x:f>YEAR(A643)</x:f>
        <x:v>2023</x:v>
      </x:c>
    </x:row>
    <x:row r="644">
      <x:c r="A644" s="30" t="n">
        <x:v>45124</x:v>
      </x:c>
      <x:c r="B644" s="38" t="n">
        <x:v>4522.79</x:v>
      </x:c>
      <x:c r="C644" s="34" t="n">
        <x:f>(B644/B643-1)*100</x:f>
        <x:v>0.3855356437357571</x:v>
      </x:c>
      <x:c r="D644" s="34" t="n">
        <x:f>Assumptions!$B$4*D643+(1-Assumptions!$B$4)*C643^2</x:f>
        <x:v>0.45386451101641184</x:v>
      </x:c>
      <x:c r="E644" s="34" t="n">
        <x:f>SQRT(D644)</x:f>
        <x:v>0.673694671951925</x:v>
      </x:c>
      <x:c r="F644" s="34" t="n">
        <x:f>-Assumptions!$B$7*E644</x:f>
        <x:v>1.1081291246180065</x:v>
      </x:c>
      <x:c r="G644" s="34" t="n">
        <x:f>-Assumptions!$B$8*E644</x:f>
        <x:v>1.5672481678480021</x:v>
      </x:c>
      <x:c r="H644" s="34" t="n">
        <x:f>-Assumptions!$B$9*E644</x:f>
        <x:v>1.051536149742184</x:v>
      </x:c>
      <x:c r="I644" s="34" t="n">
        <x:f>-Assumptions!$B$10*E644</x:f>
        <x:v>1.7559606185572163</x:v>
      </x:c>
      <x:c r="J644" s="36" t="n">
        <x:f>IF(C644&lt;-F644,1,0)</x:f>
        <x:v>0</x:v>
      </x:c>
      <x:c r="K644" s="36" t="n">
        <x:f>IF(C644&lt;-G644,1,0)</x:f>
        <x:v>0</x:v>
      </x:c>
      <x:c r="L644" s="36" t="n">
        <x:f>IF(C644&lt;-H644,1,0)</x:f>
        <x:v>0</x:v>
      </x:c>
      <x:c r="M644" s="36" t="n">
        <x:f>IF(C644&lt;-I644,1,0)</x:f>
        <x:v>0</x:v>
      </x:c>
      <x:c r="N644" s="34" t="n">
        <x:f>-F644</x:f>
        <x:v>-1.1081291246180065</x:v>
      </x:c>
      <x:c r="O644" s="34" t="n">
        <x:f>-H644</x:f>
        <x:v>-1.051536149742184</x:v>
      </x:c>
      <x:c r="P644" s="34" t="n">
        <x:f>-G644</x:f>
        <x:v>-1.5672481678480021</x:v>
      </x:c>
      <x:c r="Q644" s="34" t="n">
        <x:f>-I644</x:f>
        <x:v>-1.7559606185572163</x:v>
      </x:c>
      <x:c r="R644" s="36" t="n">
        <x:f>YEAR(A644)</x:f>
        <x:v>2023</x:v>
      </x:c>
    </x:row>
    <x:row r="645">
      <x:c r="A645" s="30" t="n">
        <x:v>45125</x:v>
      </x:c>
      <x:c r="B645" s="38" t="n">
        <x:v>4554.98</x:v>
      </x:c>
      <x:c r="C645" s="34" t="n">
        <x:f>(B645/B644-1)*100</x:f>
        <x:v>0.7117288222535212</x:v>
      </x:c>
      <x:c r="D645" s="34" t="n">
        <x:f>Assumptions!$B$4*D644+(1-Assumptions!$B$4)*C644^2</x:f>
        <x:v>0.4355509043108718</x:v>
      </x:c>
      <x:c r="E645" s="34" t="n">
        <x:f>SQRT(D645)</x:f>
        <x:v>0.6599628052480472</x:v>
      </x:c>
      <x:c r="F645" s="34" t="n">
        <x:f>-Assumptions!$B$7*E645</x:f>
        <x:v>1.085542213865319</x:v>
      </x:c>
      <x:c r="G645" s="34" t="n">
        <x:f>-Assumptions!$B$8*E645</x:f>
        <x:v>1.5353030689348237</x:v>
      </x:c>
      <x:c r="H645" s="34" t="n">
        <x:f>-Assumptions!$B$9*E645</x:f>
        <x:v>1.0301027692454492</x:v>
      </x:c>
      <x:c r="I645" s="34" t="n">
        <x:f>-Assumptions!$B$10*E645</x:f>
        <x:v>1.7201690082696894</x:v>
      </x:c>
      <x:c r="J645" s="36" t="n">
        <x:f>IF(C645&lt;-F645,1,0)</x:f>
        <x:v>0</x:v>
      </x:c>
      <x:c r="K645" s="36" t="n">
        <x:f>IF(C645&lt;-G645,1,0)</x:f>
        <x:v>0</x:v>
      </x:c>
      <x:c r="L645" s="36" t="n">
        <x:f>IF(C645&lt;-H645,1,0)</x:f>
        <x:v>0</x:v>
      </x:c>
      <x:c r="M645" s="36" t="n">
        <x:f>IF(C645&lt;-I645,1,0)</x:f>
        <x:v>0</x:v>
      </x:c>
      <x:c r="N645" s="34" t="n">
        <x:f>-F645</x:f>
        <x:v>-1.085542213865319</x:v>
      </x:c>
      <x:c r="O645" s="34" t="n">
        <x:f>-H645</x:f>
        <x:v>-1.0301027692454492</x:v>
      </x:c>
      <x:c r="P645" s="34" t="n">
        <x:f>-G645</x:f>
        <x:v>-1.5353030689348237</x:v>
      </x:c>
      <x:c r="Q645" s="34" t="n">
        <x:f>-I645</x:f>
        <x:v>-1.7201690082696894</x:v>
      </x:c>
      <x:c r="R645" s="36" t="n">
        <x:f>YEAR(A645)</x:f>
        <x:v>2023</x:v>
      </x:c>
    </x:row>
    <x:row r="646">
      <x:c r="A646" s="30" t="n">
        <x:v>45126</x:v>
      </x:c>
      <x:c r="B646" s="38" t="n">
        <x:v>4565.72</x:v>
      </x:c>
      <x:c r="C646" s="34" t="n">
        <x:f>(B646/B645-1)*100</x:f>
        <x:v>0.23578588709500803</x:v>
      </x:c>
      <x:c r="D646" s="34" t="n">
        <x:f>Assumptions!$B$4*D645+(1-Assumptions!$B$4)*C645^2</x:f>
        <x:v>0.43981132503780257</x:v>
      </x:c>
      <x:c r="E646" s="34" t="n">
        <x:f>SQRT(D646)</x:f>
        <x:v>0.6631827237178322</x:v>
      </x:c>
      <x:c r="F646" s="34" t="n">
        <x:f>-Assumptions!$B$7*E646</x:f>
        <x:v>1.0908385084388328</x:v>
      </x:c>
      <x:c r="G646" s="34" t="n">
        <x:f>-Assumptions!$B$8*E646</x:f>
        <x:v>1.5427937194215928</x:v>
      </x:c>
      <x:c r="H646" s="34" t="n">
        <x:f>-Assumptions!$B$9*E646</x:f>
        <x:v>1.0351285781336084</x:v>
      </x:c>
      <x:c r="I646" s="34" t="n">
        <x:f>-Assumptions!$B$10*E646</x:f>
        <x:v>1.7285616084538733</x:v>
      </x:c>
      <x:c r="J646" s="36" t="n">
        <x:f>IF(C646&lt;-F646,1,0)</x:f>
        <x:v>0</x:v>
      </x:c>
      <x:c r="K646" s="36" t="n">
        <x:f>IF(C646&lt;-G646,1,0)</x:f>
        <x:v>0</x:v>
      </x:c>
      <x:c r="L646" s="36" t="n">
        <x:f>IF(C646&lt;-H646,1,0)</x:f>
        <x:v>0</x:v>
      </x:c>
      <x:c r="M646" s="36" t="n">
        <x:f>IF(C646&lt;-I646,1,0)</x:f>
        <x:v>0</x:v>
      </x:c>
      <x:c r="N646" s="34" t="n">
        <x:f>-F646</x:f>
        <x:v>-1.0908385084388328</x:v>
      </x:c>
      <x:c r="O646" s="34" t="n">
        <x:f>-H646</x:f>
        <x:v>-1.0351285781336084</x:v>
      </x:c>
      <x:c r="P646" s="34" t="n">
        <x:f>-G646</x:f>
        <x:v>-1.5427937194215928</x:v>
      </x:c>
      <x:c r="Q646" s="34" t="n">
        <x:f>-I646</x:f>
        <x:v>-1.7285616084538733</x:v>
      </x:c>
      <x:c r="R646" s="36" t="n">
        <x:f>YEAR(A646)</x:f>
        <x:v>2023</x:v>
      </x:c>
    </x:row>
    <x:row r="647">
      <x:c r="A647" s="30" t="n">
        <x:v>45127</x:v>
      </x:c>
      <x:c r="B647" s="38" t="n">
        <x:v>4534.87</x:v>
      </x:c>
      <x:c r="C647" s="34" t="n">
        <x:f>(B647/B646-1)*100</x:f>
        <x:v>-0.6756875147840957</x:v>
      </x:c>
      <x:c r="D647" s="34" t="n">
        <x:f>Assumptions!$B$4*D646+(1-Assumptions!$B$4)*C646^2</x:f>
        <x:v>0.4167583446087252</x:v>
      </x:c>
      <x:c r="E647" s="34" t="n">
        <x:f>SQRT(D647)</x:f>
        <x:v>0.645568233890675</x:v>
      </x:c>
      <x:c r="F647" s="34" t="n">
        <x:f>-Assumptions!$B$7*E647</x:f>
        <x:v>1.0618652509597335</x:v>
      </x:c>
      <x:c r="G647" s="34" t="n">
        <x:f>-Assumptions!$B$8*E647</x:f>
        <x:v>1.5018162884598716</x:v>
      </x:c>
      <x:c r="H647" s="34" t="n">
        <x:f>-Assumptions!$B$9*E647</x:f>
        <x:v>1.007635006366362</x:v>
      </x:c>
      <x:c r="I647" s="34" t="n">
        <x:f>-Assumptions!$B$10*E647</x:f>
        <x:v>1.682650082446329</x:v>
      </x:c>
      <x:c r="J647" s="36" t="n">
        <x:f>IF(C647&lt;-F647,1,0)</x:f>
        <x:v>0</x:v>
      </x:c>
      <x:c r="K647" s="36" t="n">
        <x:f>IF(C647&lt;-G647,1,0)</x:f>
        <x:v>0</x:v>
      </x:c>
      <x:c r="L647" s="36" t="n">
        <x:f>IF(C647&lt;-H647,1,0)</x:f>
        <x:v>0</x:v>
      </x:c>
      <x:c r="M647" s="36" t="n">
        <x:f>IF(C647&lt;-I647,1,0)</x:f>
        <x:v>0</x:v>
      </x:c>
      <x:c r="N647" s="34" t="n">
        <x:f>-F647</x:f>
        <x:v>-1.0618652509597335</x:v>
      </x:c>
      <x:c r="O647" s="34" t="n">
        <x:f>-H647</x:f>
        <x:v>-1.007635006366362</x:v>
      </x:c>
      <x:c r="P647" s="34" t="n">
        <x:f>-G647</x:f>
        <x:v>-1.5018162884598716</x:v>
      </x:c>
      <x:c r="Q647" s="34" t="n">
        <x:f>-I647</x:f>
        <x:v>-1.682650082446329</x:v>
      </x:c>
      <x:c r="R647" s="36" t="n">
        <x:f>YEAR(A647)</x:f>
        <x:v>2023</x:v>
      </x:c>
    </x:row>
    <x:row r="648">
      <x:c r="A648" s="30" t="n">
        <x:v>45128</x:v>
      </x:c>
      <x:c r="B648" s="38" t="n">
        <x:v>4536.34</x:v>
      </x:c>
      <x:c r="C648" s="34" t="n">
        <x:f>(B648/B647-1)*100</x:f>
        <x:v>0.032415482692993436</x:v>
      </x:c>
      <x:c r="D648" s="34" t="n">
        <x:f>Assumptions!$B$4*D647+(1-Assumptions!$B$4)*C647^2</x:f>
        <x:v>0.41914606099030816</x:v>
      </x:c>
      <x:c r="E648" s="34" t="n">
        <x:f>SQRT(D648)</x:f>
        <x:v>0.6474149063701794</x:v>
      </x:c>
      <x:c r="F648" s="34" t="n">
        <x:f>-Assumptions!$B$7*E648</x:f>
        <x:v>1.064902756885438</x:v>
      </x:c>
      <x:c r="G648" s="34" t="n">
        <x:f>-Assumptions!$B$8*E648</x:f>
        <x:v>1.5061122910566165</x:v>
      </x:c>
      <x:c r="H648" s="34" t="n">
        <x:f>-Assumptions!$B$9*E648</x:f>
        <x:v>1.0105173846154087</x:v>
      </x:c>
      <x:c r="I648" s="34" t="n">
        <x:f>-Assumptions!$B$10*E648</x:f>
        <x:v>1.687463366986621</x:v>
      </x:c>
      <x:c r="J648" s="36" t="n">
        <x:f>IF(C648&lt;-F648,1,0)</x:f>
        <x:v>0</x:v>
      </x:c>
      <x:c r="K648" s="36" t="n">
        <x:f>IF(C648&lt;-G648,1,0)</x:f>
        <x:v>0</x:v>
      </x:c>
      <x:c r="L648" s="36" t="n">
        <x:f>IF(C648&lt;-H648,1,0)</x:f>
        <x:v>0</x:v>
      </x:c>
      <x:c r="M648" s="36" t="n">
        <x:f>IF(C648&lt;-I648,1,0)</x:f>
        <x:v>0</x:v>
      </x:c>
      <x:c r="N648" s="34" t="n">
        <x:f>-F648</x:f>
        <x:v>-1.064902756885438</x:v>
      </x:c>
      <x:c r="O648" s="34" t="n">
        <x:f>-H648</x:f>
        <x:v>-1.0105173846154087</x:v>
      </x:c>
      <x:c r="P648" s="34" t="n">
        <x:f>-G648</x:f>
        <x:v>-1.5061122910566165</x:v>
      </x:c>
      <x:c r="Q648" s="34" t="n">
        <x:f>-I648</x:f>
        <x:v>-1.687463366986621</x:v>
      </x:c>
      <x:c r="R648" s="36" t="n">
        <x:f>YEAR(A648)</x:f>
        <x:v>2023</x:v>
      </x:c>
    </x:row>
    <x:row r="649">
      <x:c r="A649" s="30" t="n">
        <x:v>45131</x:v>
      </x:c>
      <x:c r="B649" s="38" t="n">
        <x:v>4554.64</x:v>
      </x:c>
      <x:c r="C649" s="34" t="n">
        <x:f>(B649/B648-1)*100</x:f>
        <x:v>0.4034089155574794</x:v>
      </x:c>
      <x:c r="D649" s="34" t="n">
        <x:f>Assumptions!$B$4*D648+(1-Assumptions!$B$4)*C648^2</x:f>
        <x:v>0.3940603431419828</x:v>
      </x:c>
      <x:c r="E649" s="34" t="n">
        <x:f>SQRT(D649)</x:f>
        <x:v>0.6277422585281182</x:v>
      </x:c>
      <x:c r="F649" s="34" t="n">
        <x:f>-Assumptions!$B$7*E649</x:f>
        <x:v>1.0325441307306844</x:v>
      </x:c>
      <x:c r="G649" s="34" t="n">
        <x:f>-Assumptions!$B$8*E649</x:f>
        <x:v>1.4603468685724832</x:v>
      </x:c>
      <x:c r="H649" s="34" t="n">
        <x:f>-Assumptions!$B$9*E649</x:f>
        <x:v>0.9798113374573704</x:v>
      </x:c>
      <x:c r="I649" s="34" t="n">
        <x:f>-Assumptions!$B$10*E649</x:f>
        <x:v>1.6361873270955571</x:v>
      </x:c>
      <x:c r="J649" s="36" t="n">
        <x:f>IF(C649&lt;-F649,1,0)</x:f>
        <x:v>0</x:v>
      </x:c>
      <x:c r="K649" s="36" t="n">
        <x:f>IF(C649&lt;-G649,1,0)</x:f>
        <x:v>0</x:v>
      </x:c>
      <x:c r="L649" s="36" t="n">
        <x:f>IF(C649&lt;-H649,1,0)</x:f>
        <x:v>0</x:v>
      </x:c>
      <x:c r="M649" s="36" t="n">
        <x:f>IF(C649&lt;-I649,1,0)</x:f>
        <x:v>0</x:v>
      </x:c>
      <x:c r="N649" s="34" t="n">
        <x:f>-F649</x:f>
        <x:v>-1.0325441307306844</x:v>
      </x:c>
      <x:c r="O649" s="34" t="n">
        <x:f>-H649</x:f>
        <x:v>-0.9798113374573704</x:v>
      </x:c>
      <x:c r="P649" s="34" t="n">
        <x:f>-G649</x:f>
        <x:v>-1.4603468685724832</x:v>
      </x:c>
      <x:c r="Q649" s="34" t="n">
        <x:f>-I649</x:f>
        <x:v>-1.6361873270955571</x:v>
      </x:c>
      <x:c r="R649" s="36" t="n">
        <x:f>YEAR(A649)</x:f>
        <x:v>2023</x:v>
      </x:c>
    </x:row>
    <x:row r="650">
      <x:c r="A650" s="30" t="n">
        <x:v>45132</x:v>
      </x:c>
      <x:c r="B650" s="38" t="n">
        <x:v>4567.46</x:v>
      </x:c>
      <x:c r="C650" s="34" t="n">
        <x:f>(B650/B649-1)*100</x:f>
        <x:v>0.2814712029929778</x:v>
      </x:c>
      <x:c r="D650" s="34" t="n">
        <x:f>Assumptions!$B$4*D649+(1-Assumptions!$B$4)*C649^2</x:f>
        <x:v>0.3801810477425395</x:v>
      </x:c>
      <x:c r="E650" s="34" t="n">
        <x:f>SQRT(D650)</x:f>
        <x:v>0.6165882319202496</x:v>
      </x:c>
      <x:c r="F650" s="34" t="n">
        <x:f>-Assumptions!$B$7*E650</x:f>
        <x:v>1.0141973896096184</x:v>
      </x:c>
      <x:c r="G650" s="34" t="n">
        <x:f>-Assumptions!$B$8*E650</x:f>
        <x:v>1.4343987224862733</x:v>
      </x:c>
      <x:c r="H650" s="34" t="n">
        <x:f>-Assumptions!$B$9*E650</x:f>
        <x:v>0.9624015779896616</x:v>
      </x:c>
      <x:c r="I650" s="34" t="n">
        <x:f>-Assumptions!$B$10*E650</x:f>
        <x:v>1.6071147631030156</x:v>
      </x:c>
      <x:c r="J650" s="36" t="n">
        <x:f>IF(C650&lt;-F650,1,0)</x:f>
        <x:v>0</x:v>
      </x:c>
      <x:c r="K650" s="36" t="n">
        <x:f>IF(C650&lt;-G650,1,0)</x:f>
        <x:v>0</x:v>
      </x:c>
      <x:c r="L650" s="36" t="n">
        <x:f>IF(C650&lt;-H650,1,0)</x:f>
        <x:v>0</x:v>
      </x:c>
      <x:c r="M650" s="36" t="n">
        <x:f>IF(C650&lt;-I650,1,0)</x:f>
        <x:v>0</x:v>
      </x:c>
      <x:c r="N650" s="34" t="n">
        <x:f>-F650</x:f>
        <x:v>-1.0141973896096184</x:v>
      </x:c>
      <x:c r="O650" s="34" t="n">
        <x:f>-H650</x:f>
        <x:v>-0.9624015779896616</x:v>
      </x:c>
      <x:c r="P650" s="34" t="n">
        <x:f>-G650</x:f>
        <x:v>-1.4343987224862733</x:v>
      </x:c>
      <x:c r="Q650" s="34" t="n">
        <x:f>-I650</x:f>
        <x:v>-1.6071147631030156</x:v>
      </x:c>
      <x:c r="R650" s="36" t="n">
        <x:f>YEAR(A650)</x:f>
        <x:v>2023</x:v>
      </x:c>
    </x:row>
    <x:row r="651">
      <x:c r="A651" s="30" t="n">
        <x:v>45133</x:v>
      </x:c>
      <x:c r="B651" s="38" t="n">
        <x:v>4566.75</x:v>
      </x:c>
      <x:c r="C651" s="34" t="n">
        <x:f>(B651/B650-1)*100</x:f>
        <x:v>-0.015544744781559316</x:v>
      </x:c>
      <x:c r="D651" s="34" t="n">
        <x:f>Assumptions!$B$4*D650+(1-Assumptions!$B$4)*C650^2</x:f>
        <x:v>0.36212374716484597</x:v>
      </x:c>
      <x:c r="E651" s="34" t="n">
        <x:f>SQRT(D651)</x:f>
        <x:v>0.601767186846247</x:v>
      </x:c>
      <x:c r="F651" s="34" t="n">
        <x:f>-Assumptions!$B$7*E651</x:f>
        <x:v>0.989818939864434</x:v>
      </x:c>
      <x:c r="G651" s="34" t="n">
        <x:f>-Assumptions!$B$8*E651</x:f>
        <x:v>1.3999198157873038</x:v>
      </x:c>
      <x:c r="H651" s="34" t="n">
        <x:f>-Assumptions!$B$9*E651</x:f>
        <x:v>0.939268153723269</x:v>
      </x:c>
      <x:c r="I651" s="34" t="n">
        <x:f>-Assumptions!$B$10*E651</x:f>
        <x:v>1.5684842490744482</x:v>
      </x:c>
      <x:c r="J651" s="36" t="n">
        <x:f>IF(C651&lt;-F651,1,0)</x:f>
        <x:v>0</x:v>
      </x:c>
      <x:c r="K651" s="36" t="n">
        <x:f>IF(C651&lt;-G651,1,0)</x:f>
        <x:v>0</x:v>
      </x:c>
      <x:c r="L651" s="36" t="n">
        <x:f>IF(C651&lt;-H651,1,0)</x:f>
        <x:v>0</x:v>
      </x:c>
      <x:c r="M651" s="36" t="n">
        <x:f>IF(C651&lt;-I651,1,0)</x:f>
        <x:v>0</x:v>
      </x:c>
      <x:c r="N651" s="34" t="n">
        <x:f>-F651</x:f>
        <x:v>-0.989818939864434</x:v>
      </x:c>
      <x:c r="O651" s="34" t="n">
        <x:f>-H651</x:f>
        <x:v>-0.939268153723269</x:v>
      </x:c>
      <x:c r="P651" s="34" t="n">
        <x:f>-G651</x:f>
        <x:v>-1.3999198157873038</x:v>
      </x:c>
      <x:c r="Q651" s="34" t="n">
        <x:f>-I651</x:f>
        <x:v>-1.5684842490744482</x:v>
      </x:c>
      <x:c r="R651" s="36" t="n">
        <x:f>YEAR(A651)</x:f>
        <x:v>2023</x:v>
      </x:c>
    </x:row>
    <x:row r="652">
      <x:c r="A652" s="30" t="n">
        <x:v>45134</x:v>
      </x:c>
      <x:c r="B652" s="38" t="n">
        <x:v>4537.41</x:v>
      </x:c>
      <x:c r="C652" s="34" t="n">
        <x:f>(B652/B651-1)*100</x:f>
        <x:v>-0.6424700279192064</x:v>
      </x:c>
      <x:c r="D652" s="34" t="n">
        <x:f>Assumptions!$B$4*D651+(1-Assumptions!$B$4)*C651^2</x:f>
        <x:v>0.34041082068037465</x:v>
      </x:c>
      <x:c r="E652" s="34" t="n">
        <x:f>SQRT(D652)</x:f>
        <x:v>0.58344735896255</x:v>
      </x:c>
      <x:c r="F652" s="34" t="n">
        <x:f>-Assumptions!$B$7*E652</x:f>
        <x:v>0.9596855045248082</x:v>
      </x:c>
      <x:c r="G652" s="34" t="n">
        <x:f>-Assumptions!$B$8*E652</x:f>
        <x:v>1.3573015231372711</x:v>
      </x:c>
      <x:c r="H652" s="34" t="n">
        <x:f>-Assumptions!$B$9*E652</x:f>
        <x:v>0.9106736552378528</x:v>
      </x:c>
      <x:c r="I652" s="34" t="n">
        <x:f>-Assumptions!$B$10*E652</x:f>
        <x:v>1.5207342851192427</x:v>
      </x:c>
      <x:c r="J652" s="36" t="n">
        <x:f>IF(C652&lt;-F652,1,0)</x:f>
        <x:v>0</x:v>
      </x:c>
      <x:c r="K652" s="36" t="n">
        <x:f>IF(C652&lt;-G652,1,0)</x:f>
        <x:v>0</x:v>
      </x:c>
      <x:c r="L652" s="36" t="n">
        <x:f>IF(C652&lt;-H652,1,0)</x:f>
        <x:v>0</x:v>
      </x:c>
      <x:c r="M652" s="36" t="n">
        <x:f>IF(C652&lt;-I652,1,0)</x:f>
        <x:v>0</x:v>
      </x:c>
      <x:c r="N652" s="34" t="n">
        <x:f>-F652</x:f>
        <x:v>-0.9596855045248082</x:v>
      </x:c>
      <x:c r="O652" s="34" t="n">
        <x:f>-H652</x:f>
        <x:v>-0.9106736552378528</x:v>
      </x:c>
      <x:c r="P652" s="34" t="n">
        <x:f>-G652</x:f>
        <x:v>-1.3573015231372711</x:v>
      </x:c>
      <x:c r="Q652" s="34" t="n">
        <x:f>-I652</x:f>
        <x:v>-1.5207342851192427</x:v>
      </x:c>
      <x:c r="R652" s="36" t="n">
        <x:f>YEAR(A652)</x:f>
        <x:v>2023</x:v>
      </x:c>
    </x:row>
    <x:row r="653">
      <x:c r="A653" s="30" t="n">
        <x:v>45135</x:v>
      </x:c>
      <x:c r="B653" s="38" t="n">
        <x:v>4582.23</x:v>
      </x:c>
      <x:c r="C653" s="34" t="n">
        <x:f>(B653/B652-1)*100</x:f>
        <x:v>0.9877881875342887</x:v>
      </x:c>
      <x:c r="D653" s="34" t="n">
        <x:f>Assumptions!$B$4*D652+(1-Assumptions!$B$4)*C652^2</x:f>
        <x:v>0.34475223564602253</x:v>
      </x:c>
      <x:c r="E653" s="34" t="n">
        <x:f>SQRT(D653)</x:f>
        <x:v>0.5871560573186847</x:v>
      </x:c>
      <x:c r="F653" s="34" t="n">
        <x:f>-Assumptions!$B$7*E653</x:f>
        <x:v>0.9657857704671654</x:v>
      </x:c>
      <x:c r="G653" s="34" t="n">
        <x:f>-Assumptions!$B$8*E653</x:f>
        <x:v>1.365929245673524</x:v>
      </x:c>
      <x:c r="H653" s="34" t="n">
        <x:f>-Assumptions!$B$9*E653</x:f>
        <x:v>0.9164623760817716</x:v>
      </x:c>
      <x:c r="I653" s="34" t="n">
        <x:f>-Assumptions!$B$10*E653</x:f>
        <x:v>1.5304008722700837</x:v>
      </x:c>
      <x:c r="J653" s="36" t="n">
        <x:f>IF(C653&lt;-F653,1,0)</x:f>
        <x:v>0</x:v>
      </x:c>
      <x:c r="K653" s="36" t="n">
        <x:f>IF(C653&lt;-G653,1,0)</x:f>
        <x:v>0</x:v>
      </x:c>
      <x:c r="L653" s="36" t="n">
        <x:f>IF(C653&lt;-H653,1,0)</x:f>
        <x:v>0</x:v>
      </x:c>
      <x:c r="M653" s="36" t="n">
        <x:f>IF(C653&lt;-I653,1,0)</x:f>
        <x:v>0</x:v>
      </x:c>
      <x:c r="N653" s="34" t="n">
        <x:f>-F653</x:f>
        <x:v>-0.9657857704671654</x:v>
      </x:c>
      <x:c r="O653" s="34" t="n">
        <x:f>-H653</x:f>
        <x:v>-0.9164623760817716</x:v>
      </x:c>
      <x:c r="P653" s="34" t="n">
        <x:f>-G653</x:f>
        <x:v>-1.365929245673524</x:v>
      </x:c>
      <x:c r="Q653" s="34" t="n">
        <x:f>-I653</x:f>
        <x:v>-1.5304008722700837</x:v>
      </x:c>
      <x:c r="R653" s="36" t="n">
        <x:f>YEAR(A653)</x:f>
        <x:v>2023</x:v>
      </x:c>
    </x:row>
    <x:row r="654">
      <x:c r="A654" s="30" t="n">
        <x:v>45138</x:v>
      </x:c>
      <x:c r="B654" s="38" t="n">
        <x:v>4588.96</x:v>
      </x:c>
      <x:c r="C654" s="34" t="n">
        <x:f>(B654/B653-1)*100</x:f>
        <x:v>0.14687171966489831</x:v>
      </x:c>
      <x:c r="D654" s="34" t="n">
        <x:f>Assumptions!$B$4*D653+(1-Assumptions!$B$4)*C653^2</x:f>
        <x:v>0.3826106317131977</x:v>
      </x:c>
      <x:c r="E654" s="34" t="n">
        <x:f>SQRT(D654)</x:f>
        <x:v>0.618555277815328</x:v>
      </x:c>
      <x:c r="F654" s="34" t="n">
        <x:f>-Assumptions!$B$7*E654</x:f>
        <x:v>1.0174328921845182</x:v>
      </x:c>
      <x:c r="G654" s="34" t="n">
        <x:f>-Assumptions!$B$8*E654</x:f>
        <x:v>1.4389747555224297</x:v>
      </x:c>
      <x:c r="H654" s="34" t="n">
        <x:f>-Assumptions!$B$9*E654</x:f>
        <x:v>0.9654718410524287</x:v>
      </x:c>
      <x:c r="I654" s="34" t="n">
        <x:f>-Assumptions!$B$10*E654</x:f>
        <x:v>1.6122417965655853</x:v>
      </x:c>
      <x:c r="J654" s="36" t="n">
        <x:f>IF(C654&lt;-F654,1,0)</x:f>
        <x:v>0</x:v>
      </x:c>
      <x:c r="K654" s="36" t="n">
        <x:f>IF(C654&lt;-G654,1,0)</x:f>
        <x:v>0</x:v>
      </x:c>
      <x:c r="L654" s="36" t="n">
        <x:f>IF(C654&lt;-H654,1,0)</x:f>
        <x:v>0</x:v>
      </x:c>
      <x:c r="M654" s="36" t="n">
        <x:f>IF(C654&lt;-I654,1,0)</x:f>
        <x:v>0</x:v>
      </x:c>
      <x:c r="N654" s="34" t="n">
        <x:f>-F654</x:f>
        <x:v>-1.0174328921845182</x:v>
      </x:c>
      <x:c r="O654" s="34" t="n">
        <x:f>-H654</x:f>
        <x:v>-0.9654718410524287</x:v>
      </x:c>
      <x:c r="P654" s="34" t="n">
        <x:f>-G654</x:f>
        <x:v>-1.4389747555224297</x:v>
      </x:c>
      <x:c r="Q654" s="34" t="n">
        <x:f>-I654</x:f>
        <x:v>-1.6122417965655853</x:v>
      </x:c>
      <x:c r="R654" s="36" t="n">
        <x:f>YEAR(A654)</x:f>
        <x:v>2023</x:v>
      </x:c>
    </x:row>
    <x:row r="655">
      <x:c r="A655" s="30" t="n">
        <x:v>45139</x:v>
      </x:c>
      <x:c r="B655" s="38" t="n">
        <x:v>4576.73</x:v>
      </x:c>
      <x:c r="C655" s="34" t="n">
        <x:f>(B655/B654-1)*100</x:f>
        <x:v>-0.26650918726683903</x:v>
      </x:c>
      <x:c r="D655" s="34" t="n">
        <x:f>Assumptions!$B$4*D654+(1-Assumptions!$B$4)*C654^2</x:f>
        <x:v>0.3609482719326453</x:v>
      </x:c>
      <x:c r="E655" s="34" t="n">
        <x:f>SQRT(D655)</x:f>
        <x:v>0.6007897069130307</x:v>
      </x:c>
      <x:c r="F655" s="34" t="n">
        <x:f>-Assumptions!$B$7*E655</x:f>
        <x:v>0.9882111284510109</x:v>
      </x:c>
      <x:c r="G655" s="34" t="n">
        <x:f>-Assumptions!$B$8*E655</x:f>
        <x:v>1.3976458574227484</x:v>
      </x:c>
      <x:c r="H655" s="34" t="n">
        <x:f>-Assumptions!$B$9*E655</x:f>
        <x:v>0.937742454429186</x:v>
      </x:c>
      <x:c r="I655" s="34" t="n">
        <x:f>-Assumptions!$B$10*E655</x:f>
        <x:v>1.5659364832398384</x:v>
      </x:c>
      <x:c r="J655" s="36" t="n">
        <x:f>IF(C655&lt;-F655,1,0)</x:f>
        <x:v>0</x:v>
      </x:c>
      <x:c r="K655" s="36" t="n">
        <x:f>IF(C655&lt;-G655,1,0)</x:f>
        <x:v>0</x:v>
      </x:c>
      <x:c r="L655" s="36" t="n">
        <x:f>IF(C655&lt;-H655,1,0)</x:f>
        <x:v>0</x:v>
      </x:c>
      <x:c r="M655" s="36" t="n">
        <x:f>IF(C655&lt;-I655,1,0)</x:f>
        <x:v>0</x:v>
      </x:c>
      <x:c r="N655" s="34" t="n">
        <x:f>-F655</x:f>
        <x:v>-0.9882111284510109</x:v>
      </x:c>
      <x:c r="O655" s="34" t="n">
        <x:f>-H655</x:f>
        <x:v>-0.937742454429186</x:v>
      </x:c>
      <x:c r="P655" s="34" t="n">
        <x:f>-G655</x:f>
        <x:v>-1.3976458574227484</x:v>
      </x:c>
      <x:c r="Q655" s="34" t="n">
        <x:f>-I655</x:f>
        <x:v>-1.5659364832398384</x:v>
      </x:c>
      <x:c r="R655" s="36" t="n">
        <x:f>YEAR(A655)</x:f>
        <x:v>2023</x:v>
      </x:c>
    </x:row>
    <x:row r="656">
      <x:c r="A656" s="30" t="n">
        <x:v>45140</x:v>
      </x:c>
      <x:c r="B656" s="38" t="n">
        <x:v>4513.39</x:v>
      </x:c>
      <x:c r="C656" s="34" t="n">
        <x:f>(B656/B655-1)*100</x:f>
        <x:v>-1.383957541738301</x:v>
      </x:c>
      <x:c r="D656" s="34" t="n">
        <x:f>Assumptions!$B$4*D655+(1-Assumptions!$B$4)*C655^2</x:f>
        <x:v>0.34355300443054443</x:v>
      </x:c>
      <x:c r="E656" s="34" t="n">
        <x:f>SQRT(D656)</x:f>
        <x:v>0.5861339475158767</x:v>
      </x:c>
      <x:c r="F656" s="34" t="n">
        <x:f>-Assumptions!$B$7*E656</x:f>
        <x:v>0.964104549450874</x:v>
      </x:c>
      <x:c r="G656" s="34" t="n">
        <x:f>-Assumptions!$B$8*E656</x:f>
        <x:v>1.3635514627067251</x:v>
      </x:c>
      <x:c r="H656" s="34" t="n">
        <x:f>-Assumptions!$B$9*E656</x:f>
        <x:v>0.9148670162675927</x:v>
      </x:c>
      <x:c r="I656" s="34" t="n">
        <x:f>-Assumptions!$B$10*E656</x:f>
        <x:v>1.527736780306328</x:v>
      </x:c>
      <x:c r="J656" s="36" t="n">
        <x:f>IF(C656&lt;-F656,1,0)</x:f>
        <x:v>1</x:v>
      </x:c>
      <x:c r="K656" s="36" t="n">
        <x:f>IF(C656&lt;-G656,1,0)</x:f>
        <x:v>1</x:v>
      </x:c>
      <x:c r="L656" s="36" t="n">
        <x:f>IF(C656&lt;-H656,1,0)</x:f>
        <x:v>1</x:v>
      </x:c>
      <x:c r="M656" s="36" t="n">
        <x:f>IF(C656&lt;-I656,1,0)</x:f>
        <x:v>0</x:v>
      </x:c>
      <x:c r="N656" s="34" t="n">
        <x:f>-F656</x:f>
        <x:v>-0.964104549450874</x:v>
      </x:c>
      <x:c r="O656" s="34" t="n">
        <x:f>-H656</x:f>
        <x:v>-0.9148670162675927</x:v>
      </x:c>
      <x:c r="P656" s="34" t="n">
        <x:f>-G656</x:f>
        <x:v>-1.3635514627067251</x:v>
      </x:c>
      <x:c r="Q656" s="34" t="n">
        <x:f>-I656</x:f>
        <x:v>-1.527736780306328</x:v>
      </x:c>
      <x:c r="R656" s="36" t="n">
        <x:f>YEAR(A656)</x:f>
        <x:v>2023</x:v>
      </x:c>
    </x:row>
    <x:row r="657">
      <x:c r="A657" s="30" t="n">
        <x:v>45141</x:v>
      </x:c>
      <x:c r="B657" s="38" t="n">
        <x:v>4501.89</x:v>
      </x:c>
      <x:c r="C657" s="34" t="n">
        <x:f>(B657/B656-1)*100</x:f>
        <x:v>-0.2547973917609636</x:v>
      </x:c>
      <x:c r="D657" s="34" t="n">
        <x:f>Assumptions!$B$4*D656+(1-Assumptions!$B$4)*C656^2</x:f>
        <x:v>0.4378601328047711</x:v>
      </x:c>
      <x:c r="E657" s="34" t="n">
        <x:f>SQRT(D657)</x:f>
        <x:v>0.6617100065774819</x:v>
      </x:c>
      <x:c r="F657" s="34" t="n">
        <x:f>-Assumptions!$B$7*E657</x:f>
        <x:v>1.088416104309054</x:v>
      </x:c>
      <x:c r="G657" s="34" t="n">
        <x:f>-Assumptions!$B$8*E657</x:f>
        <x:v>1.5393676670330756</x:v>
      </x:c>
      <x:c r="H657" s="34" t="n">
        <x:f>-Assumptions!$B$9*E657</x:f>
        <x:v>1.0328298879763351</x:v>
      </x:c>
      <x:c r="I657" s="34" t="n">
        <x:f>-Assumptions!$B$10*E657</x:f>
        <x:v>1.724723024881234</x:v>
      </x:c>
      <x:c r="J657" s="36" t="n">
        <x:f>IF(C657&lt;-F657,1,0)</x:f>
        <x:v>0</x:v>
      </x:c>
      <x:c r="K657" s="36" t="n">
        <x:f>IF(C657&lt;-G657,1,0)</x:f>
        <x:v>0</x:v>
      </x:c>
      <x:c r="L657" s="36" t="n">
        <x:f>IF(C657&lt;-H657,1,0)</x:f>
        <x:v>0</x:v>
      </x:c>
      <x:c r="M657" s="36" t="n">
        <x:f>IF(C657&lt;-I657,1,0)</x:f>
        <x:v>0</x:v>
      </x:c>
      <x:c r="N657" s="34" t="n">
        <x:f>-F657</x:f>
        <x:v>-1.088416104309054</x:v>
      </x:c>
      <x:c r="O657" s="34" t="n">
        <x:f>-H657</x:f>
        <x:v>-1.0328298879763351</x:v>
      </x:c>
      <x:c r="P657" s="34" t="n">
        <x:f>-G657</x:f>
        <x:v>-1.5393676670330756</x:v>
      </x:c>
      <x:c r="Q657" s="34" t="n">
        <x:f>-I657</x:f>
        <x:v>-1.724723024881234</x:v>
      </x:c>
      <x:c r="R657" s="36" t="n">
        <x:f>YEAR(A657)</x:f>
        <x:v>2023</x:v>
      </x:c>
    </x:row>
    <x:row r="658">
      <x:c r="A658" s="30" t="n">
        <x:v>45142</x:v>
      </x:c>
      <x:c r="B658" s="38" t="n">
        <x:v>4478.03</x:v>
      </x:c>
      <x:c r="C658" s="34" t="n">
        <x:f>(B658/B657-1)*100</x:f>
        <x:v>-0.529999622380839</x:v>
      </x:c>
      <x:c r="D658" s="34" t="n">
        <x:f>Assumptions!$B$4*D657+(1-Assumptions!$B$4)*C657^2</x:f>
        <x:v>0.41548382748737617</x:v>
      </x:c>
      <x:c r="E658" s="34" t="n">
        <x:f>SQRT(D658)</x:f>
        <x:v>0.6445803499078886</x:v>
      </x:c>
      <x:c r="F658" s="34" t="n">
        <x:f>-Assumptions!$B$7*E658</x:f>
        <x:v>1.06024032640764</x:v>
      </x:c>
      <x:c r="G658" s="34" t="n">
        <x:f>-Assumptions!$B$8*E658</x:f>
        <x:v>1.4995181266567177</x:v>
      </x:c>
      <x:c r="H658" s="34" t="n">
        <x:f>-Assumptions!$B$9*E658</x:f>
        <x:v>1.0060930679142714</x:v>
      </x:c>
      <x:c r="I658" s="34" t="n">
        <x:f>-Assumptions!$B$10*E658</x:f>
        <x:v>1.680075198835553</x:v>
      </x:c>
      <x:c r="J658" s="36" t="n">
        <x:f>IF(C658&lt;-F658,1,0)</x:f>
        <x:v>0</x:v>
      </x:c>
      <x:c r="K658" s="36" t="n">
        <x:f>IF(C658&lt;-G658,1,0)</x:f>
        <x:v>0</x:v>
      </x:c>
      <x:c r="L658" s="36" t="n">
        <x:f>IF(C658&lt;-H658,1,0)</x:f>
        <x:v>0</x:v>
      </x:c>
      <x:c r="M658" s="36" t="n">
        <x:f>IF(C658&lt;-I658,1,0)</x:f>
        <x:v>0</x:v>
      </x:c>
      <x:c r="N658" s="34" t="n">
        <x:f>-F658</x:f>
        <x:v>-1.06024032640764</x:v>
      </x:c>
      <x:c r="O658" s="34" t="n">
        <x:f>-H658</x:f>
        <x:v>-1.0060930679142714</x:v>
      </x:c>
      <x:c r="P658" s="34" t="n">
        <x:f>-G658</x:f>
        <x:v>-1.4995181266567177</x:v>
      </x:c>
      <x:c r="Q658" s="34" t="n">
        <x:f>-I658</x:f>
        <x:v>-1.680075198835553</x:v>
      </x:c>
      <x:c r="R658" s="36" t="n">
        <x:f>YEAR(A658)</x:f>
        <x:v>2023</x:v>
      </x:c>
    </x:row>
    <x:row r="659">
      <x:c r="A659" s="30" t="n">
        <x:v>45145</x:v>
      </x:c>
      <x:c r="B659" s="38" t="n">
        <x:v>4518.44</x:v>
      </x:c>
      <x:c r="C659" s="34" t="n">
        <x:f>(B659/B658-1)*100</x:f>
        <x:v>0.902405745383561</x:v>
      </x:c>
      <x:c r="D659" s="34" t="n">
        <x:f>Assumptions!$B$4*D658+(1-Assumptions!$B$4)*C658^2</x:f>
        <x:v>0.4074087738215635</x:v>
      </x:c>
      <x:c r="E659" s="34" t="n">
        <x:f>SQRT(D659)</x:f>
        <x:v>0.638285808883108</x:v>
      </x:c>
      <x:c r="F659" s="34" t="n">
        <x:f>-Assumptions!$B$7*E659</x:f>
        <x:v>1.0498867277730348</x:v>
      </x:c>
      <x:c r="G659" s="34" t="n">
        <x:f>-Assumptions!$B$8*E659</x:f>
        <x:v>1.4848748345256566</x:v>
      </x:c>
      <x:c r="H659" s="34" t="n">
        <x:f>-Assumptions!$B$9*E659</x:f>
        <x:v>0.9962682352279528</x:v>
      </x:c>
      <x:c r="I659" s="34" t="n">
        <x:f>-Assumptions!$B$10*E659</x:f>
        <x:v>1.663668706975697</x:v>
      </x:c>
      <x:c r="J659" s="36" t="n">
        <x:f>IF(C659&lt;-F659,1,0)</x:f>
        <x:v>0</x:v>
      </x:c>
      <x:c r="K659" s="36" t="n">
        <x:f>IF(C659&lt;-G659,1,0)</x:f>
        <x:v>0</x:v>
      </x:c>
      <x:c r="L659" s="36" t="n">
        <x:f>IF(C659&lt;-H659,1,0)</x:f>
        <x:v>0</x:v>
      </x:c>
      <x:c r="M659" s="36" t="n">
        <x:f>IF(C659&lt;-I659,1,0)</x:f>
        <x:v>0</x:v>
      </x:c>
      <x:c r="N659" s="34" t="n">
        <x:f>-F659</x:f>
        <x:v>-1.0498867277730348</x:v>
      </x:c>
      <x:c r="O659" s="34" t="n">
        <x:f>-H659</x:f>
        <x:v>-0.9962682352279528</x:v>
      </x:c>
      <x:c r="P659" s="34" t="n">
        <x:f>-G659</x:f>
        <x:v>-1.4848748345256566</x:v>
      </x:c>
      <x:c r="Q659" s="34" t="n">
        <x:f>-I659</x:f>
        <x:v>-1.663668706975697</x:v>
      </x:c>
      <x:c r="R659" s="36" t="n">
        <x:f>YEAR(A659)</x:f>
        <x:v>2023</x:v>
      </x:c>
    </x:row>
    <x:row r="660">
      <x:c r="A660" s="30" t="n">
        <x:v>45146</x:v>
      </x:c>
      <x:c r="B660" s="38" t="n">
        <x:v>4499.38</x:v>
      </x:c>
      <x:c r="C660" s="34" t="n">
        <x:f>(B660/B659-1)*100</x:f>
        <x:v>-0.42182700223970526</x:v>
      </x:c>
      <x:c r="D660" s="34" t="n">
        <x:f>Assumptions!$B$4*D659+(1-Assumptions!$B$4)*C659^2</x:f>
        <x:v>0.4318244151503453</x:v>
      </x:c>
      <x:c r="E660" s="34" t="n">
        <x:f>SQRT(D660)</x:f>
        <x:v>0.6571334835102723</x:v>
      </x:c>
      <x:c r="F660" s="34" t="n">
        <x:f>-Assumptions!$B$7*E660</x:f>
        <x:v>1.0808883937431273</x:v>
      </x:c>
      <x:c r="G660" s="34" t="n">
        <x:f>-Assumptions!$B$8*E660</x:f>
        <x:v>1.5287210823251736</x:v>
      </x:c>
      <x:c r="H660" s="34" t="n">
        <x:f>-Assumptions!$B$9*E660</x:f>
        <x:v>1.025686623162682</x:v>
      </x:c>
      <x:c r="I660" s="34" t="n">
        <x:f>-Assumptions!$B$10*E660</x:f>
        <x:v>1.712794484237362</x:v>
      </x:c>
      <x:c r="J660" s="36" t="n">
        <x:f>IF(C660&lt;-F660,1,0)</x:f>
        <x:v>0</x:v>
      </x:c>
      <x:c r="K660" s="36" t="n">
        <x:f>IF(C660&lt;-G660,1,0)</x:f>
        <x:v>0</x:v>
      </x:c>
      <x:c r="L660" s="36" t="n">
        <x:f>IF(C660&lt;-H660,1,0)</x:f>
        <x:v>0</x:v>
      </x:c>
      <x:c r="M660" s="36" t="n">
        <x:f>IF(C660&lt;-I660,1,0)</x:f>
        <x:v>0</x:v>
      </x:c>
      <x:c r="N660" s="34" t="n">
        <x:f>-F660</x:f>
        <x:v>-1.0808883937431273</x:v>
      </x:c>
      <x:c r="O660" s="34" t="n">
        <x:f>-H660</x:f>
        <x:v>-1.025686623162682</x:v>
      </x:c>
      <x:c r="P660" s="34" t="n">
        <x:f>-G660</x:f>
        <x:v>-1.5287210823251736</x:v>
      </x:c>
      <x:c r="Q660" s="34" t="n">
        <x:f>-I660</x:f>
        <x:v>-1.712794484237362</x:v>
      </x:c>
      <x:c r="R660" s="36" t="n">
        <x:f>YEAR(A660)</x:f>
        <x:v>2023</x:v>
      </x:c>
    </x:row>
    <x:row r="661">
      <x:c r="A661" s="30" t="n">
        <x:v>45147</x:v>
      </x:c>
      <x:c r="B661" s="38" t="n">
        <x:v>4467.71</x:v>
      </x:c>
      <x:c r="C661" s="34" t="n">
        <x:f>(B661/B660-1)*100</x:f>
        <x:v>-0.7038747560775049</x:v>
      </x:c>
      <x:c r="D661" s="34" t="n">
        <x:f>Assumptions!$B$4*D660+(1-Assumptions!$B$4)*C660^2</x:f>
        <x:v>0.41659123143043675</x:v>
      </x:c>
      <x:c r="E661" s="34" t="n">
        <x:f>SQRT(D661)</x:f>
        <x:v>0.6454387898402425</x:v>
      </x:c>
      <x:c r="F661" s="34" t="n">
        <x:f>-Assumptions!$B$7*E661</x:f>
        <x:v>1.0616523344438924</x:v>
      </x:c>
      <x:c r="G661" s="34" t="n">
        <x:f>-Assumptions!$B$8*E661</x:f>
        <x:v>1.501515156568341</x:v>
      </x:c>
      <x:c r="H661" s="34" t="n">
        <x:f>-Assumptions!$B$9*E661</x:f>
        <x:v>1.0074329636546326</x:v>
      </x:c>
      <x:c r="I661" s="34" t="n">
        <x:f>-Assumptions!$B$10*E661</x:f>
        <x:v>1.6823126912447521</x:v>
      </x:c>
      <x:c r="J661" s="36" t="n">
        <x:f>IF(C661&lt;-F661,1,0)</x:f>
        <x:v>0</x:v>
      </x:c>
      <x:c r="K661" s="36" t="n">
        <x:f>IF(C661&lt;-G661,1,0)</x:f>
        <x:v>0</x:v>
      </x:c>
      <x:c r="L661" s="36" t="n">
        <x:f>IF(C661&lt;-H661,1,0)</x:f>
        <x:v>0</x:v>
      </x:c>
      <x:c r="M661" s="36" t="n">
        <x:f>IF(C661&lt;-I661,1,0)</x:f>
        <x:v>0</x:v>
      </x:c>
      <x:c r="N661" s="34" t="n">
        <x:f>-F661</x:f>
        <x:v>-1.0616523344438924</x:v>
      </x:c>
      <x:c r="O661" s="34" t="n">
        <x:f>-H661</x:f>
        <x:v>-1.0074329636546326</x:v>
      </x:c>
      <x:c r="P661" s="34" t="n">
        <x:f>-G661</x:f>
        <x:v>-1.501515156568341</x:v>
      </x:c>
      <x:c r="Q661" s="34" t="n">
        <x:f>-I661</x:f>
        <x:v>-1.6823126912447521</x:v>
      </x:c>
      <x:c r="R661" s="36" t="n">
        <x:f>YEAR(A661)</x:f>
        <x:v>2023</x:v>
      </x:c>
    </x:row>
    <x:row r="662">
      <x:c r="A662" s="30" t="n">
        <x:v>45148</x:v>
      </x:c>
      <x:c r="B662" s="38" t="n">
        <x:v>4468.83</x:v>
      </x:c>
      <x:c r="C662" s="34" t="n">
        <x:f>(B662/B661-1)*100</x:f>
        <x:v>0.025068771249703303</x:v>
      </x:c>
      <x:c r="D662" s="34" t="n">
        <x:f>Assumptions!$B$4*D661+(1-Assumptions!$B$4)*C661^2</x:f>
        <x:v>0.4213221378792006</x:v>
      </x:c>
      <x:c r="E662" s="34" t="n">
        <x:f>SQRT(D662)</x:f>
        <x:v>0.6490933198540874</x:v>
      </x:c>
      <x:c r="F662" s="34" t="n">
        <x:f>-Assumptions!$B$7*E662</x:f>
        <x:v>1.067663501391968</x:v>
      </x:c>
      <x:c r="G662" s="34" t="n">
        <x:f>-Assumptions!$B$8*E662</x:f>
        <x:v>1.5100168646966672</x:v>
      </x:c>
      <x:c r="H662" s="34" t="n">
        <x:f>-Assumptions!$B$9*E662</x:f>
        <x:v>1.0131371358558785</x:v>
      </x:c>
      <x:c r="I662" s="34" t="n">
        <x:f>-Assumptions!$B$10*E662</x:f>
        <x:v>1.6918380905848627</x:v>
      </x:c>
      <x:c r="J662" s="36" t="n">
        <x:f>IF(C662&lt;-F662,1,0)</x:f>
        <x:v>0</x:v>
      </x:c>
      <x:c r="K662" s="36" t="n">
        <x:f>IF(C662&lt;-G662,1,0)</x:f>
        <x:v>0</x:v>
      </x:c>
      <x:c r="L662" s="36" t="n">
        <x:f>IF(C662&lt;-H662,1,0)</x:f>
        <x:v>0</x:v>
      </x:c>
      <x:c r="M662" s="36" t="n">
        <x:f>IF(C662&lt;-I662,1,0)</x:f>
        <x:v>0</x:v>
      </x:c>
      <x:c r="N662" s="34" t="n">
        <x:f>-F662</x:f>
        <x:v>-1.067663501391968</x:v>
      </x:c>
      <x:c r="O662" s="34" t="n">
        <x:f>-H662</x:f>
        <x:v>-1.0131371358558785</x:v>
      </x:c>
      <x:c r="P662" s="34" t="n">
        <x:f>-G662</x:f>
        <x:v>-1.5100168646966672</x:v>
      </x:c>
      <x:c r="Q662" s="34" t="n">
        <x:f>-I662</x:f>
        <x:v>-1.6918380905848627</x:v>
      </x:c>
      <x:c r="R662" s="36" t="n">
        <x:f>YEAR(A662)</x:f>
        <x:v>2023</x:v>
      </x:c>
    </x:row>
    <x:row r="663">
      <x:c r="A663" s="30" t="n">
        <x:v>45149</x:v>
      </x:c>
      <x:c r="B663" s="38" t="n">
        <x:v>4464.05</x:v>
      </x:c>
      <x:c r="C663" s="34" t="n">
        <x:f>(B663/B662-1)*100</x:f>
        <x:v>-0.10696312010077813</x:v>
      </x:c>
      <x:c r="D663" s="34" t="n">
        <x:f>Assumptions!$B$4*D662+(1-Assumptions!$B$4)*C662^2</x:f>
        <x:v>0.3960805162039667</x:v>
      </x:c>
      <x:c r="E663" s="34" t="n">
        <x:f>SQRT(D663)</x:f>
        <x:v>0.6293492799741386</x:v>
      </x:c>
      <x:c r="F663" s="34" t="n">
        <x:f>-Assumptions!$B$7*E663</x:f>
        <x:v>1.0351874457847599</x:v>
      </x:c>
      <x:c r="G663" s="34" t="n">
        <x:f>-Assumptions!$B$8*E663</x:f>
        <x:v>1.464085359496971</x:v>
      </x:c>
      <x:c r="H663" s="34" t="n">
        <x:f>-Assumptions!$B$9*E663</x:f>
        <x:v>0.9823196564544695</x:v>
      </x:c>
      <x:c r="I663" s="34" t="n">
        <x:f>-Assumptions!$B$10*E663</x:f>
        <x:v>1.6403759699479827</x:v>
      </x:c>
      <x:c r="J663" s="36" t="n">
        <x:f>IF(C663&lt;-F663,1,0)</x:f>
        <x:v>0</x:v>
      </x:c>
      <x:c r="K663" s="36" t="n">
        <x:f>IF(C663&lt;-G663,1,0)</x:f>
        <x:v>0</x:v>
      </x:c>
      <x:c r="L663" s="36" t="n">
        <x:f>IF(C663&lt;-H663,1,0)</x:f>
        <x:v>0</x:v>
      </x:c>
      <x:c r="M663" s="36" t="n">
        <x:f>IF(C663&lt;-I663,1,0)</x:f>
        <x:v>0</x:v>
      </x:c>
      <x:c r="N663" s="34" t="n">
        <x:f>-F663</x:f>
        <x:v>-1.0351874457847599</x:v>
      </x:c>
      <x:c r="O663" s="34" t="n">
        <x:f>-H663</x:f>
        <x:v>-0.9823196564544695</x:v>
      </x:c>
      <x:c r="P663" s="34" t="n">
        <x:f>-G663</x:f>
        <x:v>-1.464085359496971</x:v>
      </x:c>
      <x:c r="Q663" s="34" t="n">
        <x:f>-I663</x:f>
        <x:v>-1.6403759699479827</x:v>
      </x:c>
      <x:c r="R663" s="36" t="n">
        <x:f>YEAR(A663)</x:f>
        <x:v>2023</x:v>
      </x:c>
    </x:row>
    <x:row r="664">
      <x:c r="A664" s="30" t="n">
        <x:v>45152</x:v>
      </x:c>
      <x:c r="B664" s="38" t="n">
        <x:v>4489.72</x:v>
      </x:c>
      <x:c r="C664" s="34" t="n">
        <x:f>(B664/B663-1)*100</x:f>
        <x:v>0.5750383620255262</x:v>
      </x:c>
      <x:c r="D664" s="34" t="n">
        <x:f>Assumptions!$B$4*D663+(1-Assumptions!$B$4)*C663^2</x:f>
        <x:v>0.37300215177543034</x:v>
      </x:c>
      <x:c r="E664" s="34" t="n">
        <x:f>SQRT(D664)</x:f>
        <x:v>0.6107390210027769</x:v>
      </x:c>
      <x:c r="F664" s="34" t="n">
        <x:f>-Assumptions!$B$7*E664</x:f>
        <x:v>1.0045762938172094</x:v>
      </x:c>
      <x:c r="G664" s="34" t="n">
        <x:f>-Assumptions!$B$8*E664</x:f>
        <x:v>1.420791423103594</x:v>
      </x:c>
      <x:c r="H664" s="34" t="n">
        <x:f>-Assumptions!$B$9*E664</x:f>
        <x:v>0.9532718386830279</x:v>
      </x:c>
      <x:c r="I664" s="34" t="n">
        <x:f>-Assumptions!$B$10*E664</x:f>
        <x:v>1.5918690079436963</x:v>
      </x:c>
      <x:c r="J664" s="36" t="n">
        <x:f>IF(C664&lt;-F664,1,0)</x:f>
        <x:v>0</x:v>
      </x:c>
      <x:c r="K664" s="36" t="n">
        <x:f>IF(C664&lt;-G664,1,0)</x:f>
        <x:v>0</x:v>
      </x:c>
      <x:c r="L664" s="36" t="n">
        <x:f>IF(C664&lt;-H664,1,0)</x:f>
        <x:v>0</x:v>
      </x:c>
      <x:c r="M664" s="36" t="n">
        <x:f>IF(C664&lt;-I664,1,0)</x:f>
        <x:v>0</x:v>
      </x:c>
      <x:c r="N664" s="34" t="n">
        <x:f>-F664</x:f>
        <x:v>-1.0045762938172094</x:v>
      </x:c>
      <x:c r="O664" s="34" t="n">
        <x:f>-H664</x:f>
        <x:v>-0.9532718386830279</x:v>
      </x:c>
      <x:c r="P664" s="34" t="n">
        <x:f>-G664</x:f>
        <x:v>-1.420791423103594</x:v>
      </x:c>
      <x:c r="Q664" s="34" t="n">
        <x:f>-I664</x:f>
        <x:v>-1.5918690079436963</x:v>
      </x:c>
      <x:c r="R664" s="36" t="n">
        <x:f>YEAR(A664)</x:f>
        <x:v>2023</x:v>
      </x:c>
    </x:row>
    <x:row r="665">
      <x:c r="A665" s="30" t="n">
        <x:v>45153</x:v>
      </x:c>
      <x:c r="B665" s="38" t="n">
        <x:v>4437.86</x:v>
      </x:c>
      <x:c r="C665" s="34" t="n">
        <x:f>(B665/B664-1)*100</x:f>
        <x:v>-1.1550831677699436</x:v>
      </x:c>
      <x:c r="D665" s="34" t="n">
        <x:f>Assumptions!$B$4*D664+(1-Assumptions!$B$4)*C664^2</x:f>
        <x:v>0.37046216973696455</x:v>
      </x:c>
      <x:c r="E665" s="34" t="n">
        <x:f>SQRT(D665)</x:f>
        <x:v>0.6086560356531138</x:v>
      </x:c>
      <x:c r="F665" s="34" t="n">
        <x:f>-Assumptions!$B$7*E665</x:f>
        <x:v>1.001150087809929</x:v>
      </x:c>
      <x:c r="G665" s="34" t="n">
        <x:f>-Assumptions!$B$8*E665</x:f>
        <x:v>1.415945674563747</x:v>
      </x:c>
      <x:c r="H665" s="34" t="n">
        <x:f>-Assumptions!$B$9*E665</x:f>
        <x:v>0.9500206115533729</x:v>
      </x:c>
      <x:c r="I665" s="34" t="n">
        <x:f>-Assumptions!$B$10*E665</x:f>
        <x:v>1.5864397825166305</x:v>
      </x:c>
      <x:c r="J665" s="36" t="n">
        <x:f>IF(C665&lt;-F665,1,0)</x:f>
        <x:v>1</x:v>
      </x:c>
      <x:c r="K665" s="36" t="n">
        <x:f>IF(C665&lt;-G665,1,0)</x:f>
        <x:v>0</x:v>
      </x:c>
      <x:c r="L665" s="36" t="n">
        <x:f>IF(C665&lt;-H665,1,0)</x:f>
        <x:v>1</x:v>
      </x:c>
      <x:c r="M665" s="36" t="n">
        <x:f>IF(C665&lt;-I665,1,0)</x:f>
        <x:v>0</x:v>
      </x:c>
      <x:c r="N665" s="34" t="n">
        <x:f>-F665</x:f>
        <x:v>-1.001150087809929</x:v>
      </x:c>
      <x:c r="O665" s="34" t="n">
        <x:f>-H665</x:f>
        <x:v>-0.9500206115533729</x:v>
      </x:c>
      <x:c r="P665" s="34" t="n">
        <x:f>-G665</x:f>
        <x:v>-1.415945674563747</x:v>
      </x:c>
      <x:c r="Q665" s="34" t="n">
        <x:f>-I665</x:f>
        <x:v>-1.5864397825166305</x:v>
      </x:c>
      <x:c r="R665" s="36" t="n">
        <x:f>YEAR(A665)</x:f>
        <x:v>2023</x:v>
      </x:c>
    </x:row>
    <x:row r="666">
      <x:c r="A666" s="30" t="n">
        <x:v>45154</x:v>
      </x:c>
      <x:c r="B666" s="38" t="n">
        <x:v>4404.33</x:v>
      </x:c>
      <x:c r="C666" s="34" t="n">
        <x:f>(B666/B665-1)*100</x:f>
        <x:v>-0.75554433893813</x:v>
      </x:c>
      <x:c r="D666" s="34" t="n">
        <x:f>Assumptions!$B$4*D665+(1-Assumptions!$B$4)*C665^2</x:f>
        <x:v>0.42828746702067355</x:v>
      </x:c>
      <x:c r="E666" s="34" t="n">
        <x:f>SQRT(D666)</x:f>
        <x:v>0.6544367555544794</x:v>
      </x:c>
      <x:c r="F666" s="34" t="n">
        <x:f>-Assumptions!$B$7*E666</x:f>
        <x:v>1.07645267098414</x:v>
      </x:c>
      <x:c r="G666" s="34" t="n">
        <x:f>-Assumptions!$B$8*E666</x:f>
        <x:v>1.5224475549783483</x:v>
      </x:c>
      <x:c r="H666" s="34" t="n">
        <x:f>-Assumptions!$B$9*E666</x:f>
        <x:v>1.0214774360492964</x:v>
      </x:c>
      <x:c r="I666" s="34" t="n">
        <x:f>-Assumptions!$B$10*E666</x:f>
        <x:v>1.705765561067145</x:v>
      </x:c>
      <x:c r="J666" s="36" t="n">
        <x:f>IF(C666&lt;-F666,1,0)</x:f>
        <x:v>0</x:v>
      </x:c>
      <x:c r="K666" s="36" t="n">
        <x:f>IF(C666&lt;-G666,1,0)</x:f>
        <x:v>0</x:v>
      </x:c>
      <x:c r="L666" s="36" t="n">
        <x:f>IF(C666&lt;-H666,1,0)</x:f>
        <x:v>0</x:v>
      </x:c>
      <x:c r="M666" s="36" t="n">
        <x:f>IF(C666&lt;-I666,1,0)</x:f>
        <x:v>0</x:v>
      </x:c>
      <x:c r="N666" s="34" t="n">
        <x:f>-F666</x:f>
        <x:v>-1.07645267098414</x:v>
      </x:c>
      <x:c r="O666" s="34" t="n">
        <x:f>-H666</x:f>
        <x:v>-1.0214774360492964</x:v>
      </x:c>
      <x:c r="P666" s="34" t="n">
        <x:f>-G666</x:f>
        <x:v>-1.5224475549783483</x:v>
      </x:c>
      <x:c r="Q666" s="34" t="n">
        <x:f>-I666</x:f>
        <x:v>-1.705765561067145</x:v>
      </x:c>
      <x:c r="R666" s="36" t="n">
        <x:f>YEAR(A666)</x:f>
        <x:v>2023</x:v>
      </x:c>
    </x:row>
    <x:row r="667">
      <x:c r="A667" s="30" t="n">
        <x:v>45155</x:v>
      </x:c>
      <x:c r="B667" s="38" t="n">
        <x:v>4370.36</x:v>
      </x:c>
      <x:c r="C667" s="34" t="n">
        <x:f>(B667/B666-1)*100</x:f>
        <x:v>-0.7712864385729601</x:v>
      </x:c>
      <x:c r="D667" s="34" t="n">
        <x:f>Assumptions!$B$4*D666+(1-Assumptions!$B$4)*C666^2</x:f>
        <x:v>0.43684105388552047</x:v>
      </x:c>
      <x:c r="E667" s="34" t="n">
        <x:f>SQRT(D667)</x:f>
        <x:v>0.6609395236218821</x:v>
      </x:c>
      <x:c r="F667" s="34" t="n">
        <x:f>-Assumptions!$B$7*E667</x:f>
        <x:v>1.0871487726250315</x:v>
      </x:c>
      <x:c r="G667" s="34" t="n">
        <x:f>-Assumptions!$B$8*E667</x:f>
        <x:v>1.5375752556473312</x:v>
      </x:c>
      <x:c r="H667" s="34" t="n">
        <x:f>-Assumptions!$B$9*E667</x:f>
        <x:v>1.031627279859774</x:v>
      </x:c>
      <x:c r="I667" s="34" t="n">
        <x:f>-Assumptions!$B$10*E667</x:f>
        <x:v>1.7227147891275167</x:v>
      </x:c>
      <x:c r="J667" s="36" t="n">
        <x:f>IF(C667&lt;-F667,1,0)</x:f>
        <x:v>0</x:v>
      </x:c>
      <x:c r="K667" s="36" t="n">
        <x:f>IF(C667&lt;-G667,1,0)</x:f>
        <x:v>0</x:v>
      </x:c>
      <x:c r="L667" s="36" t="n">
        <x:f>IF(C667&lt;-H667,1,0)</x:f>
        <x:v>0</x:v>
      </x:c>
      <x:c r="M667" s="36" t="n">
        <x:f>IF(C667&lt;-I667,1,0)</x:f>
        <x:v>0</x:v>
      </x:c>
      <x:c r="N667" s="34" t="n">
        <x:f>-F667</x:f>
        <x:v>-1.0871487726250315</x:v>
      </x:c>
      <x:c r="O667" s="34" t="n">
        <x:f>-H667</x:f>
        <x:v>-1.031627279859774</x:v>
      </x:c>
      <x:c r="P667" s="34" t="n">
        <x:f>-G667</x:f>
        <x:v>-1.5375752556473312</x:v>
      </x:c>
      <x:c r="Q667" s="34" t="n">
        <x:f>-I667</x:f>
        <x:v>-1.7227147891275167</x:v>
      </x:c>
      <x:c r="R667" s="36" t="n">
        <x:f>YEAR(A667)</x:f>
        <x:v>2023</x:v>
      </x:c>
    </x:row>
    <x:row r="668">
      <x:c r="A668" s="30" t="n">
        <x:v>45156</x:v>
      </x:c>
      <x:c r="B668" s="38" t="n">
        <x:v>4369.71</x:v>
      </x:c>
      <x:c r="C668" s="34" t="n">
        <x:f>(B668/B667-1)*100</x:f>
        <x:v>-0.014872916647590273</x:v>
      </x:c>
      <x:c r="D668" s="34" t="n">
        <x:f>Assumptions!$B$4*D667+(1-Assumptions!$B$4)*C667^2</x:f>
        <x:v>0.4463235568719829</x:v>
      </x:c>
      <x:c r="E668" s="34" t="n">
        <x:f>SQRT(D668)</x:f>
        <x:v>0.668074514460762</x:v>
      </x:c>
      <x:c r="F668" s="34" t="n">
        <x:f>-Assumptions!$B$7*E668</x:f>
        <x:v>1.0988847881846286</x:v>
      </x:c>
      <x:c r="G668" s="34" t="n">
        <x:f>-Assumptions!$B$8*E668</x:f>
        <x:v>1.5541737264166604</x:v>
      </x:c>
      <x:c r="H668" s="34" t="n">
        <x:f>-Assumptions!$B$9*E668</x:f>
        <x:v>1.0427639284151555</x:v>
      </x:c>
      <x:c r="I668" s="34" t="n">
        <x:f>-Assumptions!$B$10*E668</x:f>
        <x:v>1.7413118828087528</x:v>
      </x:c>
      <x:c r="J668" s="36" t="n">
        <x:f>IF(C668&lt;-F668,1,0)</x:f>
        <x:v>0</x:v>
      </x:c>
      <x:c r="K668" s="36" t="n">
        <x:f>IF(C668&lt;-G668,1,0)</x:f>
        <x:v>0</x:v>
      </x:c>
      <x:c r="L668" s="36" t="n">
        <x:f>IF(C668&lt;-H668,1,0)</x:f>
        <x:v>0</x:v>
      </x:c>
      <x:c r="M668" s="36" t="n">
        <x:f>IF(C668&lt;-I668,1,0)</x:f>
        <x:v>0</x:v>
      </x:c>
      <x:c r="N668" s="34" t="n">
        <x:f>-F668</x:f>
        <x:v>-1.0988847881846286</x:v>
      </x:c>
      <x:c r="O668" s="34" t="n">
        <x:f>-H668</x:f>
        <x:v>-1.0427639284151555</x:v>
      </x:c>
      <x:c r="P668" s="34" t="n">
        <x:f>-G668</x:f>
        <x:v>-1.5541737264166604</x:v>
      </x:c>
      <x:c r="Q668" s="34" t="n">
        <x:f>-I668</x:f>
        <x:v>-1.7413118828087528</x:v>
      </x:c>
      <x:c r="R668" s="36" t="n">
        <x:f>YEAR(A668)</x:f>
        <x:v>2023</x:v>
      </x:c>
    </x:row>
    <x:row r="669">
      <x:c r="A669" s="30" t="n">
        <x:v>45159</x:v>
      </x:c>
      <x:c r="B669" s="38" t="n">
        <x:v>4399.77</x:v>
      </x:c>
      <x:c r="C669" s="34" t="n">
        <x:f>(B669/B668-1)*100</x:f>
        <x:v>0.6879175048229769</x:v>
      </x:c>
      <x:c r="D669" s="34" t="n">
        <x:f>Assumptions!$B$4*D668+(1-Assumptions!$B$4)*C668^2</x:f>
        <x:v>0.41955741567864024</x:v>
      </x:c>
      <x:c r="E669" s="34" t="n">
        <x:f>SQRT(D669)</x:f>
        <x:v>0.647732518620642</x:v>
      </x:c>
      <x:c r="F669" s="34" t="n">
        <x:f>-Assumptions!$B$7*E669</x:f>
        <x:v>1.0654251825475753</x:v>
      </x:c>
      <x:c r="G669" s="34" t="n">
        <x:f>-Assumptions!$B$8*E669</x:f>
        <x:v>1.5068511676402494</x:v>
      </x:c>
      <x:c r="H669" s="34" t="n">
        <x:f>-Assumptions!$B$9*E669</x:f>
        <x:v>1.0110131296121663</x:v>
      </x:c>
      <x:c r="I669" s="34" t="n">
        <x:f>-Assumptions!$B$10*E669</x:f>
        <x:v>1.688291211746277</x:v>
      </x:c>
      <x:c r="J669" s="36" t="n">
        <x:f>IF(C669&lt;-F669,1,0)</x:f>
        <x:v>0</x:v>
      </x:c>
      <x:c r="K669" s="36" t="n">
        <x:f>IF(C669&lt;-G669,1,0)</x:f>
        <x:v>0</x:v>
      </x:c>
      <x:c r="L669" s="36" t="n">
        <x:f>IF(C669&lt;-H669,1,0)</x:f>
        <x:v>0</x:v>
      </x:c>
      <x:c r="M669" s="36" t="n">
        <x:f>IF(C669&lt;-I669,1,0)</x:f>
        <x:v>0</x:v>
      </x:c>
      <x:c r="N669" s="34" t="n">
        <x:f>-F669</x:f>
        <x:v>-1.0654251825475753</x:v>
      </x:c>
      <x:c r="O669" s="34" t="n">
        <x:f>-H669</x:f>
        <x:v>-1.0110131296121663</x:v>
      </x:c>
      <x:c r="P669" s="34" t="n">
        <x:f>-G669</x:f>
        <x:v>-1.5068511676402494</x:v>
      </x:c>
      <x:c r="Q669" s="34" t="n">
        <x:f>-I669</x:f>
        <x:v>-1.688291211746277</x:v>
      </x:c>
      <x:c r="R669" s="36" t="n">
        <x:f>YEAR(A669)</x:f>
        <x:v>2023</x:v>
      </x:c>
    </x:row>
    <x:row r="670">
      <x:c r="A670" s="30" t="n">
        <x:v>45160</x:v>
      </x:c>
      <x:c r="B670" s="38" t="n">
        <x:v>4387.55</x:v>
      </x:c>
      <x:c r="C670" s="34" t="n">
        <x:f>(B670/B669-1)*100</x:f>
        <x:v>-0.27774179104816943</x:v>
      </x:c>
      <x:c r="D670" s="34" t="n">
        <x:f>Assumptions!$B$4*D669+(1-Assumptions!$B$4)*C669^2</x:f>
        <x:v>0.4227778003444341</x:v>
      </x:c>
      <x:c r="E670" s="34" t="n">
        <x:f>SQRT(D670)</x:f>
        <x:v>0.6502136574576345</x:v>
      </x:c>
      <x:c r="F670" s="34" t="n">
        <x:f>-Assumptions!$B$7*E670</x:f>
        <x:v>1.0695062927625727</x:v>
      </x:c>
      <x:c r="G670" s="34" t="n">
        <x:f>-Assumptions!$B$8*E670</x:f>
        <x:v>1.512623159698887</x:v>
      </x:c>
      <x:c r="H670" s="34" t="n">
        <x:f>-Assumptions!$B$9*E670</x:f>
        <x:v>1.0148858145067456</x:v>
      </x:c>
      <x:c r="I670" s="34" t="n">
        <x:f>-Assumptions!$B$10*E670</x:f>
        <x:v>1.6947582097326328</x:v>
      </x:c>
      <x:c r="J670" s="36" t="n">
        <x:f>IF(C670&lt;-F670,1,0)</x:f>
        <x:v>0</x:v>
      </x:c>
      <x:c r="K670" s="36" t="n">
        <x:f>IF(C670&lt;-G670,1,0)</x:f>
        <x:v>0</x:v>
      </x:c>
      <x:c r="L670" s="36" t="n">
        <x:f>IF(C670&lt;-H670,1,0)</x:f>
        <x:v>0</x:v>
      </x:c>
      <x:c r="M670" s="36" t="n">
        <x:f>IF(C670&lt;-I670,1,0)</x:f>
        <x:v>0</x:v>
      </x:c>
      <x:c r="N670" s="34" t="n">
        <x:f>-F670</x:f>
        <x:v>-1.0695062927625727</x:v>
      </x:c>
      <x:c r="O670" s="34" t="n">
        <x:f>-H670</x:f>
        <x:v>-1.0148858145067456</x:v>
      </x:c>
      <x:c r="P670" s="34" t="n">
        <x:f>-G670</x:f>
        <x:v>-1.512623159698887</x:v>
      </x:c>
      <x:c r="Q670" s="34" t="n">
        <x:f>-I670</x:f>
        <x:v>-1.6947582097326328</x:v>
      </x:c>
      <x:c r="R670" s="36" t="n">
        <x:f>YEAR(A670)</x:f>
        <x:v>2023</x:v>
      </x:c>
    </x:row>
    <x:row r="671">
      <x:c r="A671" s="30" t="n">
        <x:v>45161</x:v>
      </x:c>
      <x:c r="B671" s="38" t="n">
        <x:v>4436.01</x:v>
      </x:c>
      <x:c r="C671" s="34" t="n">
        <x:f>(B671/B670-1)*100</x:f>
        <x:v>1.1044888377340412</x:v>
      </x:c>
      <x:c r="D671" s="34" t="n">
        <x:f>Assumptions!$B$4*D670+(1-Assumptions!$B$4)*C670^2</x:f>
        <x:v>0.40203956247344674</x:v>
      </x:c>
      <x:c r="E671" s="34" t="n">
        <x:f>SQRT(D671)</x:f>
        <x:v>0.6340658975796181</x:v>
      </x:c>
      <x:c r="F671" s="34" t="n">
        <x:f>-Assumptions!$B$7*E671</x:f>
        <x:v>1.0429455913600758</x:v>
      </x:c>
      <x:c r="G671" s="34" t="n">
        <x:f>-Assumptions!$B$8*E671</x:f>
        <x:v>1.4750578528361418</x:v>
      </x:c>
      <x:c r="H671" s="34" t="n">
        <x:f>-Assumptions!$B$9*E671</x:f>
        <x:v>0.9896815877909637</x:v>
      </x:c>
      <x:c r="I671" s="34" t="n">
        <x:f>-Assumptions!$B$10*E671</x:f>
        <x:v>1.6526696619019643</x:v>
      </x:c>
      <x:c r="J671" s="36" t="n">
        <x:f>IF(C671&lt;-F671,1,0)</x:f>
        <x:v>0</x:v>
      </x:c>
      <x:c r="K671" s="36" t="n">
        <x:f>IF(C671&lt;-G671,1,0)</x:f>
        <x:v>0</x:v>
      </x:c>
      <x:c r="L671" s="36" t="n">
        <x:f>IF(C671&lt;-H671,1,0)</x:f>
        <x:v>0</x:v>
      </x:c>
      <x:c r="M671" s="36" t="n">
        <x:f>IF(C671&lt;-I671,1,0)</x:f>
        <x:v>0</x:v>
      </x:c>
      <x:c r="N671" s="34" t="n">
        <x:f>-F671</x:f>
        <x:v>-1.0429455913600758</x:v>
      </x:c>
      <x:c r="O671" s="34" t="n">
        <x:f>-H671</x:f>
        <x:v>-0.9896815877909637</x:v>
      </x:c>
      <x:c r="P671" s="34" t="n">
        <x:f>-G671</x:f>
        <x:v>-1.4750578528361418</x:v>
      </x:c>
      <x:c r="Q671" s="34" t="n">
        <x:f>-I671</x:f>
        <x:v>-1.6526696619019643</x:v>
      </x:c>
      <x:c r="R671" s="36" t="n">
        <x:f>YEAR(A671)</x:f>
        <x:v>2023</x:v>
      </x:c>
    </x:row>
    <x:row r="672">
      <x:c r="A672" s="30" t="n">
        <x:v>45162</x:v>
      </x:c>
      <x:c r="B672" s="38" t="n">
        <x:v>4376.31</x:v>
      </x:c>
      <x:c r="C672" s="34" t="n">
        <x:f>(B672/B671-1)*100</x:f>
        <x:v>-1.3458039995401183</x:v>
      </x:c>
      <x:c r="D672" s="34" t="n">
        <x:f>Assumptions!$B$4*D671+(1-Assumptions!$B$4)*C671^2</x:f>
        <x:v>0.4511109242857856</x:v>
      </x:c>
      <x:c r="E672" s="34" t="n">
        <x:f>SQRT(D672)</x:f>
        <x:v>0.6716479169072034</x:v>
      </x:c>
      <x:c r="F672" s="34" t="n">
        <x:f>-Assumptions!$B$7*E672</x:f>
        <x:v>1.1047625121592148</x:v>
      </x:c>
      <x:c r="G672" s="34" t="n">
        <x:f>-Assumptions!$B$8*E672</x:f>
        <x:v>1.5624867036010315</x:v>
      </x:c>
      <x:c r="H672" s="34" t="n">
        <x:f>-Assumptions!$B$9*E672</x:f>
        <x:v>1.048341472674372</x:v>
      </x:c>
      <x:c r="I672" s="34" t="n">
        <x:f>-Assumptions!$B$10*E672</x:f>
        <x:v>1.7506258261000467</x:v>
      </x:c>
      <x:c r="J672" s="36" t="n">
        <x:f>IF(C672&lt;-F672,1,0)</x:f>
        <x:v>1</x:v>
      </x:c>
      <x:c r="K672" s="36" t="n">
        <x:f>IF(C672&lt;-G672,1,0)</x:f>
        <x:v>0</x:v>
      </x:c>
      <x:c r="L672" s="36" t="n">
        <x:f>IF(C672&lt;-H672,1,0)</x:f>
        <x:v>1</x:v>
      </x:c>
      <x:c r="M672" s="36" t="n">
        <x:f>IF(C672&lt;-I672,1,0)</x:f>
        <x:v>0</x:v>
      </x:c>
      <x:c r="N672" s="34" t="n">
        <x:f>-F672</x:f>
        <x:v>-1.1047625121592148</x:v>
      </x:c>
      <x:c r="O672" s="34" t="n">
        <x:f>-H672</x:f>
        <x:v>-1.048341472674372</x:v>
      </x:c>
      <x:c r="P672" s="34" t="n">
        <x:f>-G672</x:f>
        <x:v>-1.5624867036010315</x:v>
      </x:c>
      <x:c r="Q672" s="34" t="n">
        <x:f>-I672</x:f>
        <x:v>-1.7506258261000467</x:v>
      </x:c>
      <x:c r="R672" s="36" t="n">
        <x:f>YEAR(A672)</x:f>
        <x:v>2023</x:v>
      </x:c>
    </x:row>
    <x:row r="673">
      <x:c r="A673" s="30" t="n">
        <x:v>45163</x:v>
      </x:c>
      <x:c r="B673" s="38" t="n">
        <x:v>4405.71</x:v>
      </x:c>
      <x:c r="C673" s="34" t="n">
        <x:f>(B673/B672-1)*100</x:f>
        <x:v>0.6717988442317857</x:v>
      </x:c>
      <x:c r="D673" s="34" t="n">
        <x:f>Assumptions!$B$4*D672+(1-Assumptions!$B$4)*C672^2</x:f>
        <x:v>0.5327155731393293</x:v>
      </x:c>
      <x:c r="E673" s="34" t="n">
        <x:f>SQRT(D673)</x:f>
        <x:v>0.7298736693012903</x:v>
      </x:c>
      <x:c r="F673" s="34" t="n">
        <x:f>-Assumptions!$B$7*E673</x:f>
        <x:v>1.2005353521666071</x:v>
      </x:c>
      <x:c r="G673" s="34" t="n">
        <x:f>-Assumptions!$B$8*E673</x:f>
        <x:v>1.697940058897444</x:v>
      </x:c>
      <x:c r="H673" s="34" t="n">
        <x:f>-Assumptions!$B$9*E673</x:f>
        <x:v>1.1392231228304075</x:v>
      </x:c>
      <x:c r="I673" s="34" t="n">
        <x:f>-Assumptions!$B$10*E673</x:f>
        <x:v>1.9023891284483487</x:v>
      </x:c>
      <x:c r="J673" s="36" t="n">
        <x:f>IF(C673&lt;-F673,1,0)</x:f>
        <x:v>0</x:v>
      </x:c>
      <x:c r="K673" s="36" t="n">
        <x:f>IF(C673&lt;-G673,1,0)</x:f>
        <x:v>0</x:v>
      </x:c>
      <x:c r="L673" s="36" t="n">
        <x:f>IF(C673&lt;-H673,1,0)</x:f>
        <x:v>0</x:v>
      </x:c>
      <x:c r="M673" s="36" t="n">
        <x:f>IF(C673&lt;-I673,1,0)</x:f>
        <x:v>0</x:v>
      </x:c>
      <x:c r="N673" s="34" t="n">
        <x:f>-F673</x:f>
        <x:v>-1.2005353521666071</x:v>
      </x:c>
      <x:c r="O673" s="34" t="n">
        <x:f>-H673</x:f>
        <x:v>-1.1392231228304075</x:v>
      </x:c>
      <x:c r="P673" s="34" t="n">
        <x:f>-G673</x:f>
        <x:v>-1.697940058897444</x:v>
      </x:c>
      <x:c r="Q673" s="34" t="n">
        <x:f>-I673</x:f>
        <x:v>-1.9023891284483487</x:v>
      </x:c>
      <x:c r="R673" s="36" t="n">
        <x:f>YEAR(A673)</x:f>
        <x:v>2023</x:v>
      </x:c>
    </x:row>
    <x:row r="674">
      <x:c r="A674" s="30" t="n">
        <x:v>45166</x:v>
      </x:c>
      <x:c r="B674" s="38" t="n">
        <x:v>4433.31</x:v>
      </x:c>
      <x:c r="C674" s="34" t="n">
        <x:f>(B674/B673-1)*100</x:f>
        <x:v>0.626459753365527</x:v>
      </x:c>
      <x:c r="D674" s="34" t="n">
        <x:f>Assumptions!$B$4*D673+(1-Assumptions!$B$4)*C673^2</x:f>
        <x:v>0.5278314599776394</x:v>
      </x:c>
      <x:c r="E674" s="34" t="n">
        <x:f>SQRT(D674)</x:f>
        <x:v>0.7265201029411639</x:v>
      </x:c>
      <x:c r="F674" s="34" t="n">
        <x:f>-Assumptions!$B$7*E674</x:f>
        <x:v>1.1950192263759307</x:v>
      </x:c>
      <x:c r="G674" s="34" t="n">
        <x:f>-Assumptions!$B$8*E674</x:f>
        <x:v>1.690138496925109</x:v>
      </x:c>
      <x:c r="H674" s="34" t="n">
        <x:f>-Assumptions!$B$9*E674</x:f>
        <x:v>1.1339887096681138</x:v>
      </x:c>
      <x:c r="I674" s="34" t="n">
        <x:f>-Assumptions!$B$10*E674</x:f>
        <x:v>1.8936481799070182</x:v>
      </x:c>
      <x:c r="J674" s="36" t="n">
        <x:f>IF(C674&lt;-F674,1,0)</x:f>
        <x:v>0</x:v>
      </x:c>
      <x:c r="K674" s="36" t="n">
        <x:f>IF(C674&lt;-G674,1,0)</x:f>
        <x:v>0</x:v>
      </x:c>
      <x:c r="L674" s="36" t="n">
        <x:f>IF(C674&lt;-H674,1,0)</x:f>
        <x:v>0</x:v>
      </x:c>
      <x:c r="M674" s="36" t="n">
        <x:f>IF(C674&lt;-I674,1,0)</x:f>
        <x:v>0</x:v>
      </x:c>
      <x:c r="N674" s="34" t="n">
        <x:f>-F674</x:f>
        <x:v>-1.1950192263759307</x:v>
      </x:c>
      <x:c r="O674" s="34" t="n">
        <x:f>-H674</x:f>
        <x:v>-1.1339887096681138</x:v>
      </x:c>
      <x:c r="P674" s="34" t="n">
        <x:f>-G674</x:f>
        <x:v>-1.690138496925109</x:v>
      </x:c>
      <x:c r="Q674" s="34" t="n">
        <x:f>-I674</x:f>
        <x:v>-1.8936481799070182</x:v>
      </x:c>
      <x:c r="R674" s="36" t="n">
        <x:f>YEAR(A674)</x:f>
        <x:v>2023</x:v>
      </x:c>
    </x:row>
    <x:row r="675">
      <x:c r="A675" s="30" t="n">
        <x:v>45167</x:v>
      </x:c>
      <x:c r="B675" s="38" t="n">
        <x:v>4497.63</x:v>
      </x:c>
      <x:c r="C675" s="34" t="n">
        <x:f>(B675/B674-1)*100</x:f>
        <x:v>1.4508347036412905</x:v>
      </x:c>
      <x:c r="D675" s="34" t="n">
        <x:f>Assumptions!$B$4*D674+(1-Assumptions!$B$4)*C674^2</x:f>
        <x:v>0.5197086817341888</x:v>
      </x:c>
      <x:c r="E675" s="34" t="n">
        <x:f>SQRT(D675)</x:f>
        <x:v>0.7209082339203713</x:v>
      </x:c>
      <x:c r="F675" s="34" t="n">
        <x:f>-Assumptions!$B$7*E675</x:f>
        <x:v>1.1857885232631036</x:v>
      </x:c>
      <x:c r="G675" s="34" t="n">
        <x:f>-Assumptions!$B$8*E675</x:f>
        <x:v>1.6770833373591925</x:v>
      </x:c>
      <x:c r="H675" s="34" t="n">
        <x:f>-Assumptions!$B$9*E675</x:f>
        <x:v>1.125229425397861</x:v>
      </x:c>
      <x:c r="I675" s="34" t="n">
        <x:f>-Assumptions!$B$10*E675</x:f>
        <x:v>1.8790210477546117</x:v>
      </x:c>
      <x:c r="J675" s="36" t="n">
        <x:f>IF(C675&lt;-F675,1,0)</x:f>
        <x:v>0</x:v>
      </x:c>
      <x:c r="K675" s="36" t="n">
        <x:f>IF(C675&lt;-G675,1,0)</x:f>
        <x:v>0</x:v>
      </x:c>
      <x:c r="L675" s="36" t="n">
        <x:f>IF(C675&lt;-H675,1,0)</x:f>
        <x:v>0</x:v>
      </x:c>
      <x:c r="M675" s="36" t="n">
        <x:f>IF(C675&lt;-I675,1,0)</x:f>
        <x:v>0</x:v>
      </x:c>
      <x:c r="N675" s="34" t="n">
        <x:f>-F675</x:f>
        <x:v>-1.1857885232631036</x:v>
      </x:c>
      <x:c r="O675" s="34" t="n">
        <x:f>-H675</x:f>
        <x:v>-1.125229425397861</x:v>
      </x:c>
      <x:c r="P675" s="34" t="n">
        <x:f>-G675</x:f>
        <x:v>-1.6770833373591925</x:v>
      </x:c>
      <x:c r="Q675" s="34" t="n">
        <x:f>-I675</x:f>
        <x:v>-1.8790210477546117</x:v>
      </x:c>
      <x:c r="R675" s="36" t="n">
        <x:f>YEAR(A675)</x:f>
        <x:v>2023</x:v>
      </x:c>
    </x:row>
    <x:row r="676">
      <x:c r="A676" s="30" t="n">
        <x:v>45168</x:v>
      </x:c>
      <x:c r="B676" s="38" t="n">
        <x:v>4514.87</x:v>
      </x:c>
      <x:c r="C676" s="34" t="n">
        <x:f>(B676/B675-1)*100</x:f>
        <x:v>0.383312989285467</x:v>
      </x:c>
      <x:c r="D676" s="34" t="n">
        <x:f>Assumptions!$B$4*D675+(1-Assumptions!$B$4)*C675^2</x:f>
        <x:v>0.6148214410675322</x:v>
      </x:c>
      <x:c r="E676" s="34" t="n">
        <x:f>SQRT(D676)</x:f>
        <x:v>0.7841055037860225</x:v>
      </x:c>
      <x:c r="F676" s="34" t="n">
        <x:f>-Assumptions!$B$7*E676</x:f>
        <x:v>1.289738781815051</x:v>
      </x:c>
      <x:c r="G676" s="34" t="n">
        <x:f>-Assumptions!$B$8*E676</x:f>
        <x:v>1.8241021717563355</x:v>
      </x:c>
      <x:c r="H676" s="34" t="n">
        <x:f>-Assumptions!$B$9*E676</x:f>
        <x:v>1.2238708672786522</x:v>
      </x:c>
      <x:c r="I676" s="34" t="n">
        <x:f>-Assumptions!$B$10*E676</x:f>
        <x:v>2.0437424292713935</x:v>
      </x:c>
      <x:c r="J676" s="36" t="n">
        <x:f>IF(C676&lt;-F676,1,0)</x:f>
        <x:v>0</x:v>
      </x:c>
      <x:c r="K676" s="36" t="n">
        <x:f>IF(C676&lt;-G676,1,0)</x:f>
        <x:v>0</x:v>
      </x:c>
      <x:c r="L676" s="36" t="n">
        <x:f>IF(C676&lt;-H676,1,0)</x:f>
        <x:v>0</x:v>
      </x:c>
      <x:c r="M676" s="36" t="n">
        <x:f>IF(C676&lt;-I676,1,0)</x:f>
        <x:v>0</x:v>
      </x:c>
      <x:c r="N676" s="34" t="n">
        <x:f>-F676</x:f>
        <x:v>-1.289738781815051</x:v>
      </x:c>
      <x:c r="O676" s="34" t="n">
        <x:f>-H676</x:f>
        <x:v>-1.2238708672786522</x:v>
      </x:c>
      <x:c r="P676" s="34" t="n">
        <x:f>-G676</x:f>
        <x:v>-1.8241021717563355</x:v>
      </x:c>
      <x:c r="Q676" s="34" t="n">
        <x:f>-I676</x:f>
        <x:v>-2.0437424292713935</x:v>
      </x:c>
      <x:c r="R676" s="36" t="n">
        <x:f>YEAR(A676)</x:f>
        <x:v>2023</x:v>
      </x:c>
    </x:row>
    <x:row r="677">
      <x:c r="A677" s="30" t="n">
        <x:v>45169</x:v>
      </x:c>
      <x:c r="B677" s="38" t="n">
        <x:v>4507.66</x:v>
      </x:c>
      <x:c r="C677" s="34" t="n">
        <x:f>(B677/B676-1)*100</x:f>
        <x:v>-0.1596945205509792</x:v>
      </x:c>
      <x:c r="D677" s="34" t="n">
        <x:f>Assumptions!$B$4*D676+(1-Assumptions!$B$4)*C676^2</x:f>
        <x:v>0.5867478854687779</x:v>
      </x:c>
      <x:c r="E677" s="34" t="n">
        <x:f>SQRT(D677)</x:f>
        <x:v>0.765994703290289</x:v>
      </x:c>
      <x:c r="F677" s="34" t="n">
        <x:f>-Assumptions!$B$7*E677</x:f>
        <x:v>1.2599491659326492</x:v>
      </x:c>
      <x:c r="G677" s="34" t="n">
        <x:f>-Assumptions!$B$8*E677</x:f>
        <x:v>1.781970149525908</x:v>
      </x:c>
      <x:c r="H677" s="34" t="n">
        <x:f>-Assumptions!$B$9*E677</x:f>
        <x:v>1.1956026291362085</x:v>
      </x:c>
      <x:c r="I677" s="34" t="n">
        <x:f>-Assumptions!$B$10*E677</x:f>
        <x:v>1.9965372875876783</x:v>
      </x:c>
      <x:c r="J677" s="36" t="n">
        <x:f>IF(C677&lt;-F677,1,0)</x:f>
        <x:v>0</x:v>
      </x:c>
      <x:c r="K677" s="36" t="n">
        <x:f>IF(C677&lt;-G677,1,0)</x:f>
        <x:v>0</x:v>
      </x:c>
      <x:c r="L677" s="36" t="n">
        <x:f>IF(C677&lt;-H677,1,0)</x:f>
        <x:v>0</x:v>
      </x:c>
      <x:c r="M677" s="36" t="n">
        <x:f>IF(C677&lt;-I677,1,0)</x:f>
        <x:v>0</x:v>
      </x:c>
      <x:c r="N677" s="34" t="n">
        <x:f>-F677</x:f>
        <x:v>-1.2599491659326492</x:v>
      </x:c>
      <x:c r="O677" s="34" t="n">
        <x:f>-H677</x:f>
        <x:v>-1.1956026291362085</x:v>
      </x:c>
      <x:c r="P677" s="34" t="n">
        <x:f>-G677</x:f>
        <x:v>-1.781970149525908</x:v>
      </x:c>
      <x:c r="Q677" s="34" t="n">
        <x:f>-I677</x:f>
        <x:v>-1.9965372875876783</x:v>
      </x:c>
      <x:c r="R677" s="36" t="n">
        <x:f>YEAR(A677)</x:f>
        <x:v>2023</x:v>
      </x:c>
    </x:row>
    <x:row r="678">
      <x:c r="A678" s="30" t="n">
        <x:v>45170</x:v>
      </x:c>
      <x:c r="B678" s="38" t="n">
        <x:v>4515.77</x:v>
      </x:c>
      <x:c r="C678" s="34" t="n">
        <x:f>(B678/B677-1)*100</x:f>
        <x:v>0.17991596526802933</x:v>
      </x:c>
      <x:c r="D678" s="34" t="n">
        <x:f>Assumptions!$B$4*D677+(1-Assumptions!$B$4)*C677^2</x:f>
        <x:v>0.5530731527342916</x:v>
      </x:c>
      <x:c r="E678" s="34" t="n">
        <x:f>SQRT(D678)</x:f>
        <x:v>0.7436888816798941</x:v>
      </x:c>
      <x:c r="F678" s="34" t="n">
        <x:f>-Assumptions!$B$7*E678</x:f>
        <x:v>1.2232593543546586</x:v>
      </x:c>
      <x:c r="G678" s="34" t="n">
        <x:f>-Assumptions!$B$8*E678</x:f>
        <x:v>1.7300790488438318</x:v>
      </x:c>
      <x:c r="H678" s="34" t="n">
        <x:f>-Assumptions!$B$9*E678</x:f>
        <x:v>1.1607865934013968</x:v>
      </x:c>
      <x:c r="I678" s="34" t="n">
        <x:f>-Assumptions!$B$10*E678</x:f>
        <x:v>1.938397976200619</x:v>
      </x:c>
      <x:c r="J678" s="36" t="n">
        <x:f>IF(C678&lt;-F678,1,0)</x:f>
        <x:v>0</x:v>
      </x:c>
      <x:c r="K678" s="36" t="n">
        <x:f>IF(C678&lt;-G678,1,0)</x:f>
        <x:v>0</x:v>
      </x:c>
      <x:c r="L678" s="36" t="n">
        <x:f>IF(C678&lt;-H678,1,0)</x:f>
        <x:v>0</x:v>
      </x:c>
      <x:c r="M678" s="36" t="n">
        <x:f>IF(C678&lt;-I678,1,0)</x:f>
        <x:v>0</x:v>
      </x:c>
      <x:c r="N678" s="34" t="n">
        <x:f>-F678</x:f>
        <x:v>-1.2232593543546586</x:v>
      </x:c>
      <x:c r="O678" s="34" t="n">
        <x:f>-H678</x:f>
        <x:v>-1.1607865934013968</x:v>
      </x:c>
      <x:c r="P678" s="34" t="n">
        <x:f>-G678</x:f>
        <x:v>-1.7300790488438318</x:v>
      </x:c>
      <x:c r="Q678" s="34" t="n">
        <x:f>-I678</x:f>
        <x:v>-1.938397976200619</x:v>
      </x:c>
      <x:c r="R678" s="36" t="n">
        <x:f>YEAR(A678)</x:f>
        <x:v>2023</x:v>
      </x:c>
    </x:row>
    <x:row r="679">
      <x:c r="A679" s="30" t="n">
        <x:v>45174</x:v>
      </x:c>
      <x:c r="B679" s="38" t="n">
        <x:v>4496.83</x:v>
      </x:c>
      <x:c r="C679" s="34" t="n">
        <x:f>(B679/B678-1)*100</x:f>
        <x:v>-0.419419058100845</x:v>
      </x:c>
      <x:c r="D679" s="34" t="n">
        <x:f>Assumptions!$B$4*D678+(1-Assumptions!$B$4)*C678^2</x:f>
        <x:v>0.5218309488437337</x:v>
      </x:c>
      <x:c r="E679" s="34" t="n">
        <x:f>SQRT(D679)</x:f>
        <x:v>0.7223786741340955</x:v>
      </x:c>
      <x:c r="F679" s="34" t="n">
        <x:f>-Assumptions!$B$7*E679</x:f>
        <x:v>1.1882071821818632</x:v>
      </x:c>
      <x:c r="G679" s="34" t="n">
        <x:f>-Assumptions!$B$8*E679</x:f>
        <x:v>1.680504092824294</x:v>
      </x:c>
      <x:c r="H679" s="34" t="n">
        <x:f>-Assumptions!$B$9*E679</x:f>
        <x:v>1.1275245616148146</x:v>
      </x:c>
      <x:c r="I679" s="34" t="n">
        <x:f>-Assumptions!$B$10*E679</x:f>
        <x:v>1.8828536966009526</x:v>
      </x:c>
      <x:c r="J679" s="36" t="n">
        <x:f>IF(C679&lt;-F679,1,0)</x:f>
        <x:v>0</x:v>
      </x:c>
      <x:c r="K679" s="36" t="n">
        <x:f>IF(C679&lt;-G679,1,0)</x:f>
        <x:v>0</x:v>
      </x:c>
      <x:c r="L679" s="36" t="n">
        <x:f>IF(C679&lt;-H679,1,0)</x:f>
        <x:v>0</x:v>
      </x:c>
      <x:c r="M679" s="36" t="n">
        <x:f>IF(C679&lt;-I679,1,0)</x:f>
        <x:v>0</x:v>
      </x:c>
      <x:c r="N679" s="34" t="n">
        <x:f>-F679</x:f>
        <x:v>-1.1882071821818632</x:v>
      </x:c>
      <x:c r="O679" s="34" t="n">
        <x:f>-H679</x:f>
        <x:v>-1.1275245616148146</x:v>
      </x:c>
      <x:c r="P679" s="34" t="n">
        <x:f>-G679</x:f>
        <x:v>-1.680504092824294</x:v>
      </x:c>
      <x:c r="Q679" s="34" t="n">
        <x:f>-I679</x:f>
        <x:v>-1.8828536966009526</x:v>
      </x:c>
      <x:c r="R679" s="36" t="n">
        <x:f>YEAR(A679)</x:f>
        <x:v>2023</x:v>
      </x:c>
    </x:row>
    <x:row r="680">
      <x:c r="A680" s="30" t="n">
        <x:v>45175</x:v>
      </x:c>
      <x:c r="B680" s="38" t="n">
        <x:v>4465.48</x:v>
      </x:c>
      <x:c r="C680" s="34" t="n">
        <x:f>(B680/B679-1)*100</x:f>
        <x:v>-0.697157775588586</x:v>
      </x:c>
      <x:c r="D680" s="34" t="n">
        <x:f>Assumptions!$B$4*D679+(1-Assumptions!$B$4)*C679^2</x:f>
        <x:v>0.5010758326910016</x:v>
      </x:c>
      <x:c r="E680" s="34" t="n">
        <x:f>SQRT(D680)</x:f>
        <x:v>0.7078671010090818</x:v>
      </x:c>
      <x:c r="F680" s="34" t="n">
        <x:f>-Assumptions!$B$7*E680</x:f>
        <x:v>1.1643377684944127</x:v>
      </x:c>
      <x:c r="G680" s="34" t="n">
        <x:f>-Assumptions!$B$8*E680</x:f>
        <x:v>1.6467451255359302</x:v>
      </x:c>
      <x:c r="H680" s="34" t="n">
        <x:f>-Assumptions!$B$9*E680</x:f>
        <x:v>1.104874176557787</x:v>
      </x:c>
      <x:c r="I680" s="34" t="n">
        <x:f>-Assumptions!$B$10*E680</x:f>
        <x:v>1.8450298099328155</x:v>
      </x:c>
      <x:c r="J680" s="36" t="n">
        <x:f>IF(C680&lt;-F680,1,0)</x:f>
        <x:v>0</x:v>
      </x:c>
      <x:c r="K680" s="36" t="n">
        <x:f>IF(C680&lt;-G680,1,0)</x:f>
        <x:v>0</x:v>
      </x:c>
      <x:c r="L680" s="36" t="n">
        <x:f>IF(C680&lt;-H680,1,0)</x:f>
        <x:v>0</x:v>
      </x:c>
      <x:c r="M680" s="36" t="n">
        <x:f>IF(C680&lt;-I680,1,0)</x:f>
        <x:v>0</x:v>
      </x:c>
      <x:c r="N680" s="34" t="n">
        <x:f>-F680</x:f>
        <x:v>-1.1643377684944127</x:v>
      </x:c>
      <x:c r="O680" s="34" t="n">
        <x:f>-H680</x:f>
        <x:v>-1.104874176557787</x:v>
      </x:c>
      <x:c r="P680" s="34" t="n">
        <x:f>-G680</x:f>
        <x:v>-1.6467451255359302</x:v>
      </x:c>
      <x:c r="Q680" s="34" t="n">
        <x:f>-I680</x:f>
        <x:v>-1.8450298099328155</x:v>
      </x:c>
      <x:c r="R680" s="36" t="n">
        <x:f>YEAR(A680)</x:f>
        <x:v>2023</x:v>
      </x:c>
    </x:row>
    <x:row r="681">
      <x:c r="A681" s="30" t="n">
        <x:v>45176</x:v>
      </x:c>
      <x:c r="B681" s="38" t="n">
        <x:v>4451.14</x:v>
      </x:c>
      <x:c r="C681" s="34" t="n">
        <x:f>(B681/B680-1)*100</x:f>
        <x:v>-0.32113009127796577</x:v>
      </x:c>
      <x:c r="D681" s="34" t="n">
        <x:f>Assumptions!$B$4*D680+(1-Assumptions!$B$4)*C680^2</x:f>
        <x:v>0.5001730205733591</x:v>
      </x:c>
      <x:c r="E681" s="34" t="n">
        <x:f>SQRT(D681)</x:f>
        <x:v>0.7072291146250691</x:v>
      </x:c>
      <x:c r="F681" s="34" t="n">
        <x:f>-Assumptions!$B$7*E681</x:f>
        <x:v>1.163288374276724</x:v>
      </x:c>
      <x:c r="G681" s="34" t="n">
        <x:f>-Assumptions!$B$8*E681</x:f>
        <x:v>1.6452609472678152</x:v>
      </x:c>
      <x:c r="H681" s="34" t="n">
        <x:f>-Assumptions!$B$9*E681</x:f>
        <x:v>1.1038783756797885</x:v>
      </x:c>
      <x:c r="I681" s="34" t="n">
        <x:f>-Assumptions!$B$10*E681</x:f>
        <x:v>1.8433669216658561</x:v>
      </x:c>
      <x:c r="J681" s="36" t="n">
        <x:f>IF(C681&lt;-F681,1,0)</x:f>
        <x:v>0</x:v>
      </x:c>
      <x:c r="K681" s="36" t="n">
        <x:f>IF(C681&lt;-G681,1,0)</x:f>
        <x:v>0</x:v>
      </x:c>
      <x:c r="L681" s="36" t="n">
        <x:f>IF(C681&lt;-H681,1,0)</x:f>
        <x:v>0</x:v>
      </x:c>
      <x:c r="M681" s="36" t="n">
        <x:f>IF(C681&lt;-I681,1,0)</x:f>
        <x:v>0</x:v>
      </x:c>
      <x:c r="N681" s="34" t="n">
        <x:f>-F681</x:f>
        <x:v>-1.163288374276724</x:v>
      </x:c>
      <x:c r="O681" s="34" t="n">
        <x:f>-H681</x:f>
        <x:v>-1.1038783756797885</x:v>
      </x:c>
      <x:c r="P681" s="34" t="n">
        <x:f>-G681</x:f>
        <x:v>-1.6452609472678152</x:v>
      </x:c>
      <x:c r="Q681" s="34" t="n">
        <x:f>-I681</x:f>
        <x:v>-1.8433669216658561</x:v>
      </x:c>
      <x:c r="R681" s="36" t="n">
        <x:f>YEAR(A681)</x:f>
        <x:v>2023</x:v>
      </x:c>
    </x:row>
    <x:row r="682">
      <x:c r="A682" s="30" t="n">
        <x:v>45177</x:v>
      </x:c>
      <x:c r="B682" s="38" t="n">
        <x:v>4457.49</x:v>
      </x:c>
      <x:c r="C682" s="34" t="n">
        <x:f>(B682/B681-1)*100</x:f>
        <x:v>0.14266008258556617</x:v>
      </x:c>
      <x:c r="D682" s="34" t="n">
        <x:f>Assumptions!$B$4*D681+(1-Assumptions!$B$4)*C681^2</x:f>
        <x:v>0.47635011147040923</x:v>
      </x:c>
      <x:c r="E682" s="34" t="n">
        <x:f>SQRT(D682)</x:f>
        <x:v>0.6901812163992941</x:v>
      </x:c>
      <x:c r="F682" s="34" t="n">
        <x:f>-Assumptions!$B$7*E682</x:f>
        <x:v>1.1352470770481582</x:v>
      </x:c>
      <x:c r="G682" s="34" t="n">
        <x:f>-Assumptions!$B$8*E682</x:f>
        <x:v>1.605601605473419</x:v>
      </x:c>
      <x:c r="H682" s="34" t="n">
        <x:f>-Assumptions!$B$9*E682</x:f>
        <x:v>1.0772691682630384</x:v>
      </x:c>
      <x:c r="I682" s="34" t="n">
        <x:f>-Assumptions!$B$10*E682</x:f>
        <x:v>1.7989321960253828</x:v>
      </x:c>
      <x:c r="J682" s="36" t="n">
        <x:f>IF(C682&lt;-F682,1,0)</x:f>
        <x:v>0</x:v>
      </x:c>
      <x:c r="K682" s="36" t="n">
        <x:f>IF(C682&lt;-G682,1,0)</x:f>
        <x:v>0</x:v>
      </x:c>
      <x:c r="L682" s="36" t="n">
        <x:f>IF(C682&lt;-H682,1,0)</x:f>
        <x:v>0</x:v>
      </x:c>
      <x:c r="M682" s="36" t="n">
        <x:f>IF(C682&lt;-I682,1,0)</x:f>
        <x:v>0</x:v>
      </x:c>
      <x:c r="N682" s="34" t="n">
        <x:f>-F682</x:f>
        <x:v>-1.1352470770481582</x:v>
      </x:c>
      <x:c r="O682" s="34" t="n">
        <x:f>-H682</x:f>
        <x:v>-1.0772691682630384</x:v>
      </x:c>
      <x:c r="P682" s="34" t="n">
        <x:f>-G682</x:f>
        <x:v>-1.605601605473419</x:v>
      </x:c>
      <x:c r="Q682" s="34" t="n">
        <x:f>-I682</x:f>
        <x:v>-1.7989321960253828</x:v>
      </x:c>
      <x:c r="R682" s="36" t="n">
        <x:f>YEAR(A682)</x:f>
        <x:v>2023</x:v>
      </x:c>
    </x:row>
    <x:row r="683">
      <x:c r="A683" s="30" t="n">
        <x:v>45180</x:v>
      </x:c>
      <x:c r="B683" s="38" t="n">
        <x:v>4487.46</x:v>
      </x:c>
      <x:c r="C683" s="34" t="n">
        <x:f>(B683/B682-1)*100</x:f>
        <x:v>0.6723514803174124</x:v>
      </x:c>
      <x:c r="D683" s="34" t="n">
        <x:f>Assumptions!$B$4*D682+(1-Assumptions!$B$4)*C682^2</x:f>
        <x:v>0.4489902187319839</x:v>
      </x:c>
      <x:c r="E683" s="34" t="n">
        <x:f>SQRT(D683)</x:f>
        <x:v>0.670067324029447</x:v>
      </x:c>
      <x:c r="F683" s="34" t="n">
        <x:f>-Assumptions!$B$7*E683</x:f>
        <x:v>1.1021626682315038</x:v>
      </x:c>
      <x:c r="G683" s="34" t="n">
        <x:f>-Assumptions!$B$8*E683</x:f>
        <x:v>1.5588096947201389</x:v>
      </x:c>
      <x:c r="H683" s="34" t="n">
        <x:f>-Assumptions!$B$9*E683</x:f>
        <x:v>1.0458744047010269</x:v>
      </x:c>
      <x:c r="I683" s="34" t="n">
        <x:f>-Assumptions!$B$10*E683</x:f>
        <x:v>1.7465060683479618</x:v>
      </x:c>
      <x:c r="J683" s="36" t="n">
        <x:f>IF(C683&lt;-F683,1,0)</x:f>
        <x:v>0</x:v>
      </x:c>
      <x:c r="K683" s="36" t="n">
        <x:f>IF(C683&lt;-G683,1,0)</x:f>
        <x:v>0</x:v>
      </x:c>
      <x:c r="L683" s="36" t="n">
        <x:f>IF(C683&lt;-H683,1,0)</x:f>
        <x:v>0</x:v>
      </x:c>
      <x:c r="M683" s="36" t="n">
        <x:f>IF(C683&lt;-I683,1,0)</x:f>
        <x:v>0</x:v>
      </x:c>
      <x:c r="N683" s="34" t="n">
        <x:f>-F683</x:f>
        <x:v>-1.1021626682315038</x:v>
      </x:c>
      <x:c r="O683" s="34" t="n">
        <x:f>-H683</x:f>
        <x:v>-1.0458744047010269</x:v>
      </x:c>
      <x:c r="P683" s="34" t="n">
        <x:f>-G683</x:f>
        <x:v>-1.5588096947201389</x:v>
      </x:c>
      <x:c r="Q683" s="34" t="n">
        <x:f>-I683</x:f>
        <x:v>-1.7465060683479618</x:v>
      </x:c>
      <x:c r="R683" s="36" t="n">
        <x:f>YEAR(A683)</x:f>
        <x:v>2023</x:v>
      </x:c>
    </x:row>
    <x:row r="684">
      <x:c r="A684" s="30" t="n">
        <x:v>45181</x:v>
      </x:c>
      <x:c r="B684" s="38" t="n">
        <x:v>4461.9</x:v>
      </x:c>
      <x:c r="C684" s="34" t="n">
        <x:f>(B684/B683-1)*100</x:f>
        <x:v>-0.5695872498027943</x:v>
      </x:c>
      <x:c r="D684" s="34" t="n">
        <x:f>Assumptions!$B$4*D683+(1-Assumptions!$B$4)*C683^2</x:f>
        <x:v>0.4491741963931658</x:v>
      </x:c>
      <x:c r="E684" s="34" t="n">
        <x:f>SQRT(D684)</x:f>
        <x:v>0.6702045929364897</x:v>
      </x:c>
      <x:c r="F684" s="34" t="n">
        <x:f>-Assumptions!$B$7*E684</x:f>
        <x:v>1.1023884554911205</x:v>
      </x:c>
      <x:c r="G684" s="34" t="n">
        <x:f>-Assumptions!$B$8*E684</x:f>
        <x:v>1.5591290299502096</x:v>
      </x:c>
      <x:c r="H684" s="34" t="n">
        <x:f>-Assumptions!$B$9*E684</x:f>
        <x:v>1.0460886608381175</x:v>
      </x:c>
      <x:c r="I684" s="34" t="n">
        <x:f>-Assumptions!$B$10*E684</x:f>
        <x:v>1.74686385475322</x:v>
      </x:c>
      <x:c r="J684" s="36" t="n">
        <x:f>IF(C684&lt;-F684,1,0)</x:f>
        <x:v>0</x:v>
      </x:c>
      <x:c r="K684" s="36" t="n">
        <x:f>IF(C684&lt;-G684,1,0)</x:f>
        <x:v>0</x:v>
      </x:c>
      <x:c r="L684" s="36" t="n">
        <x:f>IF(C684&lt;-H684,1,0)</x:f>
        <x:v>0</x:v>
      </x:c>
      <x:c r="M684" s="36" t="n">
        <x:f>IF(C684&lt;-I684,1,0)</x:f>
        <x:v>0</x:v>
      </x:c>
      <x:c r="N684" s="34" t="n">
        <x:f>-F684</x:f>
        <x:v>-1.1023884554911205</x:v>
      </x:c>
      <x:c r="O684" s="34" t="n">
        <x:f>-H684</x:f>
        <x:v>-1.0460886608381175</x:v>
      </x:c>
      <x:c r="P684" s="34" t="n">
        <x:f>-G684</x:f>
        <x:v>-1.5591290299502096</x:v>
      </x:c>
      <x:c r="Q684" s="34" t="n">
        <x:f>-I684</x:f>
        <x:v>-1.74686385475322</x:v>
      </x:c>
      <x:c r="R684" s="36" t="n">
        <x:f>YEAR(A684)</x:f>
        <x:v>2023</x:v>
      </x:c>
    </x:row>
    <x:row r="685">
      <x:c r="A685" s="30" t="n">
        <x:v>45182</x:v>
      </x:c>
      <x:c r="B685" s="38" t="n">
        <x:v>4467.44</x:v>
      </x:c>
      <x:c r="C685" s="34" t="n">
        <x:f>(B685/B684-1)*100</x:f>
        <x:v>0.12416235236110129</x:v>
      </x:c>
      <x:c r="D685" s="34" t="n">
        <x:f>Assumptions!$B$4*D684+(1-Assumptions!$B$4)*C684^2</x:f>
        <x:v>0.4416895227178505</x:v>
      </x:c>
      <x:c r="E685" s="34" t="n">
        <x:f>SQRT(D685)</x:f>
        <x:v>0.6645972635497761</x:v>
      </x:c>
      <x:c r="F685" s="34" t="n">
        <x:f>-Assumptions!$B$7*E685</x:f>
        <x:v>1.093165219411873</x:v>
      </x:c>
      <x:c r="G685" s="34" t="n">
        <x:f>-Assumptions!$B$8*E685</x:f>
        <x:v>1.5460844311523818</x:v>
      </x:c>
      <x:c r="H685" s="34" t="n">
        <x:f>-Assumptions!$B$9*E685</x:f>
        <x:v>1.037336462254511</x:v>
      </x:c>
      <x:c r="I685" s="34" t="n">
        <x:f>-Assumptions!$B$10*E685</x:f>
        <x:v>1.7322485549916535</x:v>
      </x:c>
      <x:c r="J685" s="36" t="n">
        <x:f>IF(C685&lt;-F685,1,0)</x:f>
        <x:v>0</x:v>
      </x:c>
      <x:c r="K685" s="36" t="n">
        <x:f>IF(C685&lt;-G685,1,0)</x:f>
        <x:v>0</x:v>
      </x:c>
      <x:c r="L685" s="36" t="n">
        <x:f>IF(C685&lt;-H685,1,0)</x:f>
        <x:v>0</x:v>
      </x:c>
      <x:c r="M685" s="36" t="n">
        <x:f>IF(C685&lt;-I685,1,0)</x:f>
        <x:v>0</x:v>
      </x:c>
      <x:c r="N685" s="34" t="n">
        <x:f>-F685</x:f>
        <x:v>-1.093165219411873</x:v>
      </x:c>
      <x:c r="O685" s="34" t="n">
        <x:f>-H685</x:f>
        <x:v>-1.037336462254511</x:v>
      </x:c>
      <x:c r="P685" s="34" t="n">
        <x:f>-G685</x:f>
        <x:v>-1.5460844311523818</x:v>
      </x:c>
      <x:c r="Q685" s="34" t="n">
        <x:f>-I685</x:f>
        <x:v>-1.7322485549916535</x:v>
      </x:c>
      <x:c r="R685" s="36" t="n">
        <x:f>YEAR(A685)</x:f>
        <x:v>2023</x:v>
      </x:c>
    </x:row>
    <x:row r="686">
      <x:c r="A686" s="30" t="n">
        <x:v>45183</x:v>
      </x:c>
      <x:c r="B686" s="38" t="n">
        <x:v>4505.1</x:v>
      </x:c>
      <x:c r="C686" s="34" t="n">
        <x:f>(B686/B685-1)*100</x:f>
        <x:v>0.8429883781315706</x:v>
      </x:c>
      <x:c r="D686" s="34" t="n">
        <x:f>Assumptions!$B$4*D685+(1-Assumptions!$B$4)*C685^2</x:f>
        <x:v>0.41611312873941</x:v>
      </x:c>
      <x:c r="E686" s="34" t="n">
        <x:f>SQRT(D686)</x:f>
        <x:v>0.6450683132346604</x:v>
      </x:c>
      <x:c r="F686" s="34" t="n">
        <x:f>-Assumptions!$B$7*E686</x:f>
        <x:v>1.0610429546555</x:v>
      </x:c>
      <x:c r="G686" s="34" t="n">
        <x:f>-Assumptions!$B$8*E686</x:f>
        <x:v>1.5006532991045631</x:v>
      </x:c>
      <x:c r="H686" s="34" t="n">
        <x:f>-Assumptions!$B$9*E686</x:f>
        <x:v>1.0068547053432306</x:v>
      </x:c>
      <x:c r="I686" s="34" t="n">
        <x:f>-Assumptions!$B$10*E686</x:f>
        <x:v>1.6813470574694187</x:v>
      </x:c>
      <x:c r="J686" s="36" t="n">
        <x:f>IF(C686&lt;-F686,1,0)</x:f>
        <x:v>0</x:v>
      </x:c>
      <x:c r="K686" s="36" t="n">
        <x:f>IF(C686&lt;-G686,1,0)</x:f>
        <x:v>0</x:v>
      </x:c>
      <x:c r="L686" s="36" t="n">
        <x:f>IF(C686&lt;-H686,1,0)</x:f>
        <x:v>0</x:v>
      </x:c>
      <x:c r="M686" s="36" t="n">
        <x:f>IF(C686&lt;-I686,1,0)</x:f>
        <x:v>0</x:v>
      </x:c>
      <x:c r="N686" s="34" t="n">
        <x:f>-F686</x:f>
        <x:v>-1.0610429546555</x:v>
      </x:c>
      <x:c r="O686" s="34" t="n">
        <x:f>-H686</x:f>
        <x:v>-1.0068547053432306</x:v>
      </x:c>
      <x:c r="P686" s="34" t="n">
        <x:f>-G686</x:f>
        <x:v>-1.5006532991045631</x:v>
      </x:c>
      <x:c r="Q686" s="34" t="n">
        <x:f>-I686</x:f>
        <x:v>-1.6813470574694187</x:v>
      </x:c>
      <x:c r="R686" s="36" t="n">
        <x:f>YEAR(A686)</x:f>
        <x:v>2023</x:v>
      </x:c>
    </x:row>
    <x:row r="687">
      <x:c r="A687" s="30" t="n">
        <x:v>45184</x:v>
      </x:c>
      <x:c r="B687" s="38" t="n">
        <x:v>4450.32</x:v>
      </x:c>
      <x:c r="C687" s="34" t="n">
        <x:f>(B687/B686-1)*100</x:f>
        <x:v>-1.2159552507158722</x:v>
      </x:c>
      <x:c r="D687" s="34" t="n">
        <x:f>Assumptions!$B$4*D686+(1-Assumptions!$B$4)*C686^2</x:f>
        <x:v>0.43378410535493916</x:v>
      </x:c>
      <x:c r="E687" s="34" t="n">
        <x:f>SQRT(D687)</x:f>
        <x:v>0.6586228855384082</x:v>
      </x:c>
      <x:c r="F687" s="34" t="n">
        <x:f>-Assumptions!$B$7*E687</x:f>
        <x:v>1.0833382420710955</x:v>
      </x:c>
      <x:c r="G687" s="34" t="n">
        <x:f>-Assumptions!$B$8*E687</x:f>
        <x:v>1.5321859495669197</x:v>
      </x:c>
      <x:c r="H687" s="34" t="n">
        <x:f>-Assumptions!$B$9*E687</x:f>
        <x:v>1.0280113559226227</x:v>
      </x:c>
      <x:c r="I687" s="34" t="n">
        <x:f>-Assumptions!$B$10*E687</x:f>
        <x:v>1.7166765563621544</x:v>
      </x:c>
      <x:c r="J687" s="36" t="n">
        <x:f>IF(C687&lt;-F687,1,0)</x:f>
        <x:v>1</x:v>
      </x:c>
      <x:c r="K687" s="36" t="n">
        <x:f>IF(C687&lt;-G687,1,0)</x:f>
        <x:v>0</x:v>
      </x:c>
      <x:c r="L687" s="36" t="n">
        <x:f>IF(C687&lt;-H687,1,0)</x:f>
        <x:v>1</x:v>
      </x:c>
      <x:c r="M687" s="36" t="n">
        <x:f>IF(C687&lt;-I687,1,0)</x:f>
        <x:v>0</x:v>
      </x:c>
      <x:c r="N687" s="34" t="n">
        <x:f>-F687</x:f>
        <x:v>-1.0833382420710955</x:v>
      </x:c>
      <x:c r="O687" s="34" t="n">
        <x:f>-H687</x:f>
        <x:v>-1.0280113559226227</x:v>
      </x:c>
      <x:c r="P687" s="34" t="n">
        <x:f>-G687</x:f>
        <x:v>-1.5321859495669197</x:v>
      </x:c>
      <x:c r="Q687" s="34" t="n">
        <x:f>-I687</x:f>
        <x:v>-1.7166765563621544</x:v>
      </x:c>
      <x:c r="R687" s="36" t="n">
        <x:f>YEAR(A687)</x:f>
        <x:v>2023</x:v>
      </x:c>
    </x:row>
    <x:row r="688">
      <x:c r="A688" s="30" t="n">
        <x:v>45187</x:v>
      </x:c>
      <x:c r="B688" s="38" t="n">
        <x:v>4453.53</x:v>
      </x:c>
      <x:c r="C688" s="34" t="n">
        <x:f>(B688/B687-1)*100</x:f>
        <x:v>0.07212964460983073</x:v>
      </x:c>
      <x:c r="D688" s="34" t="n">
        <x:f>Assumptions!$B$4*D687+(1-Assumptions!$B$4)*C687^2</x:f>
        <x:v>0.49646988933825287</x:v>
      </x:c>
      <x:c r="E688" s="34" t="n">
        <x:f>SQRT(D688)</x:f>
        <x:v>0.7046061945074376</x:v>
      </x:c>
      <x:c r="F688" s="34" t="n">
        <x:f>-Assumptions!$B$7*E688</x:f>
        <x:v>1.1589740546080336</x:v>
      </x:c>
      <x:c r="G688" s="34" t="n">
        <x:f>-Assumptions!$B$8*E688</x:f>
        <x:v>1.6391591226283841</x:v>
      </x:c>
      <x:c r="H688" s="34" t="n">
        <x:f>-Assumptions!$B$9*E688</x:f>
        <x:v>1.0997843915109893</x:v>
      </x:c>
      <x:c r="I688" s="34" t="n">
        <x:f>-Assumptions!$B$10*E688</x:f>
        <x:v>1.8365303759368568</x:v>
      </x:c>
      <x:c r="J688" s="36" t="n">
        <x:f>IF(C688&lt;-F688,1,0)</x:f>
        <x:v>0</x:v>
      </x:c>
      <x:c r="K688" s="36" t="n">
        <x:f>IF(C688&lt;-G688,1,0)</x:f>
        <x:v>0</x:v>
      </x:c>
      <x:c r="L688" s="36" t="n">
        <x:f>IF(C688&lt;-H688,1,0)</x:f>
        <x:v>0</x:v>
      </x:c>
      <x:c r="M688" s="36" t="n">
        <x:f>IF(C688&lt;-I688,1,0)</x:f>
        <x:v>0</x:v>
      </x:c>
      <x:c r="N688" s="34" t="n">
        <x:f>-F688</x:f>
        <x:v>-1.1589740546080336</x:v>
      </x:c>
      <x:c r="O688" s="34" t="n">
        <x:f>-H688</x:f>
        <x:v>-1.0997843915109893</x:v>
      </x:c>
      <x:c r="P688" s="34" t="n">
        <x:f>-G688</x:f>
        <x:v>-1.6391591226283841</x:v>
      </x:c>
      <x:c r="Q688" s="34" t="n">
        <x:f>-I688</x:f>
        <x:v>-1.8365303759368568</x:v>
      </x:c>
      <x:c r="R688" s="36" t="n">
        <x:f>YEAR(A688)</x:f>
        <x:v>2023</x:v>
      </x:c>
    </x:row>
    <x:row r="689">
      <x:c r="A689" s="30" t="n">
        <x:v>45188</x:v>
      </x:c>
      <x:c r="B689" s="38" t="n">
        <x:v>4443.95</x:v>
      </x:c>
      <x:c r="C689" s="34" t="n">
        <x:f>(B689/B688-1)*100</x:f>
        <x:v>-0.21511026084926055</x:v>
      </x:c>
      <x:c r="D689" s="34" t="n">
        <x:f>Assumptions!$B$4*D688+(1-Assumptions!$B$4)*C688^2</x:f>
        <x:v>0.4669938571158501</x:v>
      </x:c>
      <x:c r="E689" s="34" t="n">
        <x:f>SQRT(D689)</x:f>
        <x:v>0.683369487990099</x:v>
      </x:c>
      <x:c r="F689" s="34" t="n">
        <x:f>-Assumptions!$B$7*E689</x:f>
        <x:v>1.1240427808684854</x:v>
      </x:c>
      <x:c r="G689" s="34" t="n">
        <x:f>-Assumptions!$B$8*E689</x:f>
        <x:v>1.5897551555701444</x:v>
      </x:c>
      <x:c r="H689" s="34" t="n">
        <x:f>-Assumptions!$B$9*E689</x:f>
        <x:v>1.0666370837851527</x:v>
      </x:c>
      <x:c r="I689" s="34" t="n">
        <x:f>-Assumptions!$B$10*E689</x:f>
        <x:v>1.7811776740900995</x:v>
      </x:c>
      <x:c r="J689" s="36" t="n">
        <x:f>IF(C689&lt;-F689,1,0)</x:f>
        <x:v>0</x:v>
      </x:c>
      <x:c r="K689" s="36" t="n">
        <x:f>IF(C689&lt;-G689,1,0)</x:f>
        <x:v>0</x:v>
      </x:c>
      <x:c r="L689" s="36" t="n">
        <x:f>IF(C689&lt;-H689,1,0)</x:f>
        <x:v>0</x:v>
      </x:c>
      <x:c r="M689" s="36" t="n">
        <x:f>IF(C689&lt;-I689,1,0)</x:f>
        <x:v>0</x:v>
      </x:c>
      <x:c r="N689" s="34" t="n">
        <x:f>-F689</x:f>
        <x:v>-1.1240427808684854</x:v>
      </x:c>
      <x:c r="O689" s="34" t="n">
        <x:f>-H689</x:f>
        <x:v>-1.0666370837851527</x:v>
      </x:c>
      <x:c r="P689" s="34" t="n">
        <x:f>-G689</x:f>
        <x:v>-1.5897551555701444</x:v>
      </x:c>
      <x:c r="Q689" s="34" t="n">
        <x:f>-I689</x:f>
        <x:v>-1.7811776740900995</x:v>
      </x:c>
      <x:c r="R689" s="36" t="n">
        <x:f>YEAR(A689)</x:f>
        <x:v>2023</x:v>
      </x:c>
    </x:row>
    <x:row r="690">
      <x:c r="A690" s="30" t="n">
        <x:v>45189</x:v>
      </x:c>
      <x:c r="B690" s="38" t="n">
        <x:v>4402.2</x:v>
      </x:c>
      <x:c r="C690" s="34" t="n">
        <x:f>(B690/B689-1)*100</x:f>
        <x:v>-0.9394795170962755</x:v>
      </x:c>
      <x:c r="D690" s="34" t="n">
        <x:f>Assumptions!$B$4*D689+(1-Assumptions!$B$4)*C689^2</x:f>
        <x:v>0.44175057114825733</x:v>
      </x:c>
      <x:c r="E690" s="34" t="n">
        <x:f>SQRT(D690)</x:f>
        <x:v>0.6646431908537522</x:v>
      </x:c>
      <x:c r="F690" s="34" t="n">
        <x:f>-Assumptions!$B$7*E690</x:f>
        <x:v>1.0932407631043943</x:v>
      </x:c>
      <x:c r="G690" s="34" t="n">
        <x:f>-Assumptions!$B$8*E690</x:f>
        <x:v>1.546191274038347</x:v>
      </x:c>
      <x:c r="H690" s="34" t="n">
        <x:f>-Assumptions!$B$9*E690</x:f>
        <x:v>1.0374081478747208</x:v>
      </x:c>
      <x:c r="I690" s="34" t="n">
        <x:f>-Assumptions!$B$10*E690</x:f>
        <x:v>1.7323682628362544</x:v>
      </x:c>
      <x:c r="J690" s="36" t="n">
        <x:f>IF(C690&lt;-F690,1,0)</x:f>
        <x:v>0</x:v>
      </x:c>
      <x:c r="K690" s="36" t="n">
        <x:f>IF(C690&lt;-G690,1,0)</x:f>
        <x:v>0</x:v>
      </x:c>
      <x:c r="L690" s="36" t="n">
        <x:f>IF(C690&lt;-H690,1,0)</x:f>
        <x:v>0</x:v>
      </x:c>
      <x:c r="M690" s="36" t="n">
        <x:f>IF(C690&lt;-I690,1,0)</x:f>
        <x:v>0</x:v>
      </x:c>
      <x:c r="N690" s="34" t="n">
        <x:f>-F690</x:f>
        <x:v>-1.0932407631043943</x:v>
      </x:c>
      <x:c r="O690" s="34" t="n">
        <x:f>-H690</x:f>
        <x:v>-1.0374081478747208</x:v>
      </x:c>
      <x:c r="P690" s="34" t="n">
        <x:f>-G690</x:f>
        <x:v>-1.546191274038347</x:v>
      </x:c>
      <x:c r="Q690" s="34" t="n">
        <x:f>-I690</x:f>
        <x:v>-1.7323682628362544</x:v>
      </x:c>
      <x:c r="R690" s="36" t="n">
        <x:f>YEAR(A690)</x:f>
        <x:v>2023</x:v>
      </x:c>
    </x:row>
    <x:row r="691">
      <x:c r="A691" s="30" t="n">
        <x:v>45190</x:v>
      </x:c>
      <x:c r="B691" s="38" t="n">
        <x:v>4330</x:v>
      </x:c>
      <x:c r="C691" s="34" t="n">
        <x:f>(B691/B690-1)*100</x:f>
        <x:v>-1.6400890463858953</x:v>
      </x:c>
      <x:c r="D691" s="34" t="n">
        <x:f>Assumptions!$B$4*D690+(1-Assumptions!$B$4)*C690^2</x:f>
        <x:v>0.468202842661969</x:v>
      </x:c>
      <x:c r="E691" s="34" t="n">
        <x:f>SQRT(D691)</x:f>
        <x:v>0.6842534929848506</x:v>
      </x:c>
      <x:c r="F691" s="34" t="n">
        <x:f>-Assumptions!$B$7*E691</x:f>
        <x:v>1.1254968396903458</x:v>
      </x:c>
      <x:c r="G691" s="34" t="n">
        <x:f>-Assumptions!$B$8*E691</x:f>
        <x:v>1.5918116587103261</x:v>
      </x:c>
      <x:c r="H691" s="34" t="n">
        <x:f>-Assumptions!$B$9*E691</x:f>
        <x:v>1.0680168827463656</x:v>
      </x:c>
      <x:c r="I691" s="34" t="n">
        <x:f>-Assumptions!$B$10*E691</x:f>
        <x:v>1.783481800903058</x:v>
      </x:c>
      <x:c r="J691" s="36" t="n">
        <x:f>IF(C691&lt;-F691,1,0)</x:f>
        <x:v>1</x:v>
      </x:c>
      <x:c r="K691" s="36" t="n">
        <x:f>IF(C691&lt;-G691,1,0)</x:f>
        <x:v>1</x:v>
      </x:c>
      <x:c r="L691" s="36" t="n">
        <x:f>IF(C691&lt;-H691,1,0)</x:f>
        <x:v>1</x:v>
      </x:c>
      <x:c r="M691" s="36" t="n">
        <x:f>IF(C691&lt;-I691,1,0)</x:f>
        <x:v>0</x:v>
      </x:c>
      <x:c r="N691" s="34" t="n">
        <x:f>-F691</x:f>
        <x:v>-1.1254968396903458</x:v>
      </x:c>
      <x:c r="O691" s="34" t="n">
        <x:f>-H691</x:f>
        <x:v>-1.0680168827463656</x:v>
      </x:c>
      <x:c r="P691" s="34" t="n">
        <x:f>-G691</x:f>
        <x:v>-1.5918116587103261</x:v>
      </x:c>
      <x:c r="Q691" s="34" t="n">
        <x:f>-I691</x:f>
        <x:v>-1.783481800903058</x:v>
      </x:c>
      <x:c r="R691" s="36" t="n">
        <x:f>YEAR(A691)</x:f>
        <x:v>2023</x:v>
      </x:c>
    </x:row>
    <x:row r="692">
      <x:c r="A692" s="30" t="n">
        <x:v>45191</x:v>
      </x:c>
      <x:c r="B692" s="38" t="n">
        <x:v>4320.06</x:v>
      </x:c>
      <x:c r="C692" s="34" t="n">
        <x:f>(B692/B691-1)*100</x:f>
        <x:v>-0.22956120092377796</x:v>
      </x:c>
      <x:c r="D692" s="34" t="n">
        <x:f>Assumptions!$B$4*D691+(1-Assumptions!$B$4)*C691^2</x:f>
        <x:v>0.6015041969067507</x:v>
      </x:c>
      <x:c r="E692" s="34" t="n">
        <x:f>SQRT(D692)</x:f>
        <x:v>0.7755670163865601</x:v>
      </x:c>
      <x:c r="F692" s="34" t="n">
        <x:f>-Assumptions!$B$7*E692</x:f>
        <x:v>1.2756942198473658</x:v>
      </x:c>
      <x:c r="G692" s="34" t="n">
        <x:f>-Assumptions!$B$8*E692</x:f>
        <x:v>1.8042386797470717</x:v>
      </x:c>
      <x:c r="H692" s="34" t="n">
        <x:f>-Assumptions!$B$9*E692</x:f>
        <x:v>1.2105435714895392</x:v>
      </x:c>
      <x:c r="I692" s="34" t="n">
        <x:f>-Assumptions!$B$10*E692</x:f>
        <x:v>2.021487172936855</x:v>
      </x:c>
      <x:c r="J692" s="36" t="n">
        <x:f>IF(C692&lt;-F692,1,0)</x:f>
        <x:v>0</x:v>
      </x:c>
      <x:c r="K692" s="36" t="n">
        <x:f>IF(C692&lt;-G692,1,0)</x:f>
        <x:v>0</x:v>
      </x:c>
      <x:c r="L692" s="36" t="n">
        <x:f>IF(C692&lt;-H692,1,0)</x:f>
        <x:v>0</x:v>
      </x:c>
      <x:c r="M692" s="36" t="n">
        <x:f>IF(C692&lt;-I692,1,0)</x:f>
        <x:v>0</x:v>
      </x:c>
      <x:c r="N692" s="34" t="n">
        <x:f>-F692</x:f>
        <x:v>-1.2756942198473658</x:v>
      </x:c>
      <x:c r="O692" s="34" t="n">
        <x:f>-H692</x:f>
        <x:v>-1.2105435714895392</x:v>
      </x:c>
      <x:c r="P692" s="34" t="n">
        <x:f>-G692</x:f>
        <x:v>-1.8042386797470717</x:v>
      </x:c>
      <x:c r="Q692" s="34" t="n">
        <x:f>-I692</x:f>
        <x:v>-2.021487172936855</x:v>
      </x:c>
      <x:c r="R692" s="36" t="n">
        <x:f>YEAR(A692)</x:f>
        <x:v>2023</x:v>
      </x:c>
    </x:row>
    <x:row r="693">
      <x:c r="A693" s="30" t="n">
        <x:v>45194</x:v>
      </x:c>
      <x:c r="B693" s="38" t="n">
        <x:v>4337.44</x:v>
      </x:c>
      <x:c r="C693" s="34" t="n">
        <x:f>(B693/B692-1)*100</x:f>
        <x:v>0.40230922718664797</x:v>
      </x:c>
      <x:c r="D693" s="34" t="n">
        <x:f>Assumptions!$B$4*D692+(1-Assumptions!$B$4)*C692^2</x:f>
        <x:v>0.5685758457905197</x:v>
      </x:c>
      <x:c r="E693" s="34" t="n">
        <x:f>SQRT(D693)</x:f>
        <x:v>0.7540396844931437</x:v>
      </x:c>
      <x:c r="F693" s="34" t="n">
        <x:f>-Assumptions!$B$7*E693</x:f>
        <x:v>1.2402849099038917</x:v>
      </x:c>
      <x:c r="G693" s="34" t="n">
        <x:f>-Assumptions!$B$8*E693</x:f>
        <x:v>1.754158616963051</x:v>
      </x:c>
      <x:c r="H693" s="34" t="n">
        <x:f>-Assumptions!$B$9*E693</x:f>
        <x:v>1.1769426412226593</x:v>
      </x:c>
      <x:c r="I693" s="34" t="n">
        <x:f>-Assumptions!$B$10*E693</x:f>
        <x:v>1.965376966635346</x:v>
      </x:c>
      <x:c r="J693" s="36" t="n">
        <x:f>IF(C693&lt;-F693,1,0)</x:f>
        <x:v>0</x:v>
      </x:c>
      <x:c r="K693" s="36" t="n">
        <x:f>IF(C693&lt;-G693,1,0)</x:f>
        <x:v>0</x:v>
      </x:c>
      <x:c r="L693" s="36" t="n">
        <x:f>IF(C693&lt;-H693,1,0)</x:f>
        <x:v>0</x:v>
      </x:c>
      <x:c r="M693" s="36" t="n">
        <x:f>IF(C693&lt;-I693,1,0)</x:f>
        <x:v>0</x:v>
      </x:c>
      <x:c r="N693" s="34" t="n">
        <x:f>-F693</x:f>
        <x:v>-1.2402849099038917</x:v>
      </x:c>
      <x:c r="O693" s="34" t="n">
        <x:f>-H693</x:f>
        <x:v>-1.1769426412226593</x:v>
      </x:c>
      <x:c r="P693" s="34" t="n">
        <x:f>-G693</x:f>
        <x:v>-1.754158616963051</x:v>
      </x:c>
      <x:c r="Q693" s="34" t="n">
        <x:f>-I693</x:f>
        <x:v>-1.965376966635346</x:v>
      </x:c>
      <x:c r="R693" s="36" t="n">
        <x:f>YEAR(A693)</x:f>
        <x:v>2023</x:v>
      </x:c>
    </x:row>
    <x:row r="694">
      <x:c r="A694" s="30" t="n">
        <x:v>45195</x:v>
      </x:c>
      <x:c r="B694" s="38" t="n">
        <x:v>4273.53</x:v>
      </x:c>
      <x:c r="C694" s="34" t="n">
        <x:f>(B694/B693-1)*100</x:f>
        <x:v>-1.473449776826885</x:v>
      </x:c>
      <x:c r="D694" s="34" t="n">
        <x:f>Assumptions!$B$4*D693+(1-Assumptions!$B$4)*C693^2</x:f>
        <x:v>0.5441724578998596</x:v>
      </x:c>
      <x:c r="E694" s="34" t="n">
        <x:f>SQRT(D694)</x:f>
        <x:v>0.737680457854117</x:v>
      </x:c>
      <x:c r="F694" s="34" t="n">
        <x:f>-Assumptions!$B$7*E694</x:f>
        <x:v>1.2133763766325674</x:v>
      </x:c>
      <x:c r="G694" s="34" t="n">
        <x:f>-Assumptions!$B$8*E694</x:f>
        <x:v>1.7161013648503987</x:v>
      </x:c>
      <x:c r="H694" s="34" t="n">
        <x:f>-Assumptions!$B$9*E694</x:f>
        <x:v>1.1514083466691325</x:v>
      </x:c>
      <x:c r="I694" s="34" t="n">
        <x:f>-Assumptions!$B$10*E694</x:f>
        <x:v>1.9227372383962111</x:v>
      </x:c>
      <x:c r="J694" s="36" t="n">
        <x:f>IF(C694&lt;-F694,1,0)</x:f>
        <x:v>1</x:v>
      </x:c>
      <x:c r="K694" s="36" t="n">
        <x:f>IF(C694&lt;-G694,1,0)</x:f>
        <x:v>0</x:v>
      </x:c>
      <x:c r="L694" s="36" t="n">
        <x:f>IF(C694&lt;-H694,1,0)</x:f>
        <x:v>1</x:v>
      </x:c>
      <x:c r="M694" s="36" t="n">
        <x:f>IF(C694&lt;-I694,1,0)</x:f>
        <x:v>0</x:v>
      </x:c>
      <x:c r="N694" s="34" t="n">
        <x:f>-F694</x:f>
        <x:v>-1.2133763766325674</x:v>
      </x:c>
      <x:c r="O694" s="34" t="n">
        <x:f>-H694</x:f>
        <x:v>-1.1514083466691325</x:v>
      </x:c>
      <x:c r="P694" s="34" t="n">
        <x:f>-G694</x:f>
        <x:v>-1.7161013648503987</x:v>
      </x:c>
      <x:c r="Q694" s="34" t="n">
        <x:f>-I694</x:f>
        <x:v>-1.9227372383962111</x:v>
      </x:c>
      <x:c r="R694" s="36" t="n">
        <x:f>YEAR(A694)</x:f>
        <x:v>2023</x:v>
      </x:c>
    </x:row>
    <x:row r="695">
      <x:c r="A695" s="30" t="n">
        <x:v>45196</x:v>
      </x:c>
      <x:c r="B695" s="38" t="n">
        <x:v>4274.51</x:v>
      </x:c>
      <x:c r="C695" s="34" t="n">
        <x:f>(B695/B694-1)*100</x:f>
        <x:v>0.02293186195019281</x:v>
      </x:c>
      <x:c r="D695" s="34" t="n">
        <x:f>Assumptions!$B$4*D694+(1-Assumptions!$B$4)*C694^2</x:f>
        <x:v>0.6417853651157399</x:v>
      </x:c>
      <x:c r="E695" s="34" t="n">
        <x:f>SQRT(D695)</x:f>
        <x:v>0.8011150760756783</x:v>
      </x:c>
      <x:c r="F695" s="34" t="n">
        <x:f>-Assumptions!$B$7*E695</x:f>
        <x:v>1.3177170384885846</x:v>
      </x:c>
      <x:c r="G695" s="34" t="n">
        <x:f>-Assumptions!$B$8*E695</x:f>
        <x:v>1.8636723540907203</x:v>
      </x:c>
      <x:c r="H695" s="34" t="n">
        <x:f>-Assumptions!$B$9*E695</x:f>
        <x:v>1.2504202536681923</x:v>
      </x:c>
      <x:c r="I695" s="34" t="n">
        <x:f>-Assumptions!$B$10*E695</x:f>
        <x:v>2.0880772597556536</x:v>
      </x:c>
      <x:c r="J695" s="36" t="n">
        <x:f>IF(C695&lt;-F695,1,0)</x:f>
        <x:v>0</x:v>
      </x:c>
      <x:c r="K695" s="36" t="n">
        <x:f>IF(C695&lt;-G695,1,0)</x:f>
        <x:v>0</x:v>
      </x:c>
      <x:c r="L695" s="36" t="n">
        <x:f>IF(C695&lt;-H695,1,0)</x:f>
        <x:v>0</x:v>
      </x:c>
      <x:c r="M695" s="36" t="n">
        <x:f>IF(C695&lt;-I695,1,0)</x:f>
        <x:v>0</x:v>
      </x:c>
      <x:c r="N695" s="34" t="n">
        <x:f>-F695</x:f>
        <x:v>-1.3177170384885846</x:v>
      </x:c>
      <x:c r="O695" s="34" t="n">
        <x:f>-H695</x:f>
        <x:v>-1.2504202536681923</x:v>
      </x:c>
      <x:c r="P695" s="34" t="n">
        <x:f>-G695</x:f>
        <x:v>-1.8636723540907203</x:v>
      </x:c>
      <x:c r="Q695" s="34" t="n">
        <x:f>-I695</x:f>
        <x:v>-2.0880772597556536</x:v>
      </x:c>
      <x:c r="R695" s="36" t="n">
        <x:f>YEAR(A695)</x:f>
        <x:v>2023</x:v>
      </x:c>
    </x:row>
    <x:row r="696">
      <x:c r="A696" s="30" t="n">
        <x:v>45197</x:v>
      </x:c>
      <x:c r="B696" s="38" t="n">
        <x:v>4299.7</x:v>
      </x:c>
      <x:c r="C696" s="34" t="n">
        <x:f>(B696/B695-1)*100</x:f>
        <x:v>0.5893073124170867</x:v>
      </x:c>
      <x:c r="D696" s="34" t="n">
        <x:f>Assumptions!$B$4*D695+(1-Assumptions!$B$4)*C695^2</x:f>
        <x:v>0.6033097954263457</x:v>
      </x:c>
      <x:c r="E696" s="34" t="n">
        <x:f>SQRT(D696)</x:f>
        <x:v>0.7767301947435452</x:v>
      </x:c>
      <x:c r="F696" s="34" t="n">
        <x:f>-Assumptions!$B$7*E696</x:f>
        <x:v>1.2776074779866442</x:v>
      </x:c>
      <x:c r="G696" s="34" t="n">
        <x:f>-Assumptions!$B$8*E696</x:f>
        <x:v>1.8069446372449742</x:v>
      </x:c>
      <x:c r="H696" s="34" t="n">
        <x:f>-Assumptions!$B$9*E696</x:f>
        <x:v>1.212359118119029</x:v>
      </x:c>
      <x:c r="I696" s="34" t="n">
        <x:f>-Assumptions!$B$10*E696</x:f>
        <x:v>2.024518954947697</x:v>
      </x:c>
      <x:c r="J696" s="36" t="n">
        <x:f>IF(C696&lt;-F696,1,0)</x:f>
        <x:v>0</x:v>
      </x:c>
      <x:c r="K696" s="36" t="n">
        <x:f>IF(C696&lt;-G696,1,0)</x:f>
        <x:v>0</x:v>
      </x:c>
      <x:c r="L696" s="36" t="n">
        <x:f>IF(C696&lt;-H696,1,0)</x:f>
        <x:v>0</x:v>
      </x:c>
      <x:c r="M696" s="36" t="n">
        <x:f>IF(C696&lt;-I696,1,0)</x:f>
        <x:v>0</x:v>
      </x:c>
      <x:c r="N696" s="34" t="n">
        <x:f>-F696</x:f>
        <x:v>-1.2776074779866442</x:v>
      </x:c>
      <x:c r="O696" s="34" t="n">
        <x:f>-H696</x:f>
        <x:v>-1.212359118119029</x:v>
      </x:c>
      <x:c r="P696" s="34" t="n">
        <x:f>-G696</x:f>
        <x:v>-1.8069446372449742</x:v>
      </x:c>
      <x:c r="Q696" s="34" t="n">
        <x:f>-I696</x:f>
        <x:v>-2.024518954947697</x:v>
      </x:c>
      <x:c r="R696" s="36" t="n">
        <x:f>YEAR(A696)</x:f>
        <x:v>2023</x:v>
      </x:c>
    </x:row>
    <x:row r="697">
      <x:c r="A697" s="30" t="n">
        <x:v>45198</x:v>
      </x:c>
      <x:c r="B697" s="38" t="n">
        <x:v>4288.05</x:v>
      </x:c>
      <x:c r="C697" s="34" t="n">
        <x:f>(B697/B696-1)*100</x:f>
        <x:v>-0.2709491359862204</x:v>
      </x:c>
      <x:c r="D697" s="34" t="n">
        <x:f>Assumptions!$B$4*D696+(1-Assumptions!$B$4)*C696^2</x:f>
        <x:v>0.5879481942088598</x:v>
      </x:c>
      <x:c r="E697" s="34" t="n">
        <x:f>SQRT(D697)</x:f>
        <x:v>0.766777799762656</x:v>
      </x:c>
      <x:c r="F697" s="34" t="n">
        <x:f>-Assumptions!$B$7*E697</x:f>
        <x:v>1.261237245005475</x:v>
      </x:c>
      <x:c r="G697" s="34" t="n">
        <x:f>-Assumptions!$B$8*E697</x:f>
        <x:v>1.783791904339568</x:v>
      </x:c>
      <x:c r="H697" s="34" t="n">
        <x:f>-Assumptions!$B$9*E697</x:f>
        <x:v>1.196824925057065</x:v>
      </x:c>
      <x:c r="I697" s="34" t="n">
        <x:f>-Assumptions!$B$10*E697</x:f>
        <x:v>1.998578400013317</x:v>
      </x:c>
      <x:c r="J697" s="36" t="n">
        <x:f>IF(C697&lt;-F697,1,0)</x:f>
        <x:v>0</x:v>
      </x:c>
      <x:c r="K697" s="36" t="n">
        <x:f>IF(C697&lt;-G697,1,0)</x:f>
        <x:v>0</x:v>
      </x:c>
      <x:c r="L697" s="36" t="n">
        <x:f>IF(C697&lt;-H697,1,0)</x:f>
        <x:v>0</x:v>
      </x:c>
      <x:c r="M697" s="36" t="n">
        <x:f>IF(C697&lt;-I697,1,0)</x:f>
        <x:v>0</x:v>
      </x:c>
      <x:c r="N697" s="34" t="n">
        <x:f>-F697</x:f>
        <x:v>-1.261237245005475</x:v>
      </x:c>
      <x:c r="O697" s="34" t="n">
        <x:f>-H697</x:f>
        <x:v>-1.196824925057065</x:v>
      </x:c>
      <x:c r="P697" s="34" t="n">
        <x:f>-G697</x:f>
        <x:v>-1.783791904339568</x:v>
      </x:c>
      <x:c r="Q697" s="34" t="n">
        <x:f>-I697</x:f>
        <x:v>-1.998578400013317</x:v>
      </x:c>
      <x:c r="R697" s="36" t="n">
        <x:f>YEAR(A697)</x:f>
        <x:v>2023</x:v>
      </x:c>
    </x:row>
    <x:row r="698">
      <x:c r="A698" s="30" t="n">
        <x:v>45201</x:v>
      </x:c>
      <x:c r="B698" s="38" t="n">
        <x:v>4288.39</x:v>
      </x:c>
      <x:c r="C698" s="34" t="n">
        <x:f>(B698/B697-1)*100</x:f>
        <x:v>0.00792901202177898</x:v>
      </x:c>
      <x:c r="D698" s="34" t="n">
        <x:f>Assumptions!$B$4*D697+(1-Assumptions!$B$4)*C697^2</x:f>
        <x:v>0.5570761086138288</x:v>
      </x:c>
      <x:c r="E698" s="34" t="n">
        <x:f>SQRT(D698)</x:f>
        <x:v>0.7463753135077746</x:v>
      </x:c>
      <x:c r="F698" s="34" t="n">
        <x:f>-Assumptions!$B$7*E698</x:f>
        <x:v>1.2276781414903057</x:v>
      </x:c>
      <x:c r="G698" s="34" t="n">
        <x:f>-Assumptions!$B$8*E698</x:f>
        <x:v>1.7363286238153772</x:v>
      </x:c>
      <x:c r="H698" s="34" t="n">
        <x:f>-Assumptions!$B$9*E698</x:f>
        <x:v>1.1649797098062655</x:v>
      </x:c>
      <x:c r="I698" s="34" t="n">
        <x:f>-Assumptions!$B$10*E698</x:f>
        <x:v>1.9454000628885384</x:v>
      </x:c>
      <x:c r="J698" s="36" t="n">
        <x:f>IF(C698&lt;-F698,1,0)</x:f>
        <x:v>0</x:v>
      </x:c>
      <x:c r="K698" s="36" t="n">
        <x:f>IF(C698&lt;-G698,1,0)</x:f>
        <x:v>0</x:v>
      </x:c>
      <x:c r="L698" s="36" t="n">
        <x:f>IF(C698&lt;-H698,1,0)</x:f>
        <x:v>0</x:v>
      </x:c>
      <x:c r="M698" s="36" t="n">
        <x:f>IF(C698&lt;-I698,1,0)</x:f>
        <x:v>0</x:v>
      </x:c>
      <x:c r="N698" s="34" t="n">
        <x:f>-F698</x:f>
        <x:v>-1.2276781414903057</x:v>
      </x:c>
      <x:c r="O698" s="34" t="n">
        <x:f>-H698</x:f>
        <x:v>-1.1649797098062655</x:v>
      </x:c>
      <x:c r="P698" s="34" t="n">
        <x:f>-G698</x:f>
        <x:v>-1.7363286238153772</x:v>
      </x:c>
      <x:c r="Q698" s="34" t="n">
        <x:f>-I698</x:f>
        <x:v>-1.9454000628885384</x:v>
      </x:c>
      <x:c r="R698" s="36" t="n">
        <x:f>YEAR(A698)</x:f>
        <x:v>2023</x:v>
      </x:c>
    </x:row>
    <x:row r="699">
      <x:c r="A699" s="30" t="n">
        <x:v>45202</x:v>
      </x:c>
      <x:c r="B699" s="38" t="n">
        <x:v>4229.45</x:v>
      </x:c>
      <x:c r="C699" s="34" t="n">
        <x:f>(B699/B698-1)*100</x:f>
        <x:v>-1.374408577578079</x:v>
      </x:c>
      <x:c r="D699" s="34" t="n">
        <x:f>Assumptions!$B$4*D698+(1-Assumptions!$B$4)*C698^2</x:f>
        <x:v>0.5236553142508975</x:v>
      </x:c>
      <x:c r="E699" s="34" t="n">
        <x:f>SQRT(D699)</x:f>
        <x:v>0.7236403210510712</x:v>
      </x:c>
      <x:c r="F699" s="34" t="n">
        <x:f>-Assumptions!$B$7*E699</x:f>
        <x:v>1.1902824066891828</x:v>
      </x:c>
      <x:c r="G699" s="34" t="n">
        <x:f>-Assumptions!$B$8*E699</x:f>
        <x:v>1.6834391224473908</x:v>
      </x:c>
      <x:c r="H699" s="34" t="n">
        <x:f>-Assumptions!$B$9*E699</x:f>
        <x:v>1.1294938028700066</x:v>
      </x:c>
      <x:c r="I699" s="34" t="n">
        <x:f>-Assumptions!$B$10*E699</x:f>
        <x:v>1.8861421333260269</x:v>
      </x:c>
      <x:c r="J699" s="36" t="n">
        <x:f>IF(C699&lt;-F699,1,0)</x:f>
        <x:v>1</x:v>
      </x:c>
      <x:c r="K699" s="36" t="n">
        <x:f>IF(C699&lt;-G699,1,0)</x:f>
        <x:v>0</x:v>
      </x:c>
      <x:c r="L699" s="36" t="n">
        <x:f>IF(C699&lt;-H699,1,0)</x:f>
        <x:v>1</x:v>
      </x:c>
      <x:c r="M699" s="36" t="n">
        <x:f>IF(C699&lt;-I699,1,0)</x:f>
        <x:v>0</x:v>
      </x:c>
      <x:c r="N699" s="34" t="n">
        <x:f>-F699</x:f>
        <x:v>-1.1902824066891828</x:v>
      </x:c>
      <x:c r="O699" s="34" t="n">
        <x:f>-H699</x:f>
        <x:v>-1.1294938028700066</x:v>
      </x:c>
      <x:c r="P699" s="34" t="n">
        <x:f>-G699</x:f>
        <x:v>-1.6834391224473908</x:v>
      </x:c>
      <x:c r="Q699" s="34" t="n">
        <x:f>-I699</x:f>
        <x:v>-1.8861421333260269</x:v>
      </x:c>
      <x:c r="R699" s="36" t="n">
        <x:f>YEAR(A699)</x:f>
        <x:v>2023</x:v>
      </x:c>
    </x:row>
    <x:row r="700">
      <x:c r="A700" s="30" t="n">
        <x:v>45203</x:v>
      </x:c>
      <x:c r="B700" s="38" t="n">
        <x:v>4263.75</x:v>
      </x:c>
      <x:c r="C700" s="34" t="n">
        <x:f>(B700/B699-1)*100</x:f>
        <x:v>0.8109801510834735</x:v>
      </x:c>
      <x:c r="D700" s="34" t="n">
        <x:f>Assumptions!$B$4*D699+(1-Assumptions!$B$4)*C699^2</x:f>
        <x:v>0.6055759316830556</x:v>
      </x:c>
      <x:c r="E700" s="34" t="n">
        <x:f>SQRT(D700)</x:f>
        <x:v>0.778187594146203</x:v>
      </x:c>
      <x:c r="F700" s="34" t="n">
        <x:f>-Assumptions!$B$7*E700</x:f>
        <x:v>1.2800046866800228</x:v>
      </x:c>
      <x:c r="G700" s="34" t="n">
        <x:f>-Assumptions!$B$8*E700</x:f>
        <x:v>1.8103350552469755</x:v>
      </x:c>
      <x:c r="H700" s="34" t="n">
        <x:f>-Assumptions!$B$9*E700</x:f>
        <x:v>1.214633899589494</x:v>
      </x:c>
      <x:c r="I700" s="34" t="n">
        <x:f>-Assumptions!$B$10*E700</x:f>
        <x:v>2.028317613395093</x:v>
      </x:c>
      <x:c r="J700" s="36" t="n">
        <x:f>IF(C700&lt;-F700,1,0)</x:f>
        <x:v>0</x:v>
      </x:c>
      <x:c r="K700" s="36" t="n">
        <x:f>IF(C700&lt;-G700,1,0)</x:f>
        <x:v>0</x:v>
      </x:c>
      <x:c r="L700" s="36" t="n">
        <x:f>IF(C700&lt;-H700,1,0)</x:f>
        <x:v>0</x:v>
      </x:c>
      <x:c r="M700" s="36" t="n">
        <x:f>IF(C700&lt;-I700,1,0)</x:f>
        <x:v>0</x:v>
      </x:c>
      <x:c r="N700" s="34" t="n">
        <x:f>-F700</x:f>
        <x:v>-1.2800046866800228</x:v>
      </x:c>
      <x:c r="O700" s="34" t="n">
        <x:f>-H700</x:f>
        <x:v>-1.214633899589494</x:v>
      </x:c>
      <x:c r="P700" s="34" t="n">
        <x:f>-G700</x:f>
        <x:v>-1.8103350552469755</x:v>
      </x:c>
      <x:c r="Q700" s="34" t="n">
        <x:f>-I700</x:f>
        <x:v>-2.028317613395093</x:v>
      </x:c>
      <x:c r="R700" s="36" t="n">
        <x:f>YEAR(A700)</x:f>
        <x:v>2023</x:v>
      </x:c>
    </x:row>
    <x:row r="701">
      <x:c r="A701" s="30" t="n">
        <x:v>45204</x:v>
      </x:c>
      <x:c r="B701" s="38" t="n">
        <x:v>4258.19</x:v>
      </x:c>
      <x:c r="C701" s="34" t="n">
        <x:f>(B701/B700-1)*100</x:f>
        <x:v>-0.13040164174730196</x:v>
      </x:c>
      <x:c r="D701" s="34" t="n">
        <x:f>Assumptions!$B$4*D700+(1-Assumptions!$B$4)*C700^2</x:f>
        <x:v>0.6087027041091547</x:v>
      </x:c>
      <x:c r="E701" s="34" t="n">
        <x:f>SQRT(D701)</x:f>
        <x:v>0.7801940169657511</x:v>
      </x:c>
      <x:c r="F701" s="34" t="n">
        <x:f>-Assumptions!$B$7*E701</x:f>
        <x:v>1.2833049585319547</x:v>
      </x:c>
      <x:c r="G701" s="34" t="n">
        <x:f>-Assumptions!$B$8*E701</x:f>
        <x:v>1.8150026927076583</x:v>
      </x:c>
      <x:c r="H701" s="34" t="n">
        <x:f>-Assumptions!$B$9*E701</x:f>
        <x:v>1.2177656241143586</x:v>
      </x:c>
      <x:c r="I701" s="34" t="n">
        <x:f>-Assumptions!$B$10*E701</x:f>
        <x:v>2.033547281376722</x:v>
      </x:c>
      <x:c r="J701" s="36" t="n">
        <x:f>IF(C701&lt;-F701,1,0)</x:f>
        <x:v>0</x:v>
      </x:c>
      <x:c r="K701" s="36" t="n">
        <x:f>IF(C701&lt;-G701,1,0)</x:f>
        <x:v>0</x:v>
      </x:c>
      <x:c r="L701" s="36" t="n">
        <x:f>IF(C701&lt;-H701,1,0)</x:f>
        <x:v>0</x:v>
      </x:c>
      <x:c r="M701" s="36" t="n">
        <x:f>IF(C701&lt;-I701,1,0)</x:f>
        <x:v>0</x:v>
      </x:c>
      <x:c r="N701" s="34" t="n">
        <x:f>-F701</x:f>
        <x:v>-1.2833049585319547</x:v>
      </x:c>
      <x:c r="O701" s="34" t="n">
        <x:f>-H701</x:f>
        <x:v>-1.2177656241143586</x:v>
      </x:c>
      <x:c r="P701" s="34" t="n">
        <x:f>-G701</x:f>
        <x:v>-1.8150026927076583</x:v>
      </x:c>
      <x:c r="Q701" s="34" t="n">
        <x:f>-I701</x:f>
        <x:v>-2.033547281376722</x:v>
      </x:c>
      <x:c r="R701" s="36" t="n">
        <x:f>YEAR(A701)</x:f>
        <x:v>2023</x:v>
      </x:c>
    </x:row>
    <x:row r="702">
      <x:c r="A702" s="30" t="n">
        <x:v>45205</x:v>
      </x:c>
      <x:c r="B702" s="38" t="n">
        <x:v>4308.5</x:v>
      </x:c>
      <x:c r="C702" s="34" t="n">
        <x:f>(B702/B701-1)*100</x:f>
        <x:v>1.1814879091820885</x:v>
      </x:c>
      <x:c r="D702" s="34" t="n">
        <x:f>Assumptions!$B$4*D701+(1-Assumptions!$B$4)*C701^2</x:f>
        <x:v>0.5732008171528289</x:v>
      </x:c>
      <x:c r="E702" s="34" t="n">
        <x:f>SQRT(D702)</x:f>
        <x:v>0.7571002688896821</x:v>
      </x:c>
      <x:c r="F702" s="34" t="n">
        <x:f>-Assumptions!$B$7*E702</x:f>
        <x:v>1.245319123249129</x:v>
      </x:c>
      <x:c r="G702" s="34" t="n">
        <x:f>-Assumptions!$B$8*E702</x:f>
        <x:v>1.7612786009672605</x:v>
      </x:c>
      <x:c r="H702" s="34" t="n">
        <x:f>-Assumptions!$B$9*E702</x:f>
        <x:v>1.1817197535649202</x:v>
      </x:c>
      <x:c r="I702" s="34" t="n">
        <x:f>-Assumptions!$B$10*E702</x:f>
        <x:v>1.9733542683624339</x:v>
      </x:c>
      <x:c r="J702" s="36" t="n">
        <x:f>IF(C702&lt;-F702,1,0)</x:f>
        <x:v>0</x:v>
      </x:c>
      <x:c r="K702" s="36" t="n">
        <x:f>IF(C702&lt;-G702,1,0)</x:f>
        <x:v>0</x:v>
      </x:c>
      <x:c r="L702" s="36" t="n">
        <x:f>IF(C702&lt;-H702,1,0)</x:f>
        <x:v>0</x:v>
      </x:c>
      <x:c r="M702" s="36" t="n">
        <x:f>IF(C702&lt;-I702,1,0)</x:f>
        <x:v>0</x:v>
      </x:c>
      <x:c r="N702" s="34" t="n">
        <x:f>-F702</x:f>
        <x:v>-1.245319123249129</x:v>
      </x:c>
      <x:c r="O702" s="34" t="n">
        <x:f>-H702</x:f>
        <x:v>-1.1817197535649202</x:v>
      </x:c>
      <x:c r="P702" s="34" t="n">
        <x:f>-G702</x:f>
        <x:v>-1.7612786009672605</x:v>
      </x:c>
      <x:c r="Q702" s="34" t="n">
        <x:f>-I702</x:f>
        <x:v>-1.9733542683624339</x:v>
      </x:c>
      <x:c r="R702" s="36" t="n">
        <x:f>YEAR(A702)</x:f>
        <x:v>2023</x:v>
      </x:c>
    </x:row>
    <x:row r="703">
      <x:c r="A703" s="30" t="n">
        <x:v>45208</x:v>
      </x:c>
      <x:c r="B703" s="38" t="n">
        <x:v>4335.66</x:v>
      </x:c>
      <x:c r="C703" s="34" t="n">
        <x:f>(B703/B702-1)*100</x:f>
        <x:v>0.6303818034118613</x:v>
      </x:c>
      <x:c r="D703" s="34" t="n">
        <x:f>Assumptions!$B$4*D702+(1-Assumptions!$B$4)*C702^2</x:f>
        <x:v>0.622563588896267</x:v>
      </x:c>
      <x:c r="E703" s="34" t="n">
        <x:f>SQRT(D703)</x:f>
        <x:v>0.7890269886995419</x:v>
      </x:c>
      <x:c r="F703" s="34" t="n">
        <x:f>-Assumptions!$B$7*E703</x:f>
        <x:v>1.2978339041250404</x:v>
      </x:c>
      <x:c r="G703" s="34" t="n">
        <x:f>-Assumptions!$B$8*E703</x:f>
        <x:v>1.8355512577220254</x:v>
      </x:c>
      <x:c r="H703" s="34" t="n">
        <x:f>-Assumptions!$B$9*E703</x:f>
        <x:v>1.2315525656984756</x:v>
      </x:c>
      <x:c r="I703" s="34" t="n">
        <x:f>-Assumptions!$B$10*E703</x:f>
        <x:v>2.0565701004001036</x:v>
      </x:c>
      <x:c r="J703" s="36" t="n">
        <x:f>IF(C703&lt;-F703,1,0)</x:f>
        <x:v>0</x:v>
      </x:c>
      <x:c r="K703" s="36" t="n">
        <x:f>IF(C703&lt;-G703,1,0)</x:f>
        <x:v>0</x:v>
      </x:c>
      <x:c r="L703" s="36" t="n">
        <x:f>IF(C703&lt;-H703,1,0)</x:f>
        <x:v>0</x:v>
      </x:c>
      <x:c r="M703" s="36" t="n">
        <x:f>IF(C703&lt;-I703,1,0)</x:f>
        <x:v>0</x:v>
      </x:c>
      <x:c r="N703" s="34" t="n">
        <x:f>-F703</x:f>
        <x:v>-1.2978339041250404</x:v>
      </x:c>
      <x:c r="O703" s="34" t="n">
        <x:f>-H703</x:f>
        <x:v>-1.2315525656984756</x:v>
      </x:c>
      <x:c r="P703" s="34" t="n">
        <x:f>-G703</x:f>
        <x:v>-1.8355512577220254</x:v>
      </x:c>
      <x:c r="Q703" s="34" t="n">
        <x:f>-I703</x:f>
        <x:v>-2.0565701004001036</x:v>
      </x:c>
      <x:c r="R703" s="36" t="n">
        <x:f>YEAR(A703)</x:f>
        <x:v>2023</x:v>
      </x:c>
    </x:row>
    <x:row r="704">
      <x:c r="A704" s="30" t="n">
        <x:v>45209</x:v>
      </x:c>
      <x:c r="B704" s="38" t="n">
        <x:v>4358.24</x:v>
      </x:c>
      <x:c r="C704" s="34" t="n">
        <x:f>(B704/B703-1)*100</x:f>
        <x:v>0.5207972949908379</x:v>
      </x:c>
      <x:c r="D704" s="34" t="n">
        <x:f>Assumptions!$B$4*D703+(1-Assumptions!$B$4)*C703^2</x:f>
        <x:v>0.6090526466468584</x:v>
      </x:c>
      <x:c r="E704" s="34" t="n">
        <x:f>SQRT(D704)</x:f>
        <x:v>0.7804182510979983</x:v>
      </x:c>
      <x:c r="F704" s="34" t="n">
        <x:f>-Assumptions!$B$7*E704</x:f>
        <x:v>1.2836737908576679</x:v>
      </x:c>
      <x:c r="G704" s="34" t="n">
        <x:f>-Assumptions!$B$8*E704</x:f>
        <x:v>1.815524339304499</x:v>
      </x:c>
      <x:c r="H704" s="34" t="n">
        <x:f>-Assumptions!$B$9*E704</x:f>
        <x:v>1.2181156199001066</x:v>
      </x:c>
      <x:c r="I704" s="34" t="n">
        <x:f>-Assumptions!$B$10*E704</x:f>
        <x:v>2.034131739473179</x:v>
      </x:c>
      <x:c r="J704" s="36" t="n">
        <x:f>IF(C704&lt;-F704,1,0)</x:f>
        <x:v>0</x:v>
      </x:c>
      <x:c r="K704" s="36" t="n">
        <x:f>IF(C704&lt;-G704,1,0)</x:f>
        <x:v>0</x:v>
      </x:c>
      <x:c r="L704" s="36" t="n">
        <x:f>IF(C704&lt;-H704,1,0)</x:f>
        <x:v>0</x:v>
      </x:c>
      <x:c r="M704" s="36" t="n">
        <x:f>IF(C704&lt;-I704,1,0)</x:f>
        <x:v>0</x:v>
      </x:c>
      <x:c r="N704" s="34" t="n">
        <x:f>-F704</x:f>
        <x:v>-1.2836737908576679</x:v>
      </x:c>
      <x:c r="O704" s="34" t="n">
        <x:f>-H704</x:f>
        <x:v>-1.2181156199001066</x:v>
      </x:c>
      <x:c r="P704" s="34" t="n">
        <x:f>-G704</x:f>
        <x:v>-1.815524339304499</x:v>
      </x:c>
      <x:c r="Q704" s="34" t="n">
        <x:f>-I704</x:f>
        <x:v>-2.034131739473179</x:v>
      </x:c>
      <x:c r="R704" s="36" t="n">
        <x:f>YEAR(A704)</x:f>
        <x:v>2023</x:v>
      </x:c>
    </x:row>
    <x:row r="705">
      <x:c r="A705" s="30" t="n">
        <x:v>45210</x:v>
      </x:c>
      <x:c r="B705" s="38" t="n">
        <x:v>4376.95</x:v>
      </x:c>
      <x:c r="C705" s="34" t="n">
        <x:f>(B705/B704-1)*100</x:f>
        <x:v>0.4293017364807916</x:v>
      </x:c>
      <x:c r="D705" s="34" t="n">
        <x:f>Assumptions!$B$4*D704+(1-Assumptions!$B$4)*C704^2</x:f>
        <x:v>0.5887832771962334</x:v>
      </x:c>
      <x:c r="E705" s="34" t="n">
        <x:f>SQRT(D705)</x:f>
        <x:v>0.7673221469475734</x:v>
      </x:c>
      <x:c r="F705" s="34" t="n">
        <x:f>-Assumptions!$B$7*E705</x:f>
        <x:v>1.262132616446907</x:v>
      </x:c>
      <x:c r="G705" s="34" t="n">
        <x:f>-Assumptions!$B$8*E705</x:f>
        <x:v>1.7850582452559407</x:v>
      </x:c>
      <x:c r="H705" s="34" t="n">
        <x:f>-Assumptions!$B$9*E705</x:f>
        <x:v>1.1976745692160318</x:v>
      </x:c>
      <x:c r="I705" s="34" t="n">
        <x:f>-Assumptions!$B$10*E705</x:f>
        <x:v>1.9999972211192758</x:v>
      </x:c>
      <x:c r="J705" s="36" t="n">
        <x:f>IF(C705&lt;-F705,1,0)</x:f>
        <x:v>0</x:v>
      </x:c>
      <x:c r="K705" s="36" t="n">
        <x:f>IF(C705&lt;-G705,1,0)</x:f>
        <x:v>0</x:v>
      </x:c>
      <x:c r="L705" s="36" t="n">
        <x:f>IF(C705&lt;-H705,1,0)</x:f>
        <x:v>0</x:v>
      </x:c>
      <x:c r="M705" s="36" t="n">
        <x:f>IF(C705&lt;-I705,1,0)</x:f>
        <x:v>0</x:v>
      </x:c>
      <x:c r="N705" s="34" t="n">
        <x:f>-F705</x:f>
        <x:v>-1.262132616446907</x:v>
      </x:c>
      <x:c r="O705" s="34" t="n">
        <x:f>-H705</x:f>
        <x:v>-1.1976745692160318</x:v>
      </x:c>
      <x:c r="P705" s="34" t="n">
        <x:f>-G705</x:f>
        <x:v>-1.7850582452559407</x:v>
      </x:c>
      <x:c r="Q705" s="34" t="n">
        <x:f>-I705</x:f>
        <x:v>-1.9999972211192758</x:v>
      </x:c>
      <x:c r="R705" s="36" t="n">
        <x:f>YEAR(A705)</x:f>
        <x:v>2023</x:v>
      </x:c>
    </x:row>
    <x:row r="706">
      <x:c r="A706" s="30" t="n">
        <x:v>45211</x:v>
      </x:c>
      <x:c r="B706" s="38" t="n">
        <x:v>4349.61</x:v>
      </x:c>
      <x:c r="C706" s="34" t="n">
        <x:f>(B706/B705-1)*100</x:f>
        <x:v>-0.6246358765807258</x:v>
      </x:c>
      <x:c r="D706" s="34" t="n">
        <x:f>Assumptions!$B$4*D705+(1-Assumptions!$B$4)*C705^2</x:f>
        <x:v>0.5645142794211847</x:v>
      </x:c>
      <x:c r="E706" s="34" t="n">
        <x:f>SQRT(D706)</x:f>
        <x:v>0.7513416529257411</x:v>
      </x:c>
      <x:c r="F706" s="34" t="n">
        <x:f>-Assumptions!$B$7*E706</x:f>
        <x:v>1.23584704289462</x:v>
      </x:c>
      <x:c r="G706" s="34" t="n">
        <x:f>-Assumptions!$B$8*E706</x:f>
        <x:v>1.7478820569621287</x:v>
      </x:c>
      <x:c r="H706" s="34" t="n">
        <x:f>-Assumptions!$B$9*E706</x:f>
        <x:v>1.172731419367439</x:v>
      </x:c>
      <x:c r="I706" s="34" t="n">
        <x:f>-Assumptions!$B$10*E706</x:f>
        <x:v>1.958344645648961</x:v>
      </x:c>
      <x:c r="J706" s="36" t="n">
        <x:f>IF(C706&lt;-F706,1,0)</x:f>
        <x:v>0</x:v>
      </x:c>
      <x:c r="K706" s="36" t="n">
        <x:f>IF(C706&lt;-G706,1,0)</x:f>
        <x:v>0</x:v>
      </x:c>
      <x:c r="L706" s="36" t="n">
        <x:f>IF(C706&lt;-H706,1,0)</x:f>
        <x:v>0</x:v>
      </x:c>
      <x:c r="M706" s="36" t="n">
        <x:f>IF(C706&lt;-I706,1,0)</x:f>
        <x:v>0</x:v>
      </x:c>
      <x:c r="N706" s="34" t="n">
        <x:f>-F706</x:f>
        <x:v>-1.23584704289462</x:v>
      </x:c>
      <x:c r="O706" s="34" t="n">
        <x:f>-H706</x:f>
        <x:v>-1.172731419367439</x:v>
      </x:c>
      <x:c r="P706" s="34" t="n">
        <x:f>-G706</x:f>
        <x:v>-1.7478820569621287</x:v>
      </x:c>
      <x:c r="Q706" s="34" t="n">
        <x:f>-I706</x:f>
        <x:v>-1.958344645648961</x:v>
      </x:c>
      <x:c r="R706" s="36" t="n">
        <x:f>YEAR(A706)</x:f>
        <x:v>2023</x:v>
      </x:c>
    </x:row>
    <x:row r="707">
      <x:c r="A707" s="30" t="n">
        <x:v>45212</x:v>
      </x:c>
      <x:c r="B707" s="38" t="n">
        <x:v>4327.78</x:v>
      </x:c>
      <x:c r="C707" s="34" t="n">
        <x:f>(B707/B706-1)*100</x:f>
        <x:v>-0.5018840769632216</x:v>
      </x:c>
      <x:c r="D707" s="34" t="n">
        <x:f>Assumptions!$B$4*D706+(1-Assumptions!$B$4)*C706^2</x:f>
        <x:v>0.5540536213546199</x:v>
      </x:c>
      <x:c r="E707" s="34" t="n">
        <x:f>SQRT(D707)</x:f>
        <x:v>0.7443477825281808</x:v>
      </x:c>
      <x:c r="F707" s="34" t="n">
        <x:f>-Assumptions!$B$7*E707</x:f>
        <x:v>1.2243431498047643</x:v>
      </x:c>
      <x:c r="G707" s="34" t="n">
        <x:f>-Assumptions!$B$8*E707</x:f>
        <x:v>1.7316118814314472</x:v>
      </x:c>
      <x:c r="H707" s="34" t="n">
        <x:f>-Assumptions!$B$9*E707</x:f>
        <x:v>1.1618150386154011</x:v>
      </x:c>
      <x:c r="I707" s="34" t="n">
        <x:f>-Assumptions!$B$10*E707</x:f>
        <x:v>1.9401153772567576</x:v>
      </x:c>
      <x:c r="J707" s="36" t="n">
        <x:f>IF(C707&lt;-F707,1,0)</x:f>
        <x:v>0</x:v>
      </x:c>
      <x:c r="K707" s="36" t="n">
        <x:f>IF(C707&lt;-G707,1,0)</x:f>
        <x:v>0</x:v>
      </x:c>
      <x:c r="L707" s="36" t="n">
        <x:f>IF(C707&lt;-H707,1,0)</x:f>
        <x:v>0</x:v>
      </x:c>
      <x:c r="M707" s="36" t="n">
        <x:f>IF(C707&lt;-I707,1,0)</x:f>
        <x:v>0</x:v>
      </x:c>
      <x:c r="N707" s="34" t="n">
        <x:f>-F707</x:f>
        <x:v>-1.2243431498047643</x:v>
      </x:c>
      <x:c r="O707" s="34" t="n">
        <x:f>-H707</x:f>
        <x:v>-1.1618150386154011</x:v>
      </x:c>
      <x:c r="P707" s="34" t="n">
        <x:f>-G707</x:f>
        <x:v>-1.7316118814314472</x:v>
      </x:c>
      <x:c r="Q707" s="34" t="n">
        <x:f>-I707</x:f>
        <x:v>-1.9401153772567576</x:v>
      </x:c>
      <x:c r="R707" s="36" t="n">
        <x:f>YEAR(A707)</x:f>
        <x:v>2023</x:v>
      </x:c>
    </x:row>
    <x:row r="708">
      <x:c r="A708" s="30" t="n">
        <x:v>45215</x:v>
      </x:c>
      <x:c r="B708" s="38" t="n">
        <x:v>4373.63</x:v>
      </x:c>
      <x:c r="C708" s="34" t="n">
        <x:f>(B708/B707-1)*100</x:f>
        <x:v>1.0594346293018697</x:v>
      </x:c>
      <x:c r="D708" s="34" t="n">
        <x:f>Assumptions!$B$4*D707+(1-Assumptions!$B$4)*C707^2</x:f>
        <x:v>0.5359236616758962</x:v>
      </x:c>
      <x:c r="E708" s="34" t="n">
        <x:f>SQRT(D708)</x:f>
        <x:v>0.7320680717500909</x:v>
      </x:c>
      <x:c r="F708" s="34" t="n">
        <x:f>-Assumptions!$B$7*E708</x:f>
        <x:v>1.2041448229935081</x:v>
      </x:c>
      <x:c r="G708" s="34" t="n">
        <x:f>-Assumptions!$B$8*E708</x:f>
        <x:v>1.7030450023690014</x:v>
      </x:c>
      <x:c r="H708" s="34" t="n">
        <x:f>-Assumptions!$B$9*E708</x:f>
        <x:v>1.1426482553096522</x:v>
      </x:c>
      <x:c r="I708" s="34" t="n">
        <x:f>-Assumptions!$B$10*E708</x:f>
        <x:v>1.9081087584851948</x:v>
      </x:c>
      <x:c r="J708" s="36" t="n">
        <x:f>IF(C708&lt;-F708,1,0)</x:f>
        <x:v>0</x:v>
      </x:c>
      <x:c r="K708" s="36" t="n">
        <x:f>IF(C708&lt;-G708,1,0)</x:f>
        <x:v>0</x:v>
      </x:c>
      <x:c r="L708" s="36" t="n">
        <x:f>IF(C708&lt;-H708,1,0)</x:f>
        <x:v>0</x:v>
      </x:c>
      <x:c r="M708" s="36" t="n">
        <x:f>IF(C708&lt;-I708,1,0)</x:f>
        <x:v>0</x:v>
      </x:c>
      <x:c r="N708" s="34" t="n">
        <x:f>-F708</x:f>
        <x:v>-1.2041448229935081</x:v>
      </x:c>
      <x:c r="O708" s="34" t="n">
        <x:f>-H708</x:f>
        <x:v>-1.1426482553096522</x:v>
      </x:c>
      <x:c r="P708" s="34" t="n">
        <x:f>-G708</x:f>
        <x:v>-1.7030450023690014</x:v>
      </x:c>
      <x:c r="Q708" s="34" t="n">
        <x:f>-I708</x:f>
        <x:v>-1.9081087584851948</x:v>
      </x:c>
      <x:c r="R708" s="36" t="n">
        <x:f>YEAR(A708)</x:f>
        <x:v>2023</x:v>
      </x:c>
    </x:row>
    <x:row r="709">
      <x:c r="A709" s="30" t="n">
        <x:v>45216</x:v>
      </x:c>
      <x:c r="B709" s="38" t="n">
        <x:v>4373.2</x:v>
      </x:c>
      <x:c r="C709" s="34" t="n">
        <x:f>(B709/B708-1)*100</x:f>
        <x:v>-0.009831650139591197</x:v>
      </x:c>
      <x:c r="D709" s="34" t="n">
        <x:f>Assumptions!$B$4*D708+(1-Assumptions!$B$4)*C708^2</x:f>
        <x:v>0.5711123460011819</x:v>
      </x:c>
      <x:c r="E709" s="34" t="n">
        <x:f>SQRT(D709)</x:f>
        <x:v>0.7557197536131909</x:v>
      </x:c>
      <x:c r="F709" s="34" t="n">
        <x:f>-Assumptions!$B$7*E709</x:f>
        <x:v>1.2430483776895305</x:v>
      </x:c>
      <x:c r="G709" s="34" t="n">
        <x:f>-Assumptions!$B$8*E709</x:f>
        <x:v>1.7580670421887143</x:v>
      </x:c>
      <x:c r="H709" s="34" t="n">
        <x:f>-Assumptions!$B$9*E709</x:f>
        <x:v>1.179564976662357</x:v>
      </x:c>
      <x:c r="I709" s="34" t="n">
        <x:f>-Assumptions!$B$10*E709</x:f>
        <x:v>1.9697560055888668</x:v>
      </x:c>
      <x:c r="J709" s="36" t="n">
        <x:f>IF(C709&lt;-F709,1,0)</x:f>
        <x:v>0</x:v>
      </x:c>
      <x:c r="K709" s="36" t="n">
        <x:f>IF(C709&lt;-G709,1,0)</x:f>
        <x:v>0</x:v>
      </x:c>
      <x:c r="L709" s="36" t="n">
        <x:f>IF(C709&lt;-H709,1,0)</x:f>
        <x:v>0</x:v>
      </x:c>
      <x:c r="M709" s="36" t="n">
        <x:f>IF(C709&lt;-I709,1,0)</x:f>
        <x:v>0</x:v>
      </x:c>
      <x:c r="N709" s="34" t="n">
        <x:f>-F709</x:f>
        <x:v>-1.2430483776895305</x:v>
      </x:c>
      <x:c r="O709" s="34" t="n">
        <x:f>-H709</x:f>
        <x:v>-1.179564976662357</x:v>
      </x:c>
      <x:c r="P709" s="34" t="n">
        <x:f>-G709</x:f>
        <x:v>-1.7580670421887143</x:v>
      </x:c>
      <x:c r="Q709" s="34" t="n">
        <x:f>-I709</x:f>
        <x:v>-1.9697560055888668</x:v>
      </x:c>
      <x:c r="R709" s="36" t="n">
        <x:f>YEAR(A709)</x:f>
        <x:v>2023</x:v>
      </x:c>
    </x:row>
    <x:row r="710">
      <x:c r="A710" s="30" t="n">
        <x:v>45217</x:v>
      </x:c>
      <x:c r="B710" s="38" t="n">
        <x:v>4314.6</x:v>
      </x:c>
      <x:c r="C710" s="34" t="n">
        <x:f>(B710/B709-1)*100</x:f>
        <x:v>-1.3399798774352711</x:v>
      </x:c>
      <x:c r="D710" s="34" t="n">
        <x:f>Assumptions!$B$4*D709+(1-Assumptions!$B$4)*C709^2</x:f>
        <x:v>0.536851404921779</x:v>
      </x:c>
      <x:c r="E710" s="34" t="n">
        <x:f>SQRT(D710)</x:f>
        <x:v>0.7327014432371339</x:v>
      </x:c>
      <x:c r="F710" s="34" t="n">
        <x:f>-Assumptions!$B$7*E710</x:f>
        <x:v>1.2051866263811786</x:v>
      </x:c>
      <x:c r="G710" s="34" t="n">
        <x:f>-Assumptions!$B$8*E710</x:f>
        <x:v>1.704518444781362</x:v>
      </x:c>
      <x:c r="H710" s="34" t="n">
        <x:f>-Assumptions!$B$9*E710</x:f>
        <x:v>1.1436368530269414</x:v>
      </x:c>
      <x:c r="I710" s="34" t="n">
        <x:f>-Assumptions!$B$10*E710</x:f>
        <x:v>1.9097596181913317</x:v>
      </x:c>
      <x:c r="J710" s="36" t="n">
        <x:f>IF(C710&lt;-F710,1,0)</x:f>
        <x:v>1</x:v>
      </x:c>
      <x:c r="K710" s="36" t="n">
        <x:f>IF(C710&lt;-G710,1,0)</x:f>
        <x:v>0</x:v>
      </x:c>
      <x:c r="L710" s="36" t="n">
        <x:f>IF(C710&lt;-H710,1,0)</x:f>
        <x:v>1</x:v>
      </x:c>
      <x:c r="M710" s="36" t="n">
        <x:f>IF(C710&lt;-I710,1,0)</x:f>
        <x:v>0</x:v>
      </x:c>
      <x:c r="N710" s="34" t="n">
        <x:f>-F710</x:f>
        <x:v>-1.2051866263811786</x:v>
      </x:c>
      <x:c r="O710" s="34" t="n">
        <x:f>-H710</x:f>
        <x:v>-1.1436368530269414</x:v>
      </x:c>
      <x:c r="P710" s="34" t="n">
        <x:f>-G710</x:f>
        <x:v>-1.704518444781362</x:v>
      </x:c>
      <x:c r="Q710" s="34" t="n">
        <x:f>-I710</x:f>
        <x:v>-1.9097596181913317</x:v>
      </x:c>
      <x:c r="R710" s="36" t="n">
        <x:f>YEAR(A710)</x:f>
        <x:v>2023</x:v>
      </x:c>
    </x:row>
    <x:row r="711">
      <x:c r="A711" s="30" t="n">
        <x:v>45218</x:v>
      </x:c>
      <x:c r="B711" s="38" t="n">
        <x:v>4278</x:v>
      </x:c>
      <x:c r="C711" s="34" t="n">
        <x:f>(B711/B710-1)*100</x:f>
        <x:v>-0.848282575441528</x:v>
      </x:c>
      <x:c r="D711" s="34" t="n">
        <x:f>Assumptions!$B$4*D710+(1-Assumptions!$B$4)*C710^2</x:f>
        <x:v>0.612373084942359</x:v>
      </x:c>
      <x:c r="E711" s="34" t="n">
        <x:f>SQRT(D711)</x:f>
        <x:v>0.782542704868149</x:v>
      </x:c>
      <x:c r="F711" s="34" t="n">
        <x:f>-Assumptions!$B$7*E711</x:f>
        <x:v>1.2871682063467909</x:v>
      </x:c>
      <x:c r="G711" s="34" t="n">
        <x:f>-Assumptions!$B$8*E711</x:f>
        <x:v>1.8204665578161872</x:v>
      </x:c>
      <x:c r="H711" s="34" t="n">
        <x:f>-Assumptions!$B$9*E711</x:f>
        <x:v>1.2214315730028633</x:v>
      </x:c>
      <x:c r="I711" s="34" t="n">
        <x:f>-Assumptions!$B$10*E711</x:f>
        <x:v>2.039669050827478</x:v>
      </x:c>
      <x:c r="J711" s="36" t="n">
        <x:f>IF(C711&lt;-F711,1,0)</x:f>
        <x:v>0</x:v>
      </x:c>
      <x:c r="K711" s="36" t="n">
        <x:f>IF(C711&lt;-G711,1,0)</x:f>
        <x:v>0</x:v>
      </x:c>
      <x:c r="L711" s="36" t="n">
        <x:f>IF(C711&lt;-H711,1,0)</x:f>
        <x:v>0</x:v>
      </x:c>
      <x:c r="M711" s="36" t="n">
        <x:f>IF(C711&lt;-I711,1,0)</x:f>
        <x:v>0</x:v>
      </x:c>
      <x:c r="N711" s="34" t="n">
        <x:f>-F711</x:f>
        <x:v>-1.2871682063467909</x:v>
      </x:c>
      <x:c r="O711" s="34" t="n">
        <x:f>-H711</x:f>
        <x:v>-1.2214315730028633</x:v>
      </x:c>
      <x:c r="P711" s="34" t="n">
        <x:f>-G711</x:f>
        <x:v>-1.8204665578161872</x:v>
      </x:c>
      <x:c r="Q711" s="34" t="n">
        <x:f>-I711</x:f>
        <x:v>-2.039669050827478</x:v>
      </x:c>
      <x:c r="R711" s="36" t="n">
        <x:f>YEAR(A711)</x:f>
        <x:v>2023</x:v>
      </x:c>
    </x:row>
    <x:row r="712">
      <x:c r="A712" s="30" t="n">
        <x:v>45219</x:v>
      </x:c>
      <x:c r="B712" s="38" t="n">
        <x:v>4224.16</x:v>
      </x:c>
      <x:c r="C712" s="34" t="n">
        <x:f>(B712/B711-1)*100</x:f>
        <x:v>-1.2585320243104325</x:v>
      </x:c>
      <x:c r="D712" s="34" t="n">
        <x:f>Assumptions!$B$4*D711+(1-Assumptions!$B$4)*C711^2</x:f>
        <x:v>0.6188056995136801</x:v>
      </x:c>
      <x:c r="E712" s="34" t="n">
        <x:f>SQRT(D712)</x:f>
        <x:v>0.7866420402658888</x:v>
      </x:c>
      <x:c r="F712" s="34" t="n">
        <x:f>-Assumptions!$B$7*E712</x:f>
        <x:v>1.2939110130438538</x:v>
      </x:c>
      <x:c r="G712" s="34" t="n">
        <x:f>-Assumptions!$B$8*E712</x:f>
        <x:v>1.8300030380036996</x:v>
      </x:c>
      <x:c r="H712" s="34" t="n">
        <x:f>-Assumptions!$B$9*E712</x:f>
        <x:v>1.2278300195693943</x:v>
      </x:c>
      <x:c r="I712" s="34" t="n">
        <x:f>-Assumptions!$B$10*E712</x:f>
        <x:v>2.050353819195666</x:v>
      </x:c>
      <x:c r="J712" s="36" t="n">
        <x:f>IF(C712&lt;-F712,1,0)</x:f>
        <x:v>0</x:v>
      </x:c>
      <x:c r="K712" s="36" t="n">
        <x:f>IF(C712&lt;-G712,1,0)</x:f>
        <x:v>0</x:v>
      </x:c>
      <x:c r="L712" s="36" t="n">
        <x:f>IF(C712&lt;-H712,1,0)</x:f>
        <x:v>1</x:v>
      </x:c>
      <x:c r="M712" s="36" t="n">
        <x:f>IF(C712&lt;-I712,1,0)</x:f>
        <x:v>0</x:v>
      </x:c>
      <x:c r="N712" s="34" t="n">
        <x:f>-F712</x:f>
        <x:v>-1.2939110130438538</x:v>
      </x:c>
      <x:c r="O712" s="34" t="n">
        <x:f>-H712</x:f>
        <x:v>-1.2278300195693943</x:v>
      </x:c>
      <x:c r="P712" s="34" t="n">
        <x:f>-G712</x:f>
        <x:v>-1.8300030380036996</x:v>
      </x:c>
      <x:c r="Q712" s="34" t="n">
        <x:f>-I712</x:f>
        <x:v>-2.050353819195666</x:v>
      </x:c>
      <x:c r="R712" s="36" t="n">
        <x:f>YEAR(A712)</x:f>
        <x:v>2023</x:v>
      </x:c>
    </x:row>
    <x:row r="713">
      <x:c r="A713" s="30" t="n">
        <x:v>45222</x:v>
      </x:c>
      <x:c r="B713" s="38" t="n">
        <x:v>4217.04</x:v>
      </x:c>
      <x:c r="C713" s="34" t="n">
        <x:f>(B713/B712-1)*100</x:f>
        <x:v>-0.1685542214310054</x:v>
      </x:c>
      <x:c r="D713" s="34" t="n">
        <x:f>Assumptions!$B$4*D712+(1-Assumptions!$B$4)*C712^2</x:f>
        <x:v>0.6767115289157544</x:v>
      </x:c>
      <x:c r="E713" s="34" t="n">
        <x:f>SQRT(D713)</x:f>
        <x:v>0.8226247801493427</x:v>
      </x:c>
      <x:c r="F713" s="34" t="n">
        <x:f>-Assumptions!$B$7*E713</x:f>
        <x:v>1.3530973532488044</x:v>
      </x:c>
      <x:c r="G713" s="34" t="n">
        <x:f>-Assumptions!$B$8*E713</x:f>
        <x:v>1.913711408433737</x:v>
      </x:c>
      <x:c r="H713" s="34" t="n">
        <x:f>-Assumptions!$B$9*E713</x:f>
        <x:v>1.2839936695572953</x:v>
      </x:c>
      <x:c r="I713" s="34" t="n">
        <x:f>-Assumptions!$B$10*E713</x:f>
        <x:v>2.1441415197871914</x:v>
      </x:c>
      <x:c r="J713" s="36" t="n">
        <x:f>IF(C713&lt;-F713,1,0)</x:f>
        <x:v>0</x:v>
      </x:c>
      <x:c r="K713" s="36" t="n">
        <x:f>IF(C713&lt;-G713,1,0)</x:f>
        <x:v>0</x:v>
      </x:c>
      <x:c r="L713" s="36" t="n">
        <x:f>IF(C713&lt;-H713,1,0)</x:f>
        <x:v>0</x:v>
      </x:c>
      <x:c r="M713" s="36" t="n">
        <x:f>IF(C713&lt;-I713,1,0)</x:f>
        <x:v>0</x:v>
      </x:c>
      <x:c r="N713" s="34" t="n">
        <x:f>-F713</x:f>
        <x:v>-1.3530973532488044</x:v>
      </x:c>
      <x:c r="O713" s="34" t="n">
        <x:f>-H713</x:f>
        <x:v>-1.2839936695572953</x:v>
      </x:c>
      <x:c r="P713" s="34" t="n">
        <x:f>-G713</x:f>
        <x:v>-1.913711408433737</x:v>
      </x:c>
      <x:c r="Q713" s="34" t="n">
        <x:f>-I713</x:f>
        <x:v>-2.1441415197871914</x:v>
      </x:c>
      <x:c r="R713" s="36" t="n">
        <x:f>YEAR(A713)</x:f>
        <x:v>2023</x:v>
      </x:c>
    </x:row>
    <x:row r="714">
      <x:c r="A714" s="30" t="n">
        <x:v>45223</x:v>
      </x:c>
      <x:c r="B714" s="38" t="n">
        <x:v>4247.68</x:v>
      </x:c>
      <x:c r="C714" s="34" t="n">
        <x:f>(B714/B713-1)*100</x:f>
        <x:v>0.726575986948208</x:v>
      </x:c>
      <x:c r="D714" s="34" t="n">
        <x:f>Assumptions!$B$4*D713+(1-Assumptions!$B$4)*C713^2</x:f>
        <x:v>0.6378134687145418</x:v>
      </x:c>
      <x:c r="E714" s="34" t="n">
        <x:f>SQRT(D714)</x:f>
        <x:v>0.7986322487318814</x:v>
      </x:c>
      <x:c r="F714" s="34" t="n">
        <x:f>-Assumptions!$B$7*E714</x:f>
        <x:v>1.313633150927046</x:v>
      </x:c>
      <x:c r="G714" s="34" t="n">
        <x:f>-Assumptions!$B$8*E714</x:f>
        <x:v>1.8578964339778679</x:v>
      </x:c>
      <x:c r="H714" s="34" t="n">
        <x:f>-Assumptions!$B$9*E714</x:f>
        <x:v>1.2465449332682157</x:v>
      </x:c>
      <x:c r="I714" s="34" t="n">
        <x:f>-Assumptions!$B$10*E714</x:f>
        <x:v>2.0816058607378274</x:v>
      </x:c>
      <x:c r="J714" s="36" t="n">
        <x:f>IF(C714&lt;-F714,1,0)</x:f>
        <x:v>0</x:v>
      </x:c>
      <x:c r="K714" s="36" t="n">
        <x:f>IF(C714&lt;-G714,1,0)</x:f>
        <x:v>0</x:v>
      </x:c>
      <x:c r="L714" s="36" t="n">
        <x:f>IF(C714&lt;-H714,1,0)</x:f>
        <x:v>0</x:v>
      </x:c>
      <x:c r="M714" s="36" t="n">
        <x:f>IF(C714&lt;-I714,1,0)</x:f>
        <x:v>0</x:v>
      </x:c>
      <x:c r="N714" s="34" t="n">
        <x:f>-F714</x:f>
        <x:v>-1.313633150927046</x:v>
      </x:c>
      <x:c r="O714" s="34" t="n">
        <x:f>-H714</x:f>
        <x:v>-1.2465449332682157</x:v>
      </x:c>
      <x:c r="P714" s="34" t="n">
        <x:f>-G714</x:f>
        <x:v>-1.8578964339778679</x:v>
      </x:c>
      <x:c r="Q714" s="34" t="n">
        <x:f>-I714</x:f>
        <x:v>-2.0816058607378274</x:v>
      </x:c>
      <x:c r="R714" s="36" t="n">
        <x:f>YEAR(A714)</x:f>
        <x:v>2023</x:v>
      </x:c>
    </x:row>
    <x:row r="715">
      <x:c r="A715" s="30" t="n">
        <x:v>45224</x:v>
      </x:c>
      <x:c r="B715" s="38" t="n">
        <x:v>4186.77</x:v>
      </x:c>
      <x:c r="C715" s="34" t="n">
        <x:f>(B715/B714-1)*100</x:f>
        <x:v>-1.4339592436341642</x:v>
      </x:c>
      <x:c r="D715" s="34" t="n">
        <x:f>Assumptions!$B$4*D714+(1-Assumptions!$B$4)*C714^2</x:f>
        <x:v>0.631219420480255</x:v>
      </x:c>
      <x:c r="E715" s="34" t="n">
        <x:f>SQRT(D715)</x:f>
        <x:v>0.7944931846657056</x:v>
      </x:c>
      <x:c r="F715" s="34" t="n">
        <x:f>-Assumptions!$B$7*E715</x:f>
        <x:v>1.3068249963856122</x:v>
      </x:c>
      <x:c r="G715" s="34" t="n">
        <x:f>-Assumptions!$B$8*E715</x:f>
        <x:v>1.848267531087001</x:v>
      </x:c>
      <x:c r="H715" s="34" t="n">
        <x:f>-Assumptions!$B$9*E715</x:f>
        <x:v>1.2400844762201104</x:v>
      </x:c>
      <x:c r="I715" s="34" t="n">
        <x:f>-Assumptions!$B$10*E715</x:f>
        <x:v>2.0708175410427465</x:v>
      </x:c>
      <x:c r="J715" s="36" t="n">
        <x:f>IF(C715&lt;-F715,1,0)</x:f>
        <x:v>1</x:v>
      </x:c>
      <x:c r="K715" s="36" t="n">
        <x:f>IF(C715&lt;-G715,1,0)</x:f>
        <x:v>0</x:v>
      </x:c>
      <x:c r="L715" s="36" t="n">
        <x:f>IF(C715&lt;-H715,1,0)</x:f>
        <x:v>1</x:v>
      </x:c>
      <x:c r="M715" s="36" t="n">
        <x:f>IF(C715&lt;-I715,1,0)</x:f>
        <x:v>0</x:v>
      </x:c>
      <x:c r="N715" s="34" t="n">
        <x:f>-F715</x:f>
        <x:v>-1.3068249963856122</x:v>
      </x:c>
      <x:c r="O715" s="34" t="n">
        <x:f>-H715</x:f>
        <x:v>-1.2400844762201104</x:v>
      </x:c>
      <x:c r="P715" s="34" t="n">
        <x:f>-G715</x:f>
        <x:v>-1.848267531087001</x:v>
      </x:c>
      <x:c r="Q715" s="34" t="n">
        <x:f>-I715</x:f>
        <x:v>-2.0708175410427465</x:v>
      </x:c>
      <x:c r="R715" s="36" t="n">
        <x:f>YEAR(A715)</x:f>
        <x:v>2023</x:v>
      </x:c>
    </x:row>
    <x:row r="716">
      <x:c r="A716" s="30" t="n">
        <x:v>45225</x:v>
      </x:c>
      <x:c r="B716" s="38" t="n">
        <x:v>4137.23</x:v>
      </x:c>
      <x:c r="C716" s="34" t="n">
        <x:f>(B716/B715-1)*100</x:f>
        <x:v>-1.183251050332379</x:v>
      </x:c>
      <x:c r="D716" s="34" t="n">
        <x:f>Assumptions!$B$4*D715+(1-Assumptions!$B$4)*C715^2</x:f>
        <x:v>0.7167206019956717</x:v>
      </x:c>
      <x:c r="E716" s="34" t="n">
        <x:f>SQRT(D716)</x:f>
        <x:v>0.8465935282032764</x:v>
      </x:c>
      <x:c r="F716" s="34" t="n">
        <x:f>-Assumptions!$B$7*E716</x:f>
        <x:v>1.3925224354188033</x:v>
      </x:c>
      <x:c r="G716" s="34" t="n">
        <x:f>-Assumptions!$B$8*E716</x:f>
        <x:v>1.969471054512426</x:v>
      </x:c>
      <x:c r="H716" s="34" t="n">
        <x:f>-Assumptions!$B$9*E716</x:f>
        <x:v>1.3214052835897312</x:v>
      </x:c>
      <x:c r="I716" s="34" t="n">
        <x:f>-Assumptions!$B$10*E716</x:f>
        <x:v>2.2066151883659906</x:v>
      </x:c>
      <x:c r="J716" s="36" t="n">
        <x:f>IF(C716&lt;-F716,1,0)</x:f>
        <x:v>0</x:v>
      </x:c>
      <x:c r="K716" s="36" t="n">
        <x:f>IF(C716&lt;-G716,1,0)</x:f>
        <x:v>0</x:v>
      </x:c>
      <x:c r="L716" s="36" t="n">
        <x:f>IF(C716&lt;-H716,1,0)</x:f>
        <x:v>0</x:v>
      </x:c>
      <x:c r="M716" s="36" t="n">
        <x:f>IF(C716&lt;-I716,1,0)</x:f>
        <x:v>0</x:v>
      </x:c>
      <x:c r="N716" s="34" t="n">
        <x:f>-F716</x:f>
        <x:v>-1.3925224354188033</x:v>
      </x:c>
      <x:c r="O716" s="34" t="n">
        <x:f>-H716</x:f>
        <x:v>-1.3214052835897312</x:v>
      </x:c>
      <x:c r="P716" s="34" t="n">
        <x:f>-G716</x:f>
        <x:v>-1.969471054512426</x:v>
      </x:c>
      <x:c r="Q716" s="34" t="n">
        <x:f>-I716</x:f>
        <x:v>-2.2066151883659906</x:v>
      </x:c>
      <x:c r="R716" s="36" t="n">
        <x:f>YEAR(A716)</x:f>
        <x:v>2023</x:v>
      </x:c>
    </x:row>
    <x:row r="717">
      <x:c r="A717" s="30" t="n">
        <x:v>45226</x:v>
      </x:c>
      <x:c r="B717" s="38" t="n">
        <x:v>4117.37</x:v>
      </x:c>
      <x:c r="C717" s="34" t="n">
        <x:f>(B717/B716-1)*100</x:f>
        <x:v>-0.48003132530701764</x:v>
      </x:c>
      <x:c r="D717" s="34" t="n">
        <x:f>Assumptions!$B$4*D716+(1-Assumptions!$B$4)*C716^2</x:f>
        <x:v>0.7577223487626921</x:v>
      </x:c>
      <x:c r="E717" s="34" t="n">
        <x:f>SQRT(D717)</x:f>
        <x:v>0.8704724859308834</x:v>
      </x:c>
      <x:c r="F717" s="34" t="n">
        <x:f>-Assumptions!$B$7*E717</x:f>
        <x:v>1.4317998256448785</x:v>
      </x:c>
      <x:c r="G717" s="34" t="n">
        <x:f>-Assumptions!$B$8*E717</x:f>
        <x:v>2.025021817056356</x:v>
      </x:c>
      <x:c r="H717" s="34" t="n">
        <x:f>-Assumptions!$B$9*E717</x:f>
        <x:v>1.3586767484151738</x:v>
      </x:c>
      <x:c r="I717" s="34" t="n">
        <x:f>-Assumptions!$B$10*E717</x:f>
        <x:v>2.26885482173044</x:v>
      </x:c>
      <x:c r="J717" s="36" t="n">
        <x:f>IF(C717&lt;-F717,1,0)</x:f>
        <x:v>0</x:v>
      </x:c>
      <x:c r="K717" s="36" t="n">
        <x:f>IF(C717&lt;-G717,1,0)</x:f>
        <x:v>0</x:v>
      </x:c>
      <x:c r="L717" s="36" t="n">
        <x:f>IF(C717&lt;-H717,1,0)</x:f>
        <x:v>0</x:v>
      </x:c>
      <x:c r="M717" s="36" t="n">
        <x:f>IF(C717&lt;-I717,1,0)</x:f>
        <x:v>0</x:v>
      </x:c>
      <x:c r="N717" s="34" t="n">
        <x:f>-F717</x:f>
        <x:v>-1.4317998256448785</x:v>
      </x:c>
      <x:c r="O717" s="34" t="n">
        <x:f>-H717</x:f>
        <x:v>-1.3586767484151738</x:v>
      </x:c>
      <x:c r="P717" s="34" t="n">
        <x:f>-G717</x:f>
        <x:v>-2.025021817056356</x:v>
      </x:c>
      <x:c r="Q717" s="34" t="n">
        <x:f>-I717</x:f>
        <x:v>-2.26885482173044</x:v>
      </x:c>
      <x:c r="R717" s="36" t="n">
        <x:f>YEAR(A717)</x:f>
        <x:v>2023</x:v>
      </x:c>
    </x:row>
    <x:row r="718">
      <x:c r="A718" s="30" t="n">
        <x:v>45229</x:v>
      </x:c>
      <x:c r="B718" s="38" t="n">
        <x:v>4166.82</x:v>
      </x:c>
      <x:c r="C718" s="34" t="n">
        <x:f>(B718/B717-1)*100</x:f>
        <x:v>1.2010093822027113</x:v>
      </x:c>
      <x:c r="D718" s="34" t="n">
        <x:f>Assumptions!$B$4*D717+(1-Assumptions!$B$4)*C717^2</x:f>
        <x:v>0.7260848122334912</x:v>
      </x:c>
      <x:c r="E718" s="34" t="n">
        <x:f>SQRT(D718)</x:f>
        <x:v>0.8521061038588394</x:v>
      </x:c>
      <x:c r="F718" s="34" t="n">
        <x:f>-Assumptions!$B$7*E718</x:f>
        <x:v>1.4015898154797004</x:v>
      </x:c>
      <x:c r="G718" s="34" t="n">
        <x:f>-Assumptions!$B$8*E718</x:f>
        <x:v>1.9822952231692346</x:v>
      </x:c>
      <x:c r="H718" s="34" t="n">
        <x:f>-Assumptions!$B$9*E718</x:f>
        <x:v>1.3300095858372438</x:v>
      </x:c>
      <x:c r="I718" s="34" t="n">
        <x:f>-Assumptions!$B$10*E718</x:f>
        <x:v>2.220983515979359</x:v>
      </x:c>
      <x:c r="J718" s="36" t="n">
        <x:f>IF(C718&lt;-F718,1,0)</x:f>
        <x:v>0</x:v>
      </x:c>
      <x:c r="K718" s="36" t="n">
        <x:f>IF(C718&lt;-G718,1,0)</x:f>
        <x:v>0</x:v>
      </x:c>
      <x:c r="L718" s="36" t="n">
        <x:f>IF(C718&lt;-H718,1,0)</x:f>
        <x:v>0</x:v>
      </x:c>
      <x:c r="M718" s="36" t="n">
        <x:f>IF(C718&lt;-I718,1,0)</x:f>
        <x:v>0</x:v>
      </x:c>
      <x:c r="N718" s="34" t="n">
        <x:f>-F718</x:f>
        <x:v>-1.4015898154797004</x:v>
      </x:c>
      <x:c r="O718" s="34" t="n">
        <x:f>-H718</x:f>
        <x:v>-1.3300095858372438</x:v>
      </x:c>
      <x:c r="P718" s="34" t="n">
        <x:f>-G718</x:f>
        <x:v>-1.9822952231692346</x:v>
      </x:c>
      <x:c r="Q718" s="34" t="n">
        <x:f>-I718</x:f>
        <x:v>-2.220983515979359</x:v>
      </x:c>
      <x:c r="R718" s="36" t="n">
        <x:f>YEAR(A718)</x:f>
        <x:v>2023</x:v>
      </x:c>
    </x:row>
    <x:row r="719">
      <x:c r="A719" s="30" t="n">
        <x:v>45230</x:v>
      </x:c>
      <x:c r="B719" s="38" t="n">
        <x:v>4193.8</x:v>
      </x:c>
      <x:c r="C719" s="34" t="n">
        <x:f>(B719/B718-1)*100</x:f>
        <x:v>0.6474961721408823</x:v>
      </x:c>
      <x:c r="D719" s="34" t="n">
        <x:f>Assumptions!$B$4*D718+(1-Assumptions!$B$4)*C718^2</x:f>
        <x:v>0.769065135667818</x:v>
      </x:c>
      <x:c r="E719" s="34" t="n">
        <x:f>SQRT(D719)</x:f>
        <x:v>0.8769635885644386</x:v>
      </x:c>
      <x:c r="F719" s="34" t="n">
        <x:f>-Assumptions!$B$7*E719</x:f>
        <x:v>1.4424767393545959</x:v>
      </x:c>
      <x:c r="G719" s="34" t="n">
        <x:f>-Assumptions!$B$8*E719</x:f>
        <x:v>2.040122379868108</x:v>
      </x:c>
      <x:c r="H719" s="34" t="n">
        <x:f>-Assumptions!$B$9*E719</x:f>
        <x:v>1.3688083842363294</x:v>
      </x:c>
      <x:c r="I719" s="34" t="n">
        <x:f>-Assumptions!$B$10*E719</x:f>
        <x:v>2.28577364426248</x:v>
      </x:c>
      <x:c r="J719" s="36" t="n">
        <x:f>IF(C719&lt;-F719,1,0)</x:f>
        <x:v>0</x:v>
      </x:c>
      <x:c r="K719" s="36" t="n">
        <x:f>IF(C719&lt;-G719,1,0)</x:f>
        <x:v>0</x:v>
      </x:c>
      <x:c r="L719" s="36" t="n">
        <x:f>IF(C719&lt;-H719,1,0)</x:f>
        <x:v>0</x:v>
      </x:c>
      <x:c r="M719" s="36" t="n">
        <x:f>IF(C719&lt;-I719,1,0)</x:f>
        <x:v>0</x:v>
      </x:c>
      <x:c r="N719" s="34" t="n">
        <x:f>-F719</x:f>
        <x:v>-1.4424767393545959</x:v>
      </x:c>
      <x:c r="O719" s="34" t="n">
        <x:f>-H719</x:f>
        <x:v>-1.3688083842363294</x:v>
      </x:c>
      <x:c r="P719" s="34" t="n">
        <x:f>-G719</x:f>
        <x:v>-2.040122379868108</x:v>
      </x:c>
      <x:c r="Q719" s="34" t="n">
        <x:f>-I719</x:f>
        <x:v>-2.28577364426248</x:v>
      </x:c>
      <x:c r="R719" s="36" t="n">
        <x:f>YEAR(A719)</x:f>
        <x:v>2023</x:v>
      </x:c>
    </x:row>
    <x:row r="720">
      <x:c r="A720" s="30" t="n">
        <x:v>45231</x:v>
      </x:c>
      <x:c r="B720" s="38" t="n">
        <x:v>4237.86</x:v>
      </x:c>
      <x:c r="C720" s="34" t="n">
        <x:f>(B720/B719-1)*100</x:f>
        <x:v>1.0505985025513809</x:v>
      </x:c>
      <x:c r="D720" s="34" t="n">
        <x:f>Assumptions!$B$4*D719+(1-Assumptions!$B$4)*C719^2</x:f>
        <x:v>0.7480763051039746</x:v>
      </x:c>
      <x:c r="E720" s="34" t="n">
        <x:f>SQRT(D720)</x:f>
        <x:v>0.8649140449223695</x:v>
      </x:c>
      <x:c r="F720" s="34" t="n">
        <x:f>-Assumptions!$B$7*E720</x:f>
        <x:v>1.4226570037918285</x:v>
      </x:c>
      <x:c r="G720" s="34" t="n">
        <x:f>-Assumptions!$B$8*E720</x:f>
        <x:v>2.012090949633218</x:v>
      </x:c>
      <x:c r="H720" s="34" t="n">
        <x:f>-Assumptions!$B$9*E720</x:f>
        <x:v>1.3500008572436921</x:v>
      </x:c>
      <x:c r="I720" s="34" t="n">
        <x:f>-Assumptions!$B$10*E720</x:f>
        <x:v>2.2543669477455603</x:v>
      </x:c>
      <x:c r="J720" s="36" t="n">
        <x:f>IF(C720&lt;-F720,1,0)</x:f>
        <x:v>0</x:v>
      </x:c>
      <x:c r="K720" s="36" t="n">
        <x:f>IF(C720&lt;-G720,1,0)</x:f>
        <x:v>0</x:v>
      </x:c>
      <x:c r="L720" s="36" t="n">
        <x:f>IF(C720&lt;-H720,1,0)</x:f>
        <x:v>0</x:v>
      </x:c>
      <x:c r="M720" s="36" t="n">
        <x:f>IF(C720&lt;-I720,1,0)</x:f>
        <x:v>0</x:v>
      </x:c>
      <x:c r="N720" s="34" t="n">
        <x:f>-F720</x:f>
        <x:v>-1.4226570037918285</x:v>
      </x:c>
      <x:c r="O720" s="34" t="n">
        <x:f>-H720</x:f>
        <x:v>-1.3500008572436921</x:v>
      </x:c>
      <x:c r="P720" s="34" t="n">
        <x:f>-G720</x:f>
        <x:v>-2.012090949633218</x:v>
      </x:c>
      <x:c r="Q720" s="34" t="n">
        <x:f>-I720</x:f>
        <x:v>-2.2543669477455603</x:v>
      </x:c>
      <x:c r="R720" s="36" t="n">
        <x:f>YEAR(A720)</x:f>
        <x:v>2023</x:v>
      </x:c>
    </x:row>
    <x:row r="721">
      <x:c r="A721" s="30" t="n">
        <x:v>45232</x:v>
      </x:c>
      <x:c r="B721" s="38" t="n">
        <x:v>4317.78</x:v>
      </x:c>
      <x:c r="C721" s="34" t="n">
        <x:f>(B721/B720-1)*100</x:f>
        <x:v>1.8858574846738696</x:v>
      </x:c>
      <x:c r="D721" s="34" t="n">
        <x:f>Assumptions!$B$4*D720+(1-Assumptions!$B$4)*C720^2</x:f>
        <x:v>0.7694171596115285</x:v>
      </x:c>
      <x:c r="E721" s="34" t="n">
        <x:f>SQRT(D721)</x:f>
        <x:v>0.8771642717367873</x:v>
      </x:c>
      <x:c r="F721" s="34" t="n">
        <x:f>-Assumptions!$B$7*E721</x:f>
        <x:v>1.442806833798502</x:v>
      </x:c>
      <x:c r="G721" s="34" t="n">
        <x:f>-Assumptions!$B$8*E721</x:f>
        <x:v>2.0405892387394573</x:v>
      </x:c>
      <x:c r="H721" s="34" t="n">
        <x:f>-Assumptions!$B$9*E721</x:f>
        <x:v>1.3691216205125765</x:v>
      </x:c>
      <x:c r="I721" s="34" t="n">
        <x:f>-Assumptions!$B$10*E721</x:f>
        <x:v>2.2862967176399653</x:v>
      </x:c>
      <x:c r="J721" s="36" t="n">
        <x:f>IF(C721&lt;-F721,1,0)</x:f>
        <x:v>0</x:v>
      </x:c>
      <x:c r="K721" s="36" t="n">
        <x:f>IF(C721&lt;-G721,1,0)</x:f>
        <x:v>0</x:v>
      </x:c>
      <x:c r="L721" s="36" t="n">
        <x:f>IF(C721&lt;-H721,1,0)</x:f>
        <x:v>0</x:v>
      </x:c>
      <x:c r="M721" s="36" t="n">
        <x:f>IF(C721&lt;-I721,1,0)</x:f>
        <x:v>0</x:v>
      </x:c>
      <x:c r="N721" s="34" t="n">
        <x:f>-F721</x:f>
        <x:v>-1.442806833798502</x:v>
      </x:c>
      <x:c r="O721" s="34" t="n">
        <x:f>-H721</x:f>
        <x:v>-1.3691216205125765</x:v>
      </x:c>
      <x:c r="P721" s="34" t="n">
        <x:f>-G721</x:f>
        <x:v>-2.0405892387394573</x:v>
      </x:c>
      <x:c r="Q721" s="34" t="n">
        <x:f>-I721</x:f>
        <x:v>-2.2862967176399653</x:v>
      </x:c>
      <x:c r="R721" s="36" t="n">
        <x:f>YEAR(A721)</x:f>
        <x:v>2023</x:v>
      </x:c>
    </x:row>
    <x:row r="722">
      <x:c r="A722" s="30" t="n">
        <x:v>45233</x:v>
      </x:c>
      <x:c r="B722" s="38" t="n">
        <x:v>4358.34</x:v>
      </x:c>
      <x:c r="C722" s="34" t="n">
        <x:f>(B722/B721-1)*100</x:f>
        <x:v>0.9393716215277292</x:v>
      </x:c>
      <x:c r="D722" s="34" t="n">
        <x:f>Assumptions!$B$4*D721+(1-Assumptions!$B$4)*C721^2</x:f>
        <x:v>0.9366396371848641</x:v>
      </x:c>
      <x:c r="E722" s="34" t="n">
        <x:f>SQRT(D722)</x:f>
        <x:v>0.9678014451243934</x:v>
      </x:c>
      <x:c r="F722" s="34" t="n">
        <x:f>-Assumptions!$B$7*E722</x:f>
        <x:v>1.5918917171817353</x:v>
      </x:c>
      <x:c r="G722" s="34" t="n">
        <x:f>-Assumptions!$B$8*E722</x:f>
        <x:v>2.2514428343587856</x:v>
      </x:c>
      <x:c r="H722" s="34" t="n">
        <x:f>-Assumptions!$B$9*E722</x:f>
        <x:v>1.5105926285159161</x:v>
      </x:c>
      <x:c r="I722" s="34" t="n">
        <x:f>-Assumptions!$B$10*E722</x:f>
        <x:v>2.5225392080026254</x:v>
      </x:c>
      <x:c r="J722" s="36" t="n">
        <x:f>IF(C722&lt;-F722,1,0)</x:f>
        <x:v>0</x:v>
      </x:c>
      <x:c r="K722" s="36" t="n">
        <x:f>IF(C722&lt;-G722,1,0)</x:f>
        <x:v>0</x:v>
      </x:c>
      <x:c r="L722" s="36" t="n">
        <x:f>IF(C722&lt;-H722,1,0)</x:f>
        <x:v>0</x:v>
      </x:c>
      <x:c r="M722" s="36" t="n">
        <x:f>IF(C722&lt;-I722,1,0)</x:f>
        <x:v>0</x:v>
      </x:c>
      <x:c r="N722" s="34" t="n">
        <x:f>-F722</x:f>
        <x:v>-1.5918917171817353</x:v>
      </x:c>
      <x:c r="O722" s="34" t="n">
        <x:f>-H722</x:f>
        <x:v>-1.5105926285159161</x:v>
      </x:c>
      <x:c r="P722" s="34" t="n">
        <x:f>-G722</x:f>
        <x:v>-2.2514428343587856</x:v>
      </x:c>
      <x:c r="Q722" s="34" t="n">
        <x:f>-I722</x:f>
        <x:v>-2.5225392080026254</x:v>
      </x:c>
      <x:c r="R722" s="36" t="n">
        <x:f>YEAR(A722)</x:f>
        <x:v>2023</x:v>
      </x:c>
    </x:row>
    <x:row r="723">
      <x:c r="A723" s="30" t="n">
        <x:v>45236</x:v>
      </x:c>
      <x:c r="B723" s="38" t="n">
        <x:v>4365.98</x:v>
      </x:c>
      <x:c r="C723" s="34" t="n">
        <x:f>(B723/B722-1)*100</x:f>
        <x:v>0.17529609897344312</x:v>
      </x:c>
      <x:c r="D723" s="34" t="n">
        <x:f>Assumptions!$B$4*D722+(1-Assumptions!$B$4)*C722^2</x:f>
        <x:v>0.9333864015536704</x:v>
      </x:c>
      <x:c r="E723" s="34" t="n">
        <x:f>SQRT(D723)</x:f>
        <x:v>0.966119248102257</x:v>
      </x:c>
      <x:c r="F723" s="34" t="n">
        <x:f>-Assumptions!$B$7*E723</x:f>
        <x:v>1.5891247493086273</x:v>
      </x:c>
      <x:c r="G723" s="34" t="n">
        <x:f>-Assumptions!$B$8*E723</x:f>
        <x:v>2.247529458892621</x:v>
      </x:c>
      <x:c r="H723" s="34" t="n">
        <x:f>-Assumptions!$B$9*E723</x:f>
        <x:v>1.5079669717408077</x:v>
      </x:c>
      <x:c r="I723" s="34" t="n">
        <x:f>-Assumptions!$B$10*E723</x:f>
        <x:v>2.5181546227498326</x:v>
      </x:c>
      <x:c r="J723" s="36" t="n">
        <x:f>IF(C723&lt;-F723,1,0)</x:f>
        <x:v>0</x:v>
      </x:c>
      <x:c r="K723" s="36" t="n">
        <x:f>IF(C723&lt;-G723,1,0)</x:f>
        <x:v>0</x:v>
      </x:c>
      <x:c r="L723" s="36" t="n">
        <x:f>IF(C723&lt;-H723,1,0)</x:f>
        <x:v>0</x:v>
      </x:c>
      <x:c r="M723" s="36" t="n">
        <x:f>IF(C723&lt;-I723,1,0)</x:f>
        <x:v>0</x:v>
      </x:c>
      <x:c r="N723" s="34" t="n">
        <x:f>-F723</x:f>
        <x:v>-1.5891247493086273</x:v>
      </x:c>
      <x:c r="O723" s="34" t="n">
        <x:f>-H723</x:f>
        <x:v>-1.5079669717408077</x:v>
      </x:c>
      <x:c r="P723" s="34" t="n">
        <x:f>-G723</x:f>
        <x:v>-2.247529458892621</x:v>
      </x:c>
      <x:c r="Q723" s="34" t="n">
        <x:f>-I723</x:f>
        <x:v>-2.5181546227498326</x:v>
      </x:c>
      <x:c r="R723" s="36" t="n">
        <x:f>YEAR(A723)</x:f>
        <x:v>2023</x:v>
      </x:c>
    </x:row>
    <x:row r="724">
      <x:c r="A724" s="30" t="n">
        <x:v>45237</x:v>
      </x:c>
      <x:c r="B724" s="38" t="n">
        <x:v>4378.38</x:v>
      </x:c>
      <x:c r="C724" s="34" t="n">
        <x:f>(B724/B723-1)*100</x:f>
        <x:v>0.28401412741241305</x:v>
      </x:c>
      <x:c r="D724" s="34" t="n">
        <x:f>Assumptions!$B$4*D723+(1-Assumptions!$B$4)*C723^2</x:f>
        <x:v>0.8792269407993686</x:v>
      </x:c>
      <x:c r="E724" s="34" t="n">
        <x:f>SQRT(D724)</x:f>
        <x:v>0.9376710194942406</x:v>
      </x:c>
      <x:c r="F724" s="34" t="n">
        <x:f>-Assumptions!$B$7*E724</x:f>
        <x:v>1.542331577302387</x:v>
      </x:c>
      <x:c r="G724" s="34" t="n">
        <x:f>-Assumptions!$B$8*E724</x:f>
        <x:v>2.181348982750134</x:v>
      </x:c>
      <x:c r="H724" s="34" t="n">
        <x:f>-Assumptions!$B$9*E724</x:f>
        <x:v>1.4635635616755522</x:v>
      </x:c>
      <x:c r="I724" s="34" t="n">
        <x:f>-Assumptions!$B$10*E724</x:f>
        <x:v>2.444005351302196</x:v>
      </x:c>
      <x:c r="J724" s="36" t="n">
        <x:f>IF(C724&lt;-F724,1,0)</x:f>
        <x:v>0</x:v>
      </x:c>
      <x:c r="K724" s="36" t="n">
        <x:f>IF(C724&lt;-G724,1,0)</x:f>
        <x:v>0</x:v>
      </x:c>
      <x:c r="L724" s="36" t="n">
        <x:f>IF(C724&lt;-H724,1,0)</x:f>
        <x:v>0</x:v>
      </x:c>
      <x:c r="M724" s="36" t="n">
        <x:f>IF(C724&lt;-I724,1,0)</x:f>
        <x:v>0</x:v>
      </x:c>
      <x:c r="N724" s="34" t="n">
        <x:f>-F724</x:f>
        <x:v>-1.542331577302387</x:v>
      </x:c>
      <x:c r="O724" s="34" t="n">
        <x:f>-H724</x:f>
        <x:v>-1.4635635616755522</x:v>
      </x:c>
      <x:c r="P724" s="34" t="n">
        <x:f>-G724</x:f>
        <x:v>-2.181348982750134</x:v>
      </x:c>
      <x:c r="Q724" s="34" t="n">
        <x:f>-I724</x:f>
        <x:v>-2.444005351302196</x:v>
      </x:c>
      <x:c r="R724" s="36" t="n">
        <x:f>YEAR(A724)</x:f>
        <x:v>2023</x:v>
      </x:c>
    </x:row>
    <x:row r="725">
      <x:c r="A725" s="30" t="n">
        <x:v>45238</x:v>
      </x:c>
      <x:c r="B725" s="38" t="n">
        <x:v>4382.78</x:v>
      </x:c>
      <x:c r="C725" s="34" t="n">
        <x:f>(B725/B724-1)*100</x:f>
        <x:v>0.10049378994057001</x:v>
      </x:c>
      <x:c r="D725" s="34" t="n">
        <x:f>Assumptions!$B$4*D724+(1-Assumptions!$B$4)*C724^2</x:f>
        <x:v>0.8313131658255964</x:v>
      </x:c>
      <x:c r="E725" s="34" t="n">
        <x:f>SQRT(D725)</x:f>
        <x:v>0.9117637664579551</x:v>
      </x:c>
      <x:c r="F725" s="34" t="n">
        <x:f>-Assumptions!$B$7*E725</x:f>
        <x:v>1.499717938181303</x:v>
      </x:c>
      <x:c r="G725" s="34" t="n">
        <x:f>-Assumptions!$B$8*E725</x:f>
        <x:v>2.121079699726933</x:v>
      </x:c>
      <x:c r="H725" s="34" t="n">
        <x:f>-Assumptions!$B$9*E725</x:f>
        <x:v>1.4231262326563965</x:v>
      </x:c>
      <x:c r="I725" s="34" t="n">
        <x:f>-Assumptions!$B$10*E725</x:f>
        <x:v>2.3764790401100533</x:v>
      </x:c>
      <x:c r="J725" s="36" t="n">
        <x:f>IF(C725&lt;-F725,1,0)</x:f>
        <x:v>0</x:v>
      </x:c>
      <x:c r="K725" s="36" t="n">
        <x:f>IF(C725&lt;-G725,1,0)</x:f>
        <x:v>0</x:v>
      </x:c>
      <x:c r="L725" s="36" t="n">
        <x:f>IF(C725&lt;-H725,1,0)</x:f>
        <x:v>0</x:v>
      </x:c>
      <x:c r="M725" s="36" t="n">
        <x:f>IF(C725&lt;-I725,1,0)</x:f>
        <x:v>0</x:v>
      </x:c>
      <x:c r="N725" s="34" t="n">
        <x:f>-F725</x:f>
        <x:v>-1.499717938181303</x:v>
      </x:c>
      <x:c r="O725" s="34" t="n">
        <x:f>-H725</x:f>
        <x:v>-1.4231262326563965</x:v>
      </x:c>
      <x:c r="P725" s="34" t="n">
        <x:f>-G725</x:f>
        <x:v>-2.121079699726933</x:v>
      </x:c>
      <x:c r="Q725" s="34" t="n">
        <x:f>-I725</x:f>
        <x:v>-2.3764790401100533</x:v>
      </x:c>
      <x:c r="R725" s="36" t="n">
        <x:f>YEAR(A725)</x:f>
        <x:v>2023</x:v>
      </x:c>
    </x:row>
    <x:row r="726">
      <x:c r="A726" s="30" t="n">
        <x:v>45239</x:v>
      </x:c>
      <x:c r="B726" s="38" t="n">
        <x:v>4347.35</x:v>
      </x:c>
      <x:c r="C726" s="34" t="n">
        <x:f>(B726/B725-1)*100</x:f>
        <x:v>-0.8083910212239531</x:v>
      </x:c>
      <x:c r="D726" s="34" t="n">
        <x:f>Assumptions!$B$4*D725+(1-Assumptions!$B$4)*C725^2</x:f>
        <x:v>0.7820403159850577</x:v>
      </x:c>
      <x:c r="E726" s="34" t="n">
        <x:f>SQRT(D726)</x:f>
        <x:v>0.8843304337096274</x:v>
      </x:c>
      <x:c r="F726" s="34" t="n">
        <x:f>-Assumptions!$B$7*E726</x:f>
        <x:v>1.4545941213108495</x:v>
      </x:c>
      <x:c r="G726" s="34" t="n">
        <x:f>-Assumptions!$B$8*E726</x:f>
        <x:v>2.057260224410006</x:v>
      </x:c>
      <x:c r="H726" s="34" t="n">
        <x:f>-Assumptions!$B$9*E726</x:f>
        <x:v>1.3803069225241187</x:v>
      </x:c>
      <x:c r="I726" s="34" t="n">
        <x:f>-Assumptions!$B$10*E726</x:f>
        <x:v>2.304975057746249</x:v>
      </x:c>
      <x:c r="J726" s="36" t="n">
        <x:f>IF(C726&lt;-F726,1,0)</x:f>
        <x:v>0</x:v>
      </x:c>
      <x:c r="K726" s="36" t="n">
        <x:f>IF(C726&lt;-G726,1,0)</x:f>
        <x:v>0</x:v>
      </x:c>
      <x:c r="L726" s="36" t="n">
        <x:f>IF(C726&lt;-H726,1,0)</x:f>
        <x:v>0</x:v>
      </x:c>
      <x:c r="M726" s="36" t="n">
        <x:f>IF(C726&lt;-I726,1,0)</x:f>
        <x:v>0</x:v>
      </x:c>
      <x:c r="N726" s="34" t="n">
        <x:f>-F726</x:f>
        <x:v>-1.4545941213108495</x:v>
      </x:c>
      <x:c r="O726" s="34" t="n">
        <x:f>-H726</x:f>
        <x:v>-1.3803069225241187</x:v>
      </x:c>
      <x:c r="P726" s="34" t="n">
        <x:f>-G726</x:f>
        <x:v>-2.057260224410006</x:v>
      </x:c>
      <x:c r="Q726" s="34" t="n">
        <x:f>-I726</x:f>
        <x:v>-2.304975057746249</x:v>
      </x:c>
      <x:c r="R726" s="36" t="n">
        <x:f>YEAR(A726)</x:f>
        <x:v>2023</x:v>
      </x:c>
    </x:row>
    <x:row r="727">
      <x:c r="A727" s="30" t="n">
        <x:v>45240</x:v>
      </x:c>
      <x:c r="B727" s="38" t="n">
        <x:v>4415.24</x:v>
      </x:c>
      <x:c r="C727" s="34" t="n">
        <x:f>(B727/B726-1)*100</x:f>
        <x:v>1.561640999689451</x:v>
      </x:c>
      <x:c r="D727" s="34" t="n">
        <x:f>Assumptions!$B$4*D726+(1-Assumptions!$B$4)*C726^2</x:f>
        <x:v>0.7743276596176846</x:v>
      </x:c>
      <x:c r="E727" s="34" t="n">
        <x:f>SQRT(D727)</x:f>
        <x:v>0.8799588965501085</x:v>
      </x:c>
      <x:c r="F727" s="34" t="n">
        <x:f>-Assumptions!$B$7*E727</x:f>
        <x:v>1.447403582558662</x:v>
      </x:c>
      <x:c r="G727" s="34" t="n">
        <x:f>-Assumptions!$B$8*E727</x:f>
        <x:v>2.0470905082326687</x:v>
      </x:c>
      <x:c r="H727" s="34" t="n">
        <x:f>-Assumptions!$B$9*E727</x:f>
        <x:v>1.3734836099100278</x:v>
      </x:c>
      <x:c r="I727" s="34" t="n">
        <x:f>-Assumptions!$B$10*E727</x:f>
        <x:v>2.293580805402774</x:v>
      </x:c>
      <x:c r="J727" s="36" t="n">
        <x:f>IF(C727&lt;-F727,1,0)</x:f>
        <x:v>0</x:v>
      </x:c>
      <x:c r="K727" s="36" t="n">
        <x:f>IF(C727&lt;-G727,1,0)</x:f>
        <x:v>0</x:v>
      </x:c>
      <x:c r="L727" s="36" t="n">
        <x:f>IF(C727&lt;-H727,1,0)</x:f>
        <x:v>0</x:v>
      </x:c>
      <x:c r="M727" s="36" t="n">
        <x:f>IF(C727&lt;-I727,1,0)</x:f>
        <x:v>0</x:v>
      </x:c>
      <x:c r="N727" s="34" t="n">
        <x:f>-F727</x:f>
        <x:v>-1.447403582558662</x:v>
      </x:c>
      <x:c r="O727" s="34" t="n">
        <x:f>-H727</x:f>
        <x:v>-1.3734836099100278</x:v>
      </x:c>
      <x:c r="P727" s="34" t="n">
        <x:f>-G727</x:f>
        <x:v>-2.0470905082326687</x:v>
      </x:c>
      <x:c r="Q727" s="34" t="n">
        <x:f>-I727</x:f>
        <x:v>-2.293580805402774</x:v>
      </x:c>
      <x:c r="R727" s="36" t="n">
        <x:f>YEAR(A727)</x:f>
        <x:v>2023</x:v>
      </x:c>
    </x:row>
    <x:row r="728">
      <x:c r="A728" s="30" t="n">
        <x:v>45243</x:v>
      </x:c>
      <x:c r="B728" s="38" t="n">
        <x:v>4411.55</x:v>
      </x:c>
      <x:c r="C728" s="34" t="n">
        <x:f>(B728/B727-1)*100</x:f>
        <x:v>-0.08357416584374722</x:v>
      </x:c>
      <x:c r="D728" s="34" t="n">
        <x:f>Assumptions!$B$4*D727+(1-Assumptions!$B$4)*C727^2</x:f>
        <x:v>0.8741913567552877</x:v>
      </x:c>
      <x:c r="E728" s="34" t="n">
        <x:f>SQRT(D728)</x:f>
        <x:v>0.934982008786954</x:v>
      </x:c>
      <x:c r="F728" s="34" t="n">
        <x:f>-Assumptions!$B$7*E728</x:f>
        <x:v>1.5379085482875952</x:v>
      </x:c>
      <x:c r="G728" s="34" t="n">
        <x:f>-Assumptions!$B$8*E728</x:f>
        <x:v>2.1750934084079647</x:v>
      </x:c>
      <x:c r="H728" s="34" t="n">
        <x:f>-Assumptions!$B$9*E728</x:f>
        <x:v>1.4593664200274477</x:v>
      </x:c>
      <x:c r="I728" s="34" t="n">
        <x:f>-Assumptions!$B$10*E728</x:f>
        <x:v>2.436996542859058</x:v>
      </x:c>
      <x:c r="J728" s="36" t="n">
        <x:f>IF(C728&lt;-F728,1,0)</x:f>
        <x:v>0</x:v>
      </x:c>
      <x:c r="K728" s="36" t="n">
        <x:f>IF(C728&lt;-G728,1,0)</x:f>
        <x:v>0</x:v>
      </x:c>
      <x:c r="L728" s="36" t="n">
        <x:f>IF(C728&lt;-H728,1,0)</x:f>
        <x:v>0</x:v>
      </x:c>
      <x:c r="M728" s="36" t="n">
        <x:f>IF(C728&lt;-I728,1,0)</x:f>
        <x:v>0</x:v>
      </x:c>
      <x:c r="N728" s="34" t="n">
        <x:f>-F728</x:f>
        <x:v>-1.5379085482875952</x:v>
      </x:c>
      <x:c r="O728" s="34" t="n">
        <x:f>-H728</x:f>
        <x:v>-1.4593664200274477</x:v>
      </x:c>
      <x:c r="P728" s="34" t="n">
        <x:f>-G728</x:f>
        <x:v>-2.1750934084079647</x:v>
      </x:c>
      <x:c r="Q728" s="34" t="n">
        <x:f>-I728</x:f>
        <x:v>-2.436996542859058</x:v>
      </x:c>
      <x:c r="R728" s="36" t="n">
        <x:f>YEAR(A728)</x:f>
        <x:v>2023</x:v>
      </x:c>
    </x:row>
    <x:row r="729">
      <x:c r="A729" s="30" t="n">
        <x:v>45244</x:v>
      </x:c>
      <x:c r="B729" s="38" t="n">
        <x:v>4495.7</x:v>
      </x:c>
      <x:c r="C729" s="34" t="n">
        <x:f>(B729/B728-1)*100</x:f>
        <x:v>1.907492831317792</x:v>
      </x:c>
      <x:c r="D729" s="34" t="n">
        <x:f>Assumptions!$B$4*D728+(1-Assumptions!$B$4)*C728^2</x:f>
        <x:v>0.8221589538217591</x:v>
      </x:c>
      <x:c r="E729" s="34" t="n">
        <x:f>SQRT(D729)</x:f>
        <x:v>0.9067298130213648</x:v>
      </x:c>
      <x:c r="F729" s="34" t="n">
        <x:f>-Assumptions!$B$7*E729</x:f>
        <x:v>1.4914378216132227</x:v>
      </x:c>
      <x:c r="G729" s="34" t="n">
        <x:f>-Assumptions!$B$8*E729</x:f>
        <x:v>2.1093689728517004</x:v>
      </x:c>
      <x:c r="H729" s="34" t="n">
        <x:f>-Assumptions!$B$9*E729</x:f>
        <x:v>1.4152689877722164</x:v>
      </x:c>
      <x:c r="I729" s="34" t="n">
        <x:f>-Assumptions!$B$10*E729</x:f>
        <x:v>2.363358223873386</x:v>
      </x:c>
      <x:c r="J729" s="36" t="n">
        <x:f>IF(C729&lt;-F729,1,0)</x:f>
        <x:v>0</x:v>
      </x:c>
      <x:c r="K729" s="36" t="n">
        <x:f>IF(C729&lt;-G729,1,0)</x:f>
        <x:v>0</x:v>
      </x:c>
      <x:c r="L729" s="36" t="n">
        <x:f>IF(C729&lt;-H729,1,0)</x:f>
        <x:v>0</x:v>
      </x:c>
      <x:c r="M729" s="36" t="n">
        <x:f>IF(C729&lt;-I729,1,0)</x:f>
        <x:v>0</x:v>
      </x:c>
      <x:c r="N729" s="34" t="n">
        <x:f>-F729</x:f>
        <x:v>-1.4914378216132227</x:v>
      </x:c>
      <x:c r="O729" s="34" t="n">
        <x:f>-H729</x:f>
        <x:v>-1.4152689877722164</x:v>
      </x:c>
      <x:c r="P729" s="34" t="n">
        <x:f>-G729</x:f>
        <x:v>-2.1093689728517004</x:v>
      </x:c>
      <x:c r="Q729" s="34" t="n">
        <x:f>-I729</x:f>
        <x:v>-2.363358223873386</x:v>
      </x:c>
      <x:c r="R729" s="36" t="n">
        <x:f>YEAR(A729)</x:f>
        <x:v>2023</x:v>
      </x:c>
    </x:row>
    <x:row r="730">
      <x:c r="A730" s="30" t="n">
        <x:v>45245</x:v>
      </x:c>
      <x:c r="B730" s="38" t="n">
        <x:v>4502.88</x:v>
      </x:c>
      <x:c r="C730" s="34" t="n">
        <x:f>(B730/B729-1)*100</x:f>
        <x:v>0.1597081655804411</x:v>
      </x:c>
      <x:c r="D730" s="34" t="n">
        <x:f>Assumptions!$B$4*D729+(1-Assumptions!$B$4)*C729^2</x:f>
        <x:v>0.9911411506841796</x:v>
      </x:c>
      <x:c r="E730" s="34" t="n">
        <x:f>SQRT(D730)</x:f>
        <x:v>0.9955607217463833</x:v>
      </x:c>
      <x:c r="F730" s="34" t="n">
        <x:f>-Assumptions!$B$7*E730</x:f>
        <x:v>1.6375516640149648</x:v>
      </x:c>
      <x:c r="G730" s="34" t="n">
        <x:f>-Assumptions!$B$8*E730</x:f>
        <x:v>2.3160205685132635</x:v>
      </x:c>
      <x:c r="H730" s="34" t="n">
        <x:f>-Assumptions!$B$9*E730</x:f>
        <x:v>1.5539206880568093</x:v>
      </x:c>
      <x:c r="I730" s="34" t="n">
        <x:f>-Assumptions!$B$10*E730</x:f>
        <x:v>2.59489275119842</x:v>
      </x:c>
      <x:c r="J730" s="36" t="n">
        <x:f>IF(C730&lt;-F730,1,0)</x:f>
        <x:v>0</x:v>
      </x:c>
      <x:c r="K730" s="36" t="n">
        <x:f>IF(C730&lt;-G730,1,0)</x:f>
        <x:v>0</x:v>
      </x:c>
      <x:c r="L730" s="36" t="n">
        <x:f>IF(C730&lt;-H730,1,0)</x:f>
        <x:v>0</x:v>
      </x:c>
      <x:c r="M730" s="36" t="n">
        <x:f>IF(C730&lt;-I730,1,0)</x:f>
        <x:v>0</x:v>
      </x:c>
      <x:c r="N730" s="34" t="n">
        <x:f>-F730</x:f>
        <x:v>-1.6375516640149648</x:v>
      </x:c>
      <x:c r="O730" s="34" t="n">
        <x:f>-H730</x:f>
        <x:v>-1.5539206880568093</x:v>
      </x:c>
      <x:c r="P730" s="34" t="n">
        <x:f>-G730</x:f>
        <x:v>-2.3160205685132635</x:v>
      </x:c>
      <x:c r="Q730" s="34" t="n">
        <x:f>-I730</x:f>
        <x:v>-2.59489275119842</x:v>
      </x:c>
      <x:c r="R730" s="36" t="n">
        <x:f>YEAR(A730)</x:f>
        <x:v>2023</x:v>
      </x:c>
    </x:row>
    <x:row r="731">
      <x:c r="A731" s="30" t="n">
        <x:v>45246</x:v>
      </x:c>
      <x:c r="B731" s="38" t="n">
        <x:v>4508.24</x:v>
      </x:c>
      <x:c r="C731" s="34" t="n">
        <x:f>(B731/B730-1)*100</x:f>
        <x:v>0.11903492875668942</x:v>
      </x:c>
      <x:c r="D731" s="34" t="n">
        <x:f>Assumptions!$B$4*D730+(1-Assumptions!$B$4)*C730^2</x:f>
        <x:v>0.933203083532313</x:v>
      </x:c>
      <x:c r="E731" s="34" t="n">
        <x:f>SQRT(D731)</x:f>
        <x:v>0.9660243700509387</x:v>
      </x:c>
      <x:c r="F731" s="34" t="n">
        <x:f>-Assumptions!$B$7*E731</x:f>
        <x:v>1.5889686888017982</x:v>
      </x:c>
      <x:c r="G731" s="34" t="n">
        <x:f>-Assumptions!$B$8*E731</x:f>
        <x:v>2.247308739539643</x:v>
      </x:c>
      <x:c r="H731" s="34" t="n">
        <x:f>-Assumptions!$B$9*E731</x:f>
        <x:v>1.5078188813596127</x:v>
      </x:c>
      <x:c r="I731" s="34" t="n">
        <x:f>-Assumptions!$B$10*E731</x:f>
        <x:v>2.517907326565646</x:v>
      </x:c>
      <x:c r="J731" s="36" t="n">
        <x:f>IF(C731&lt;-F731,1,0)</x:f>
        <x:v>0</x:v>
      </x:c>
      <x:c r="K731" s="36" t="n">
        <x:f>IF(C731&lt;-G731,1,0)</x:f>
        <x:v>0</x:v>
      </x:c>
      <x:c r="L731" s="36" t="n">
        <x:f>IF(C731&lt;-H731,1,0)</x:f>
        <x:v>0</x:v>
      </x:c>
      <x:c r="M731" s="36" t="n">
        <x:f>IF(C731&lt;-I731,1,0)</x:f>
        <x:v>0</x:v>
      </x:c>
      <x:c r="N731" s="34" t="n">
        <x:f>-F731</x:f>
        <x:v>-1.5889686888017982</x:v>
      </x:c>
      <x:c r="O731" s="34" t="n">
        <x:f>-H731</x:f>
        <x:v>-1.5078188813596127</x:v>
      </x:c>
      <x:c r="P731" s="34" t="n">
        <x:f>-G731</x:f>
        <x:v>-2.247308739539643</x:v>
      </x:c>
      <x:c r="Q731" s="34" t="n">
        <x:f>-I731</x:f>
        <x:v>-2.517907326565646</x:v>
      </x:c>
      <x:c r="R731" s="36" t="n">
        <x:f>YEAR(A731)</x:f>
        <x:v>2023</x:v>
      </x:c>
    </x:row>
    <x:row r="732">
      <x:c r="A732" s="30" t="n">
        <x:v>45247</x:v>
      </x:c>
      <x:c r="B732" s="38" t="n">
        <x:v>4514.02</x:v>
      </x:c>
      <x:c r="C732" s="34" t="n">
        <x:f>(B732/B731-1)*100</x:f>
        <x:v>0.12820967827800178</x:v>
      </x:c>
      <x:c r="D732" s="34" t="n">
        <x:f>Assumptions!$B$4*D731+(1-Assumptions!$B$4)*C731^2</x:f>
        <x:v>0.8780610573762208</x:v>
      </x:c>
      <x:c r="E732" s="34" t="n">
        <x:f>SQRT(D732)</x:f>
        <x:v>0.9370491221788859</x:v>
      </x:c>
      <x:c r="F732" s="34" t="n">
        <x:f>-Assumptions!$B$7*E732</x:f>
        <x:v>1.5413086472476343</x:v>
      </x:c>
      <x:c r="G732" s="34" t="n">
        <x:f>-Assumptions!$B$8*E732</x:f>
        <x:v>2.1799022332526867</x:v>
      </x:c>
      <x:c r="H732" s="34" t="n">
        <x:f>-Assumptions!$B$9*E732</x:f>
        <x:v>1.4625928734160945</x:v>
      </x:c>
      <x:c r="I732" s="34" t="n">
        <x:f>-Assumptions!$B$10*E732</x:f>
        <x:v>2.4423843986065408</x:v>
      </x:c>
      <x:c r="J732" s="36" t="n">
        <x:f>IF(C732&lt;-F732,1,0)</x:f>
        <x:v>0</x:v>
      </x:c>
      <x:c r="K732" s="36" t="n">
        <x:f>IF(C732&lt;-G732,1,0)</x:f>
        <x:v>0</x:v>
      </x:c>
      <x:c r="L732" s="36" t="n">
        <x:f>IF(C732&lt;-H732,1,0)</x:f>
        <x:v>0</x:v>
      </x:c>
      <x:c r="M732" s="36" t="n">
        <x:f>IF(C732&lt;-I732,1,0)</x:f>
        <x:v>0</x:v>
      </x:c>
      <x:c r="N732" s="34" t="n">
        <x:f>-F732</x:f>
        <x:v>-1.5413086472476343</x:v>
      </x:c>
      <x:c r="O732" s="34" t="n">
        <x:f>-H732</x:f>
        <x:v>-1.4625928734160945</x:v>
      </x:c>
      <x:c r="P732" s="34" t="n">
        <x:f>-G732</x:f>
        <x:v>-2.1799022332526867</x:v>
      </x:c>
      <x:c r="Q732" s="34" t="n">
        <x:f>-I732</x:f>
        <x:v>-2.4423843986065408</x:v>
      </x:c>
      <x:c r="R732" s="36" t="n">
        <x:f>YEAR(A732)</x:f>
        <x:v>2023</x:v>
      </x:c>
    </x:row>
    <x:row r="733">
      <x:c r="A733" s="30" t="n">
        <x:v>45250</x:v>
      </x:c>
      <x:c r="B733" s="38" t="n">
        <x:v>4547.38</x:v>
      </x:c>
      <x:c r="C733" s="34" t="n">
        <x:f>(B733/B732-1)*100</x:f>
        <x:v>0.7390308416887814</x:v>
      </x:c>
      <x:c r="D733" s="34" t="n">
        <x:f>Assumptions!$B$4*D732+(1-Assumptions!$B$4)*C732^2</x:f>
        <x:v>0.8263636572298965</x:v>
      </x:c>
      <x:c r="E733" s="34" t="n">
        <x:f>SQRT(D733)</x:f>
        <x:v>0.909045464886051</x:v>
      </x:c>
      <x:c r="F733" s="34" t="n">
        <x:f>-Assumptions!$B$7*E733</x:f>
        <x:v>1.4952467299816088</x:v>
      </x:c>
      <x:c r="G733" s="34" t="n">
        <x:f>-Assumptions!$B$8*E733</x:f>
        <x:v>2.114755984644132</x:v>
      </x:c>
      <x:c r="H733" s="34" t="n">
        <x:f>-Assumptions!$B$9*E733</x:f>
        <x:v>1.418883372370035</x:v>
      </x:c>
      <x:c r="I733" s="34" t="n">
        <x:f>-Assumptions!$B$10*E733</x:f>
        <x:v>2.3693938860954074</x:v>
      </x:c>
      <x:c r="J733" s="36" t="n">
        <x:f>IF(C733&lt;-F733,1,0)</x:f>
        <x:v>0</x:v>
      </x:c>
      <x:c r="K733" s="36" t="n">
        <x:f>IF(C733&lt;-G733,1,0)</x:f>
        <x:v>0</x:v>
      </x:c>
      <x:c r="L733" s="36" t="n">
        <x:f>IF(C733&lt;-H733,1,0)</x:f>
        <x:v>0</x:v>
      </x:c>
      <x:c r="M733" s="36" t="n">
        <x:f>IF(C733&lt;-I733,1,0)</x:f>
        <x:v>0</x:v>
      </x:c>
      <x:c r="N733" s="34" t="n">
        <x:f>-F733</x:f>
        <x:v>-1.4952467299816088</x:v>
      </x:c>
      <x:c r="O733" s="34" t="n">
        <x:f>-H733</x:f>
        <x:v>-1.418883372370035</x:v>
      </x:c>
      <x:c r="P733" s="34" t="n">
        <x:f>-G733</x:f>
        <x:v>-2.114755984644132</x:v>
      </x:c>
      <x:c r="Q733" s="34" t="n">
        <x:f>-I733</x:f>
        <x:v>-2.3693938860954074</x:v>
      </x:c>
      <x:c r="R733" s="36" t="n">
        <x:f>YEAR(A733)</x:f>
        <x:v>2023</x:v>
      </x:c>
    </x:row>
    <x:row r="734">
      <x:c r="A734" s="30" t="n">
        <x:v>45251</x:v>
      </x:c>
      <x:c r="B734" s="38" t="n">
        <x:v>4538.19</x:v>
      </x:c>
      <x:c r="C734" s="34" t="n">
        <x:f>(B734/B733-1)*100</x:f>
        <x:v>-0.2020943928152108</x:v>
      </x:c>
      <x:c r="D734" s="34" t="n">
        <x:f>Assumptions!$B$4*D733+(1-Assumptions!$B$4)*C733^2</x:f>
        <x:v>0.8095518328941365</x:v>
      </x:c>
      <x:c r="E734" s="34" t="n">
        <x:f>SQRT(D734)</x:f>
        <x:v>0.899750983825045</x:v>
      </x:c>
      <x:c r="F734" s="34" t="n">
        <x:f>-Assumptions!$B$7*E734</x:f>
        <x:v>1.4799586690977813</x:v>
      </x:c>
      <x:c r="G734" s="34" t="n">
        <x:f>-Assumptions!$B$8*E734</x:f>
        <x:v>2.093133788387548</x:v>
      </x:c>
      <x:c r="H734" s="34" t="n">
        <x:f>-Assumptions!$B$9*E734</x:f>
        <x:v>1.4043760840751391</x:v>
      </x:c>
      <x:c r="I734" s="34" t="n">
        <x:f>-Assumptions!$B$10*E734</x:f>
        <x:v>2.3451681598242384</x:v>
      </x:c>
      <x:c r="J734" s="36" t="n">
        <x:f>IF(C734&lt;-F734,1,0)</x:f>
        <x:v>0</x:v>
      </x:c>
      <x:c r="K734" s="36" t="n">
        <x:f>IF(C734&lt;-G734,1,0)</x:f>
        <x:v>0</x:v>
      </x:c>
      <x:c r="L734" s="36" t="n">
        <x:f>IF(C734&lt;-H734,1,0)</x:f>
        <x:v>0</x:v>
      </x:c>
      <x:c r="M734" s="36" t="n">
        <x:f>IF(C734&lt;-I734,1,0)</x:f>
        <x:v>0</x:v>
      </x:c>
      <x:c r="N734" s="34" t="n">
        <x:f>-F734</x:f>
        <x:v>-1.4799586690977813</x:v>
      </x:c>
      <x:c r="O734" s="34" t="n">
        <x:f>-H734</x:f>
        <x:v>-1.4043760840751391</x:v>
      </x:c>
      <x:c r="P734" s="34" t="n">
        <x:f>-G734</x:f>
        <x:v>-2.093133788387548</x:v>
      </x:c>
      <x:c r="Q734" s="34" t="n">
        <x:f>-I734</x:f>
        <x:v>-2.3451681598242384</x:v>
      </x:c>
      <x:c r="R734" s="36" t="n">
        <x:f>YEAR(A734)</x:f>
        <x:v>2023</x:v>
      </x:c>
    </x:row>
    <x:row r="735">
      <x:c r="A735" s="30" t="n">
        <x:v>45252</x:v>
      </x:c>
      <x:c r="B735" s="38" t="n">
        <x:v>4556.62</x:v>
      </x:c>
      <x:c r="C735" s="34" t="n">
        <x:f>(B735/B734-1)*100</x:f>
        <x:v>0.4061090434732906</x:v>
      </x:c>
      <x:c r="D735" s="34" t="n">
        <x:f>Assumptions!$B$4*D734+(1-Assumptions!$B$4)*C734^2</x:f>
        <x:v>0.7634292515369291</x:v>
      </x:c>
      <x:c r="E735" s="34" t="n">
        <x:f>SQRT(D735)</x:f>
        <x:v>0.8737443856969435</x:v>
      </x:c>
      <x:c r="F735" s="34" t="n">
        <x:f>-Assumptions!$B$7*E735</x:f>
        <x:v>1.437181621842104</x:v>
      </x:c>
      <x:c r="G735" s="34" t="n">
        <x:f>-Assumptions!$B$8*E735</x:f>
        <x:v>2.0326333941212043</x:v>
      </x:c>
      <x:c r="H735" s="34" t="n">
        <x:f>-Assumptions!$B$9*E735</x:f>
        <x:v>1.3637836922958144</x:v>
      </x:c>
      <x:c r="I735" s="34" t="n">
        <x:f>-Assumptions!$B$10*E735</x:f>
        <x:v>2.277382909269594</x:v>
      </x:c>
      <x:c r="J735" s="36" t="n">
        <x:f>IF(C735&lt;-F735,1,0)</x:f>
        <x:v>0</x:v>
      </x:c>
      <x:c r="K735" s="36" t="n">
        <x:f>IF(C735&lt;-G735,1,0)</x:f>
        <x:v>0</x:v>
      </x:c>
      <x:c r="L735" s="36" t="n">
        <x:f>IF(C735&lt;-H735,1,0)</x:f>
        <x:v>0</x:v>
      </x:c>
      <x:c r="M735" s="36" t="n">
        <x:f>IF(C735&lt;-I735,1,0)</x:f>
        <x:v>0</x:v>
      </x:c>
      <x:c r="N735" s="34" t="n">
        <x:f>-F735</x:f>
        <x:v>-1.437181621842104</x:v>
      </x:c>
      <x:c r="O735" s="34" t="n">
        <x:f>-H735</x:f>
        <x:v>-1.3637836922958144</x:v>
      </x:c>
      <x:c r="P735" s="34" t="n">
        <x:f>-G735</x:f>
        <x:v>-2.0326333941212043</x:v>
      </x:c>
      <x:c r="Q735" s="34" t="n">
        <x:f>-I735</x:f>
        <x:v>-2.277382909269594</x:v>
      </x:c>
      <x:c r="R735" s="36" t="n">
        <x:f>YEAR(A735)</x:f>
        <x:v>2023</x:v>
      </x:c>
    </x:row>
    <x:row r="736">
      <x:c r="A736" s="30" t="n">
        <x:v>45254</x:v>
      </x:c>
      <x:c r="B736" s="38" t="n">
        <x:v>4559.34</x:v>
      </x:c>
      <x:c r="C736" s="34" t="n">
        <x:f>(B736/B735-1)*100</x:f>
        <x:v>0.05969336920788049</x:v>
      </x:c>
      <x:c r="D736" s="34" t="n">
        <x:f>Assumptions!$B$4*D735+(1-Assumptions!$B$4)*C735^2</x:f>
        <x:v>0.7275189697561608</x:v>
      </x:c>
      <x:c r="E736" s="34" t="n">
        <x:f>SQRT(D736)</x:f>
        <x:v>0.8529472256571099</x:v>
      </x:c>
      <x:c r="F736" s="34" t="n">
        <x:f>-Assumptions!$B$7*E736</x:f>
        <x:v>1.4029733377202935</x:v>
      </x:c>
      <x:c r="G736" s="34" t="n">
        <x:f>-Assumptions!$B$8*E736</x:f>
        <x:v>1.9842519650764505</x:v>
      </x:c>
      <x:c r="H736" s="34" t="n">
        <x:f>-Assumptions!$B$9*E736</x:f>
        <x:v>1.3313224505726216</x:v>
      </x:c>
      <x:c r="I736" s="34" t="n">
        <x:f>-Assumptions!$B$10*E736</x:f>
        <x:v>2.2231758693029997</x:v>
      </x:c>
      <x:c r="J736" s="36" t="n">
        <x:f>IF(C736&lt;-F736,1,0)</x:f>
        <x:v>0</x:v>
      </x:c>
      <x:c r="K736" s="36" t="n">
        <x:f>IF(C736&lt;-G736,1,0)</x:f>
        <x:v>0</x:v>
      </x:c>
      <x:c r="L736" s="36" t="n">
        <x:f>IF(C736&lt;-H736,1,0)</x:f>
        <x:v>0</x:v>
      </x:c>
      <x:c r="M736" s="36" t="n">
        <x:f>IF(C736&lt;-I736,1,0)</x:f>
        <x:v>0</x:v>
      </x:c>
      <x:c r="N736" s="34" t="n">
        <x:f>-F736</x:f>
        <x:v>-1.4029733377202935</x:v>
      </x:c>
      <x:c r="O736" s="34" t="n">
        <x:f>-H736</x:f>
        <x:v>-1.3313224505726216</x:v>
      </x:c>
      <x:c r="P736" s="34" t="n">
        <x:f>-G736</x:f>
        <x:v>-1.9842519650764505</x:v>
      </x:c>
      <x:c r="Q736" s="34" t="n">
        <x:f>-I736</x:f>
        <x:v>-2.2231758693029997</x:v>
      </x:c>
      <x:c r="R736" s="36" t="n">
        <x:f>YEAR(A736)</x:f>
        <x:v>2023</x:v>
      </x:c>
    </x:row>
    <x:row r="737">
      <x:c r="A737" s="30" t="n">
        <x:v>45257</x:v>
      </x:c>
      <x:c r="B737" s="38" t="n">
        <x:v>4550.43</x:v>
      </x:c>
      <x:c r="C737" s="34" t="n">
        <x:f>(B737/B736-1)*100</x:f>
        <x:v>-0.1954230217531494</x:v>
      </x:c>
      <x:c r="D737" s="34" t="n">
        <x:f>Assumptions!$B$4*D736+(1-Assumptions!$B$4)*C736^2</x:f>
        <x:v>0.6840816294704344</x:v>
      </x:c>
      <x:c r="E737" s="34" t="n">
        <x:f>SQRT(D737)</x:f>
        <x:v>0.8270922738548792</x:v>
      </x:c>
      <x:c r="F737" s="34" t="n">
        <x:f>-Assumptions!$B$7*E737</x:f>
        <x:v>1.3604457264737388</x:v>
      </x:c>
      <x:c r="G737" s="34" t="n">
        <x:f>-Assumptions!$B$8*E737</x:f>
        <x:v>1.9241043529179027</x:v>
      </x:c>
      <x:c r="H737" s="34" t="n">
        <x:f>-Assumptions!$B$9*E737</x:f>
        <x:v>1.2909667559207458</x:v>
      </x:c>
      <x:c r="I737" s="34" t="n">
        <x:f>-Assumptions!$B$10*E737</x:f>
        <x:v>2.1557858793719946</x:v>
      </x:c>
      <x:c r="J737" s="36" t="n">
        <x:f>IF(C737&lt;-F737,1,0)</x:f>
        <x:v>0</x:v>
      </x:c>
      <x:c r="K737" s="36" t="n">
        <x:f>IF(C737&lt;-G737,1,0)</x:f>
        <x:v>0</x:v>
      </x:c>
      <x:c r="L737" s="36" t="n">
        <x:f>IF(C737&lt;-H737,1,0)</x:f>
        <x:v>0</x:v>
      </x:c>
      <x:c r="M737" s="36" t="n">
        <x:f>IF(C737&lt;-I737,1,0)</x:f>
        <x:v>0</x:v>
      </x:c>
      <x:c r="N737" s="34" t="n">
        <x:f>-F737</x:f>
        <x:v>-1.3604457264737388</x:v>
      </x:c>
      <x:c r="O737" s="34" t="n">
        <x:f>-H737</x:f>
        <x:v>-1.2909667559207458</x:v>
      </x:c>
      <x:c r="P737" s="34" t="n">
        <x:f>-G737</x:f>
        <x:v>-1.9241043529179027</x:v>
      </x:c>
      <x:c r="Q737" s="34" t="n">
        <x:f>-I737</x:f>
        <x:v>-2.1557858793719946</x:v>
      </x:c>
      <x:c r="R737" s="36" t="n">
        <x:f>YEAR(A737)</x:f>
        <x:v>2023</x:v>
      </x:c>
    </x:row>
    <x:row r="738">
      <x:c r="A738" s="30" t="n">
        <x:v>45258</x:v>
      </x:c>
      <x:c r="B738" s="38" t="n">
        <x:v>4554.89</x:v>
      </x:c>
      <x:c r="C738" s="34" t="n">
        <x:f>(B738/B737-1)*100</x:f>
        <x:v>0.09801271528184774</x:v>
      </x:c>
      <x:c r="D738" s="34" t="n">
        <x:f>Assumptions!$B$4*D737+(1-Assumptions!$B$4)*C737^2</x:f>
        <x:v>0.6453281411480762</x:v>
      </x:c>
      <x:c r="E738" s="34" t="n">
        <x:f>SQRT(D738)</x:f>
        <x:v>0.8033231859893478</x:v>
      </x:c>
      <x:c r="F738" s="34" t="n">
        <x:f>-Assumptions!$B$7*E738</x:f>
        <x:v>1.3213490560887913</x:v>
      </x:c>
      <x:c r="G738" s="34" t="n">
        <x:f>-Assumptions!$B$8*E738</x:f>
        <x:v>1.8688091858940339</x:v>
      </x:c>
      <x:c r="H738" s="34" t="n">
        <x:f>-Assumptions!$B$9*E738</x:f>
        <x:v>1.253866781440336</x:v>
      </x:c>
      <x:c r="I738" s="34" t="n">
        <x:f>-Assumptions!$B$10*E738</x:f>
        <x:v>2.093832617800293</x:v>
      </x:c>
      <x:c r="J738" s="36" t="n">
        <x:f>IF(C738&lt;-F738,1,0)</x:f>
        <x:v>0</x:v>
      </x:c>
      <x:c r="K738" s="36" t="n">
        <x:f>IF(C738&lt;-G738,1,0)</x:f>
        <x:v>0</x:v>
      </x:c>
      <x:c r="L738" s="36" t="n">
        <x:f>IF(C738&lt;-H738,1,0)</x:f>
        <x:v>0</x:v>
      </x:c>
      <x:c r="M738" s="36" t="n">
        <x:f>IF(C738&lt;-I738,1,0)</x:f>
        <x:v>0</x:v>
      </x:c>
      <x:c r="N738" s="34" t="n">
        <x:f>-F738</x:f>
        <x:v>-1.3213490560887913</x:v>
      </x:c>
      <x:c r="O738" s="34" t="n">
        <x:f>-H738</x:f>
        <x:v>-1.253866781440336</x:v>
      </x:c>
      <x:c r="P738" s="34" t="n">
        <x:f>-G738</x:f>
        <x:v>-1.8688091858940339</x:v>
      </x:c>
      <x:c r="Q738" s="34" t="n">
        <x:f>-I738</x:f>
        <x:v>-2.093832617800293</x:v>
      </x:c>
      <x:c r="R738" s="36" t="n">
        <x:f>YEAR(A738)</x:f>
        <x:v>2023</x:v>
      </x:c>
    </x:row>
    <x:row r="739">
      <x:c r="A739" s="30" t="n">
        <x:v>45259</x:v>
      </x:c>
      <x:c r="B739" s="38" t="n">
        <x:v>4550.58</x:v>
      </x:c>
      <x:c r="C739" s="34" t="n">
        <x:f>(B739/B738-1)*100</x:f>
        <x:v>-0.09462358037187757</x:v>
      </x:c>
      <x:c r="D739" s="34" t="n">
        <x:f>Assumptions!$B$4*D738+(1-Assumptions!$B$4)*C738^2</x:f>
        <x:v>0.6071848422206069</x:v>
      </x:c>
      <x:c r="E739" s="34" t="n">
        <x:f>SQRT(D739)</x:f>
        <x:v>0.7792206633686037</x:v>
      </x:c>
      <x:c r="F739" s="34" t="n">
        <x:f>-Assumptions!$B$7*E739</x:f>
        <x:v>1.2817039343373806</x:v>
      </x:c>
      <x:c r="G739" s="34" t="n">
        <x:f>-Assumptions!$B$8*E739</x:f>
        <x:v>1.8127383336362446</x:v>
      </x:c>
      <x:c r="H739" s="34" t="n">
        <x:f>-Assumptions!$B$9*E739</x:f>
        <x:v>1.2162463654108326</x:v>
      </x:c>
      <x:c r="I739" s="34" t="n">
        <x:f>-Assumptions!$B$10*E739</x:f>
        <x:v>2.031010270686746</x:v>
      </x:c>
      <x:c r="J739" s="36" t="n">
        <x:f>IF(C739&lt;-F739,1,0)</x:f>
        <x:v>0</x:v>
      </x:c>
      <x:c r="K739" s="36" t="n">
        <x:f>IF(C739&lt;-G739,1,0)</x:f>
        <x:v>0</x:v>
      </x:c>
      <x:c r="L739" s="36" t="n">
        <x:f>IF(C739&lt;-H739,1,0)</x:f>
        <x:v>0</x:v>
      </x:c>
      <x:c r="M739" s="36" t="n">
        <x:f>IF(C739&lt;-I739,1,0)</x:f>
        <x:v>0</x:v>
      </x:c>
      <x:c r="N739" s="34" t="n">
        <x:f>-F739</x:f>
        <x:v>-1.2817039343373806</x:v>
      </x:c>
      <x:c r="O739" s="34" t="n">
        <x:f>-H739</x:f>
        <x:v>-1.2162463654108326</x:v>
      </x:c>
      <x:c r="P739" s="34" t="n">
        <x:f>-G739</x:f>
        <x:v>-1.8127383336362446</x:v>
      </x:c>
      <x:c r="Q739" s="34" t="n">
        <x:f>-I739</x:f>
        <x:v>-2.031010270686746</x:v>
      </x:c>
      <x:c r="R739" s="36" t="n">
        <x:f>YEAR(A739)</x:f>
        <x:v>2023</x:v>
      </x:c>
    </x:row>
    <x:row r="740">
      <x:c r="A740" s="30" t="n">
        <x:v>45260</x:v>
      </x:c>
      <x:c r="B740" s="38" t="n">
        <x:v>4567.8</x:v>
      </x:c>
      <x:c r="C740" s="34" t="n">
        <x:f>(B740/B739-1)*100</x:f>
        <x:v>0.37841330116161753</x:v>
      </x:c>
      <x:c r="D740" s="34" t="n">
        <x:f>Assumptions!$B$4*D739+(1-Assumptions!$B$4)*C739^2</x:f>
        <x:v>0.571290969005114</x:v>
      </x:c>
      <x:c r="E740" s="34" t="n">
        <x:f>SQRT(D740)</x:f>
        <x:v>0.7558379250905012</x:v>
      </x:c>
      <x:c r="F740" s="34" t="n">
        <x:f>-Assumptions!$B$7*E740</x:f>
        <x:v>1.2432427524725864</x:v>
      </x:c>
      <x:c r="G740" s="34" t="n">
        <x:f>-Assumptions!$B$8*E740</x:f>
        <x:v>1.7583419501537274</x:v>
      </x:c>
      <x:c r="H740" s="34" t="n">
        <x:f>-Assumptions!$B$9*E740</x:f>
        <x:v>1.1797494245813234</x:v>
      </x:c>
      <x:c r="I740" s="34" t="n">
        <x:f>-Assumptions!$B$10*E740</x:f>
        <x:v>1.9700640152392805</x:v>
      </x:c>
      <x:c r="J740" s="36" t="n">
        <x:f>IF(C740&lt;-F740,1,0)</x:f>
        <x:v>0</x:v>
      </x:c>
      <x:c r="K740" s="36" t="n">
        <x:f>IF(C740&lt;-G740,1,0)</x:f>
        <x:v>0</x:v>
      </x:c>
      <x:c r="L740" s="36" t="n">
        <x:f>IF(C740&lt;-H740,1,0)</x:f>
        <x:v>0</x:v>
      </x:c>
      <x:c r="M740" s="36" t="n">
        <x:f>IF(C740&lt;-I740,1,0)</x:f>
        <x:v>0</x:v>
      </x:c>
      <x:c r="N740" s="34" t="n">
        <x:f>-F740</x:f>
        <x:v>-1.2432427524725864</x:v>
      </x:c>
      <x:c r="O740" s="34" t="n">
        <x:f>-H740</x:f>
        <x:v>-1.1797494245813234</x:v>
      </x:c>
      <x:c r="P740" s="34" t="n">
        <x:f>-G740</x:f>
        <x:v>-1.7583419501537274</x:v>
      </x:c>
      <x:c r="Q740" s="34" t="n">
        <x:f>-I740</x:f>
        <x:v>-1.9700640152392805</x:v>
      </x:c>
      <x:c r="R740" s="36" t="n">
        <x:f>YEAR(A740)</x:f>
        <x:v>2023</x:v>
      </x:c>
    </x:row>
    <x:row r="741">
      <x:c r="A741" s="30" t="n">
        <x:v>45261</x:v>
      </x:c>
      <x:c r="B741" s="38" t="n">
        <x:v>4594.63</x:v>
      </x:c>
      <x:c r="C741" s="34" t="n">
        <x:f>(B741/B740-1)*100</x:f>
        <x:v>0.5873724769035471</x:v>
      </x:c>
      <x:c r="D741" s="34" t="n">
        <x:f>Assumptions!$B$4*D740+(1-Assumptions!$B$4)*C740^2</x:f>
        <x:v>0.5456053084545691</x:v>
      </x:c>
      <x:c r="E741" s="34" t="n">
        <x:f>SQRT(D741)</x:f>
        <x:v>0.7386510058576845</x:v>
      </x:c>
      <x:c r="F741" s="34" t="n">
        <x:f>-Assumptions!$B$7*E741</x:f>
        <x:v>1.214972786036366</x:v>
      </x:c>
      <x:c r="G741" s="34" t="n">
        <x:f>-Assumptions!$B$8*E741</x:f>
        <x:v>1.7183591971351526</x:v>
      </x:c>
      <x:c r="H741" s="34" t="n">
        <x:f>-Assumptions!$B$9*E741</x:f>
        <x:v>1.1529232262626647</x:v>
      </x:c>
      <x:c r="I741" s="34" t="n">
        <x:f>-Assumptions!$B$10*E741</x:f>
        <x:v>1.9252669364087338</x:v>
      </x:c>
      <x:c r="J741" s="36" t="n">
        <x:f>IF(C741&lt;-F741,1,0)</x:f>
        <x:v>0</x:v>
      </x:c>
      <x:c r="K741" s="36" t="n">
        <x:f>IF(C741&lt;-G741,1,0)</x:f>
        <x:v>0</x:v>
      </x:c>
      <x:c r="L741" s="36" t="n">
        <x:f>IF(C741&lt;-H741,1,0)</x:f>
        <x:v>0</x:v>
      </x:c>
      <x:c r="M741" s="36" t="n">
        <x:f>IF(C741&lt;-I741,1,0)</x:f>
        <x:v>0</x:v>
      </x:c>
      <x:c r="N741" s="34" t="n">
        <x:f>-F741</x:f>
        <x:v>-1.214972786036366</x:v>
      </x:c>
      <x:c r="O741" s="34" t="n">
        <x:f>-H741</x:f>
        <x:v>-1.1529232262626647</x:v>
      </x:c>
      <x:c r="P741" s="34" t="n">
        <x:f>-G741</x:f>
        <x:v>-1.7183591971351526</x:v>
      </x:c>
      <x:c r="Q741" s="34" t="n">
        <x:f>-I741</x:f>
        <x:v>-1.9252669364087338</x:v>
      </x:c>
      <x:c r="R741" s="36" t="n">
        <x:f>YEAR(A741)</x:f>
        <x:v>2023</x:v>
      </x:c>
    </x:row>
    <x:row r="742">
      <x:c r="A742" s="30" t="n">
        <x:v>45264</x:v>
      </x:c>
      <x:c r="B742" s="38" t="n">
        <x:v>4569.78</x:v>
      </x:c>
      <x:c r="C742" s="34" t="n">
        <x:f>(B742/B741-1)*100</x:f>
        <x:v>-0.5408487734594569</x:v>
      </x:c>
      <x:c r="D742" s="34" t="n">
        <x:f>Assumptions!$B$4*D741+(1-Assumptions!$B$4)*C741^2</x:f>
        <x:v>0.5335693755447234</x:v>
      </x:c>
      <x:c r="E742" s="34" t="n">
        <x:f>SQRT(D742)</x:f>
        <x:v>0.7304583325178263</x:v>
      </x:c>
      <x:c r="F742" s="34" t="n">
        <x:f>-Assumptions!$B$7*E742</x:f>
        <x:v>1.2014970375788716</x:v>
      </x:c>
      <x:c r="G742" s="34" t="n">
        <x:f>-Assumptions!$B$8*E742</x:f>
        <x:v>1.6993001889282624</x:v>
      </x:c>
      <x:c r="H742" s="34" t="n">
        <x:f>-Assumptions!$B$9*E742</x:f>
        <x:v>1.1401356942566159</x:v>
      </x:c>
      <x:c r="I742" s="34" t="n">
        <x:f>-Assumptions!$B$10*E742</x:f>
        <x:v>1.9039130318219375</x:v>
      </x:c>
      <x:c r="J742" s="36" t="n">
        <x:f>IF(C742&lt;-F742,1,0)</x:f>
        <x:v>0</x:v>
      </x:c>
      <x:c r="K742" s="36" t="n">
        <x:f>IF(C742&lt;-G742,1,0)</x:f>
        <x:v>0</x:v>
      </x:c>
      <x:c r="L742" s="36" t="n">
        <x:f>IF(C742&lt;-H742,1,0)</x:f>
        <x:v>0</x:v>
      </x:c>
      <x:c r="M742" s="36" t="n">
        <x:f>IF(C742&lt;-I742,1,0)</x:f>
        <x:v>0</x:v>
      </x:c>
      <x:c r="N742" s="34" t="n">
        <x:f>-F742</x:f>
        <x:v>-1.2014970375788716</x:v>
      </x:c>
      <x:c r="O742" s="34" t="n">
        <x:f>-H742</x:f>
        <x:v>-1.1401356942566159</x:v>
      </x:c>
      <x:c r="P742" s="34" t="n">
        <x:f>-G742</x:f>
        <x:v>-1.6993001889282624</x:v>
      </x:c>
      <x:c r="Q742" s="34" t="n">
        <x:f>-I742</x:f>
        <x:v>-1.9039130318219375</x:v>
      </x:c>
      <x:c r="R742" s="36" t="n">
        <x:f>YEAR(A742)</x:f>
        <x:v>2023</x:v>
      </x:c>
    </x:row>
    <x:row r="743">
      <x:c r="A743" s="30" t="n">
        <x:v>45265</x:v>
      </x:c>
      <x:c r="B743" s="38" t="n">
        <x:v>4567.18</x:v>
      </x:c>
      <x:c r="C743" s="34" t="n">
        <x:f>(B743/B742-1)*100</x:f>
        <x:v>-0.05689551794614278</x:v>
      </x:c>
      <x:c r="D743" s="34" t="n">
        <x:f>Assumptions!$B$4*D742+(1-Assumptions!$B$4)*C742^2</x:f>
        <x:v>0.5191062567571959</x:v>
      </x:c>
      <x:c r="E743" s="34" t="n">
        <x:f>SQRT(D743)</x:f>
        <x:v>0.7204902891484353</x:v>
      </x:c>
      <x:c r="F743" s="34" t="n">
        <x:f>-Assumptions!$B$7*E743</x:f>
        <x:v>1.1851010652891192</x:v>
      </x:c>
      <x:c r="G743" s="34" t="n">
        <x:f>-Assumptions!$B$8*E743</x:f>
        <x:v>1.6761110524275327</x:v>
      </x:c>
      <x:c r="H743" s="34" t="n">
        <x:f>-Assumptions!$B$9*E743</x:f>
        <x:v>1.1245770764116159</x:v>
      </x:c>
      <x:c r="I743" s="34" t="n">
        <x:f>-Assumptions!$B$10*E743</x:f>
        <x:v>1.8779316899330258</x:v>
      </x:c>
      <x:c r="J743" s="36" t="n">
        <x:f>IF(C743&lt;-F743,1,0)</x:f>
        <x:v>0</x:v>
      </x:c>
      <x:c r="K743" s="36" t="n">
        <x:f>IF(C743&lt;-G743,1,0)</x:f>
        <x:v>0</x:v>
      </x:c>
      <x:c r="L743" s="36" t="n">
        <x:f>IF(C743&lt;-H743,1,0)</x:f>
        <x:v>0</x:v>
      </x:c>
      <x:c r="M743" s="36" t="n">
        <x:f>IF(C743&lt;-I743,1,0)</x:f>
        <x:v>0</x:v>
      </x:c>
      <x:c r="N743" s="34" t="n">
        <x:f>-F743</x:f>
        <x:v>-1.1851010652891192</x:v>
      </x:c>
      <x:c r="O743" s="34" t="n">
        <x:f>-H743</x:f>
        <x:v>-1.1245770764116159</x:v>
      </x:c>
      <x:c r="P743" s="34" t="n">
        <x:f>-G743</x:f>
        <x:v>-1.6761110524275327</x:v>
      </x:c>
      <x:c r="Q743" s="34" t="n">
        <x:f>-I743</x:f>
        <x:v>-1.8779316899330258</x:v>
      </x:c>
      <x:c r="R743" s="36" t="n">
        <x:f>YEAR(A743)</x:f>
        <x:v>2023</x:v>
      </x:c>
    </x:row>
    <x:row r="744">
      <x:c r="A744" s="30" t="n">
        <x:v>45266</x:v>
      </x:c>
      <x:c r="B744" s="38" t="n">
        <x:v>4549.34</x:v>
      </x:c>
      <x:c r="C744" s="34" t="n">
        <x:f>(B744/B743-1)*100</x:f>
        <x:v>-0.39061302598102365</x:v>
      </x:c>
      <x:c r="D744" s="34" t="n">
        <x:f>Assumptions!$B$4*D743+(1-Assumptions!$B$4)*C743^2</x:f>
        <x:v>0.4881541073495057</x:v>
      </x:c>
      <x:c r="E744" s="34" t="n">
        <x:f>SQRT(D744)</x:f>
        <x:v>0.6986802611706628</x:v>
      </x:c>
      <x:c r="F744" s="34" t="n">
        <x:f>-Assumptions!$B$7*E744</x:f>
        <x:v>1.149226761665967</x:v>
      </x:c>
      <x:c r="G744" s="34" t="n">
        <x:f>-Assumptions!$B$8*E744</x:f>
        <x:v>1.6253733402086705</x:v>
      </x:c>
      <x:c r="H744" s="34" t="n">
        <x:f>-Assumptions!$B$9*E744</x:f>
        <x:v>1.09053490003657</x:v>
      </x:c>
      <x:c r="I744" s="34" t="n">
        <x:f>-Assumptions!$B$10*E744</x:f>
        <x:v>1.82108464658676</x:v>
      </x:c>
      <x:c r="J744" s="36" t="n">
        <x:f>IF(C744&lt;-F744,1,0)</x:f>
        <x:v>0</x:v>
      </x:c>
      <x:c r="K744" s="36" t="n">
        <x:f>IF(C744&lt;-G744,1,0)</x:f>
        <x:v>0</x:v>
      </x:c>
      <x:c r="L744" s="36" t="n">
        <x:f>IF(C744&lt;-H744,1,0)</x:f>
        <x:v>0</x:v>
      </x:c>
      <x:c r="M744" s="36" t="n">
        <x:f>IF(C744&lt;-I744,1,0)</x:f>
        <x:v>0</x:v>
      </x:c>
      <x:c r="N744" s="34" t="n">
        <x:f>-F744</x:f>
        <x:v>-1.149226761665967</x:v>
      </x:c>
      <x:c r="O744" s="34" t="n">
        <x:f>-H744</x:f>
        <x:v>-1.09053490003657</x:v>
      </x:c>
      <x:c r="P744" s="34" t="n">
        <x:f>-G744</x:f>
        <x:v>-1.6253733402086705</x:v>
      </x:c>
      <x:c r="Q744" s="34" t="n">
        <x:f>-I744</x:f>
        <x:v>-1.82108464658676</x:v>
      </x:c>
      <x:c r="R744" s="36" t="n">
        <x:f>YEAR(A744)</x:f>
        <x:v>2023</x:v>
      </x:c>
    </x:row>
    <x:row r="745">
      <x:c r="A745" s="30" t="n">
        <x:v>45267</x:v>
      </x:c>
      <x:c r="B745" s="38" t="n">
        <x:v>4585.59</x:v>
      </x:c>
      <x:c r="C745" s="34" t="n">
        <x:f>(B745/B744-1)*100</x:f>
        <x:v>0.7968188792220499</x:v>
      </x:c>
      <x:c r="D745" s="34" t="n">
        <x:f>Assumptions!$B$4*D744+(1-Assumptions!$B$4)*C744^2</x:f>
        <x:v>0.4680195730724985</x:v>
      </x:c>
      <x:c r="E745" s="34" t="n">
        <x:f>SQRT(D745)</x:f>
        <x:v>0.6841195605100753</x:v>
      </x:c>
      <x:c r="F745" s="34" t="n">
        <x:f>-Assumptions!$B$7*E745</x:f>
        <x:v>1.1252765403734448</x:v>
      </x:c>
      <x:c r="G745" s="34" t="n">
        <x:f>-Assumptions!$B$8*E745</x:f>
        <x:v>1.5915000851823675</x:v>
      </x:c>
      <x:c r="H745" s="34" t="n">
        <x:f>-Assumptions!$B$9*E745</x:f>
        <x:v>1.0678078342786932</x:v>
      </x:c>
      <x:c r="I745" s="34" t="n">
        <x:f>-Assumptions!$B$10*E745</x:f>
        <x:v>1.7831327107869526</x:v>
      </x:c>
      <x:c r="J745" s="36" t="n">
        <x:f>IF(C745&lt;-F745,1,0)</x:f>
        <x:v>0</x:v>
      </x:c>
      <x:c r="K745" s="36" t="n">
        <x:f>IF(C745&lt;-G745,1,0)</x:f>
        <x:v>0</x:v>
      </x:c>
      <x:c r="L745" s="36" t="n">
        <x:f>IF(C745&lt;-H745,1,0)</x:f>
        <x:v>0</x:v>
      </x:c>
      <x:c r="M745" s="36" t="n">
        <x:f>IF(C745&lt;-I745,1,0)</x:f>
        <x:v>0</x:v>
      </x:c>
      <x:c r="N745" s="34" t="n">
        <x:f>-F745</x:f>
        <x:v>-1.1252765403734448</x:v>
      </x:c>
      <x:c r="O745" s="34" t="n">
        <x:f>-H745</x:f>
        <x:v>-1.0678078342786932</x:v>
      </x:c>
      <x:c r="P745" s="34" t="n">
        <x:f>-G745</x:f>
        <x:v>-1.5915000851823675</x:v>
      </x:c>
      <x:c r="Q745" s="34" t="n">
        <x:f>-I745</x:f>
        <x:v>-1.7831327107869526</x:v>
      </x:c>
      <x:c r="R745" s="36" t="n">
        <x:f>YEAR(A745)</x:f>
        <x:v>2023</x:v>
      </x:c>
    </x:row>
    <x:row r="746">
      <x:c r="A746" s="30" t="n">
        <x:v>45268</x:v>
      </x:c>
      <x:c r="B746" s="38" t="n">
        <x:v>4604.37</x:v>
      </x:c>
      <x:c r="C746" s="34" t="n">
        <x:f>(B746/B745-1)*100</x:f>
        <x:v>0.40954381006588214</x:v>
      </x:c>
      <x:c r="D746" s="34" t="n">
        <x:f>Assumptions!$B$4*D745+(1-Assumptions!$B$4)*C745^2</x:f>
        <x:v>0.4780336182652296</x:v>
      </x:c>
      <x:c r="E746" s="34" t="n">
        <x:f>SQRT(D746)</x:f>
        <x:v>0.6913997528674924</x:v>
      </x:c>
      <x:c r="F746" s="34" t="n">
        <x:f>-Assumptions!$B$7*E746</x:f>
        <x:v>1.137251391177447</x:v>
      </x:c>
      <x:c r="G746" s="34" t="n">
        <x:f>-Assumptions!$B$8*E746</x:f>
        <x:v>1.6084363451956534</x:v>
      </x:c>
      <x:c r="H746" s="34" t="n">
        <x:f>-Assumptions!$B$9*E746</x:f>
        <x:v>1.079171120585709</x:v>
      </x:c>
      <x:c r="I746" s="34" t="n">
        <x:f>-Assumptions!$B$10*E746</x:f>
        <x:v>1.8021082669363087</x:v>
      </x:c>
      <x:c r="J746" s="36" t="n">
        <x:f>IF(C746&lt;-F746,1,0)</x:f>
        <x:v>0</x:v>
      </x:c>
      <x:c r="K746" s="36" t="n">
        <x:f>IF(C746&lt;-G746,1,0)</x:f>
        <x:v>0</x:v>
      </x:c>
      <x:c r="L746" s="36" t="n">
        <x:f>IF(C746&lt;-H746,1,0)</x:f>
        <x:v>0</x:v>
      </x:c>
      <x:c r="M746" s="36" t="n">
        <x:f>IF(C746&lt;-I746,1,0)</x:f>
        <x:v>0</x:v>
      </x:c>
      <x:c r="N746" s="34" t="n">
        <x:f>-F746</x:f>
        <x:v>-1.137251391177447</x:v>
      </x:c>
      <x:c r="O746" s="34" t="n">
        <x:f>-H746</x:f>
        <x:v>-1.079171120585709</x:v>
      </x:c>
      <x:c r="P746" s="34" t="n">
        <x:f>-G746</x:f>
        <x:v>-1.6084363451956534</x:v>
      </x:c>
      <x:c r="Q746" s="34" t="n">
        <x:f>-I746</x:f>
        <x:v>-1.8021082669363087</x:v>
      </x:c>
      <x:c r="R746" s="36" t="n">
        <x:f>YEAR(A746)</x:f>
        <x:v>2023</x:v>
      </x:c>
    </x:row>
    <x:row r="747">
      <x:c r="A747" s="30" t="n">
        <x:v>45271</x:v>
      </x:c>
      <x:c r="B747" s="38" t="n">
        <x:v>4622.44</x:v>
      </x:c>
      <x:c r="C747" s="34" t="n">
        <x:f>(B747/B746-1)*100</x:f>
        <x:v>0.3924532563629679</x:v>
      </x:c>
      <x:c r="D747" s="34" t="n">
        <x:f>Assumptions!$B$4*D746+(1-Assumptions!$B$4)*C746^2</x:f>
        <x:v>0.4594151691111126</x:v>
      </x:c>
      <x:c r="E747" s="34" t="n">
        <x:f>SQRT(D747)</x:f>
        <x:v>0.6778017181382123</x:v>
      </x:c>
      <x:c r="F747" s="34" t="n">
        <x:f>-Assumptions!$B$7*E747</x:f>
        <x:v>1.1148846144335784</x:v>
      </x:c>
      <x:c r="G747" s="34" t="n">
        <x:f>-Assumptions!$B$8*E747</x:f>
        <x:v>1.5768025860120591</x:v>
      </x:c>
      <x:c r="H747" s="34" t="n">
        <x:f>-Assumptions!$B$9*E747</x:f>
        <x:v>1.0579466316909711</x:v>
      </x:c>
      <x:c r="I747" s="34" t="n">
        <x:f>-Assumptions!$B$10*E747</x:f>
        <x:v>1.7666654848148358</x:v>
      </x:c>
      <x:c r="J747" s="36" t="n">
        <x:f>IF(C747&lt;-F747,1,0)</x:f>
        <x:v>0</x:v>
      </x:c>
      <x:c r="K747" s="36" t="n">
        <x:f>IF(C747&lt;-G747,1,0)</x:f>
        <x:v>0</x:v>
      </x:c>
      <x:c r="L747" s="36" t="n">
        <x:f>IF(C747&lt;-H747,1,0)</x:f>
        <x:v>0</x:v>
      </x:c>
      <x:c r="M747" s="36" t="n">
        <x:f>IF(C747&lt;-I747,1,0)</x:f>
        <x:v>0</x:v>
      </x:c>
      <x:c r="N747" s="34" t="n">
        <x:f>-F747</x:f>
        <x:v>-1.1148846144335784</x:v>
      </x:c>
      <x:c r="O747" s="34" t="n">
        <x:f>-H747</x:f>
        <x:v>-1.0579466316909711</x:v>
      </x:c>
      <x:c r="P747" s="34" t="n">
        <x:f>-G747</x:f>
        <x:v>-1.5768025860120591</x:v>
      </x:c>
      <x:c r="Q747" s="34" t="n">
        <x:f>-I747</x:f>
        <x:v>-1.7666654848148358</x:v>
      </x:c>
      <x:c r="R747" s="36" t="n">
        <x:f>YEAR(A747)</x:f>
        <x:v>2023</x:v>
      </x:c>
    </x:row>
    <x:row r="748">
      <x:c r="A748" s="30" t="n">
        <x:v>45272</x:v>
      </x:c>
      <x:c r="B748" s="38" t="n">
        <x:v>4643.7</x:v>
      </x:c>
      <x:c r="C748" s="34" t="n">
        <x:f>(B748/B747-1)*100</x:f>
        <x:v>0.4599302532861449</x:v>
      </x:c>
      <x:c r="D748" s="34" t="n">
        <x:f>Assumptions!$B$4*D747+(1-Assumptions!$B$4)*C747^2</x:f>
        <x:v>0.44109143247023963</x:v>
      </x:c>
      <x:c r="E748" s="34" t="n">
        <x:f>SQRT(D748)</x:f>
        <x:v>0.6641471467003677</x:v>
      </x:c>
      <x:c r="F748" s="34" t="n">
        <x:f>-Assumptions!$B$7*E748</x:f>
        <x:v>1.0924248430795718</x:v>
      </x:c>
      <x:c r="G748" s="34" t="n">
        <x:f>-Assumptions!$B$8*E748</x:f>
        <x:v>1.5450373027766904</x:v>
      </x:c>
      <x:c r="H748" s="34" t="n">
        <x:f>-Assumptions!$B$9*E748</x:f>
        <x:v>1.0366338974896898</x:v>
      </x:c>
      <x:c r="I748" s="34" t="n">
        <x:f>-Assumptions!$B$10*E748</x:f>
        <x:v>1.7310753418222213</x:v>
      </x:c>
      <x:c r="J748" s="36" t="n">
        <x:f>IF(C748&lt;-F748,1,0)</x:f>
        <x:v>0</x:v>
      </x:c>
      <x:c r="K748" s="36" t="n">
        <x:f>IF(C748&lt;-G748,1,0)</x:f>
        <x:v>0</x:v>
      </x:c>
      <x:c r="L748" s="36" t="n">
        <x:f>IF(C748&lt;-H748,1,0)</x:f>
        <x:v>0</x:v>
      </x:c>
      <x:c r="M748" s="36" t="n">
        <x:f>IF(C748&lt;-I748,1,0)</x:f>
        <x:v>0</x:v>
      </x:c>
      <x:c r="N748" s="34" t="n">
        <x:f>-F748</x:f>
        <x:v>-1.0924248430795718</x:v>
      </x:c>
      <x:c r="O748" s="34" t="n">
        <x:f>-H748</x:f>
        <x:v>-1.0366338974896898</x:v>
      </x:c>
      <x:c r="P748" s="34" t="n">
        <x:f>-G748</x:f>
        <x:v>-1.5450373027766904</x:v>
      </x:c>
      <x:c r="Q748" s="34" t="n">
        <x:f>-I748</x:f>
        <x:v>-1.7310753418222213</x:v>
      </x:c>
      <x:c r="R748" s="36" t="n">
        <x:f>YEAR(A748)</x:f>
        <x:v>2023</x:v>
      </x:c>
    </x:row>
    <x:row r="749">
      <x:c r="A749" s="30" t="n">
        <x:v>45273</x:v>
      </x:c>
      <x:c r="B749" s="38" t="n">
        <x:v>4707.09</x:v>
      </x:c>
      <x:c r="C749" s="34" t="n">
        <x:f>(B749/B748-1)*100</x:f>
        <x:v>1.3650752632599072</x:v>
      </x:c>
      <x:c r="D749" s="34" t="n">
        <x:f>Assumptions!$B$4*D748+(1-Assumptions!$B$4)*C748^2</x:f>
        <x:v>0.4273180967952967</x:v>
      </x:c>
      <x:c r="E749" s="34" t="n">
        <x:f>SQRT(D749)</x:f>
        <x:v>0.653695721873179</x:v>
      </x:c>
      <x:c r="F749" s="34" t="n">
        <x:f>-Assumptions!$B$7*E749</x:f>
        <x:v>1.0752337790457598</x:v>
      </x:c>
      <x:c r="G749" s="34" t="n">
        <x:f>-Assumptions!$B$8*E749</x:f>
        <x:v>1.5207236528492625</x:v>
      </x:c>
      <x:c r="H749" s="34" t="n">
        <x:f>-Assumptions!$B$9*E749</x:f>
        <x:v>1.0203207938247019</x:v>
      </x:c>
      <x:c r="I749" s="34" t="n">
        <x:f>-Assumptions!$B$10*E749</x:f>
        <x:v>1.7038340837739998</x:v>
      </x:c>
      <x:c r="J749" s="36" t="n">
        <x:f>IF(C749&lt;-F749,1,0)</x:f>
        <x:v>0</x:v>
      </x:c>
      <x:c r="K749" s="36" t="n">
        <x:f>IF(C749&lt;-G749,1,0)</x:f>
        <x:v>0</x:v>
      </x:c>
      <x:c r="L749" s="36" t="n">
        <x:f>IF(C749&lt;-H749,1,0)</x:f>
        <x:v>0</x:v>
      </x:c>
      <x:c r="M749" s="36" t="n">
        <x:f>IF(C749&lt;-I749,1,0)</x:f>
        <x:v>0</x:v>
      </x:c>
      <x:c r="N749" s="34" t="n">
        <x:f>-F749</x:f>
        <x:v>-1.0752337790457598</x:v>
      </x:c>
      <x:c r="O749" s="34" t="n">
        <x:f>-H749</x:f>
        <x:v>-1.0203207938247019</x:v>
      </x:c>
      <x:c r="P749" s="34" t="n">
        <x:f>-G749</x:f>
        <x:v>-1.5207236528492625</x:v>
      </x:c>
      <x:c r="Q749" s="34" t="n">
        <x:f>-I749</x:f>
        <x:v>-1.7038340837739998</x:v>
      </x:c>
      <x:c r="R749" s="36" t="n">
        <x:f>YEAR(A749)</x:f>
        <x:v>2023</x:v>
      </x:c>
    </x:row>
    <x:row r="750">
      <x:c r="A750" s="30" t="n">
        <x:v>45274</x:v>
      </x:c>
      <x:c r="B750" s="38" t="n">
        <x:v>4719.55</x:v>
      </x:c>
      <x:c r="C750" s="34" t="n">
        <x:f>(B750/B749-1)*100</x:f>
        <x:v>0.2647070695482867</x:v>
      </x:c>
      <x:c r="D750" s="34" t="n">
        <x:f>Assumptions!$B$4*D749+(1-Assumptions!$B$4)*C749^2</x:f>
        <x:v>0.5134848394494252</x:v>
      </x:c>
      <x:c r="E750" s="34" t="n">
        <x:f>SQRT(D750)</x:f>
        <x:v>0.7165785647432006</x:v>
      </x:c>
      <x:c r="F750" s="34" t="n">
        <x:f>-Assumptions!$B$7*E750</x:f>
        <x:v>1.1786668512135343</x:v>
      </x:c>
      <x:c r="G750" s="34" t="n">
        <x:f>-Assumptions!$B$8*E750</x:f>
        <x:v>1.6670110206735813</x:v>
      </x:c>
      <x:c r="H750" s="34" t="n">
        <x:f>-Assumptions!$B$9*E750</x:f>
        <x:v>1.1184714624128955</x:v>
      </x:c>
      <x:c r="I750" s="34" t="n">
        <x:f>-Assumptions!$B$10*E750</x:f>
        <x:v>1.8677359227818031</x:v>
      </x:c>
      <x:c r="J750" s="36" t="n">
        <x:f>IF(C750&lt;-F750,1,0)</x:f>
        <x:v>0</x:v>
      </x:c>
      <x:c r="K750" s="36" t="n">
        <x:f>IF(C750&lt;-G750,1,0)</x:f>
        <x:v>0</x:v>
      </x:c>
      <x:c r="L750" s="36" t="n">
        <x:f>IF(C750&lt;-H750,1,0)</x:f>
        <x:v>0</x:v>
      </x:c>
      <x:c r="M750" s="36" t="n">
        <x:f>IF(C750&lt;-I750,1,0)</x:f>
        <x:v>0</x:v>
      </x:c>
      <x:c r="N750" s="34" t="n">
        <x:f>-F750</x:f>
        <x:v>-1.1786668512135343</x:v>
      </x:c>
      <x:c r="O750" s="34" t="n">
        <x:f>-H750</x:f>
        <x:v>-1.1184714624128955</x:v>
      </x:c>
      <x:c r="P750" s="34" t="n">
        <x:f>-G750</x:f>
        <x:v>-1.6670110206735813</x:v>
      </x:c>
      <x:c r="Q750" s="34" t="n">
        <x:f>-I750</x:f>
        <x:v>-1.8677359227818031</x:v>
      </x:c>
      <x:c r="R750" s="36" t="n">
        <x:f>YEAR(A750)</x:f>
        <x:v>2023</x:v>
      </x:c>
    </x:row>
    <x:row r="751">
      <x:c r="A751" s="30" t="n">
        <x:v>45275</x:v>
      </x:c>
      <x:c r="B751" s="38" t="n">
        <x:v>4719.19</x:v>
      </x:c>
      <x:c r="C751" s="34" t="n">
        <x:f>(B751/B750-1)*100</x:f>
        <x:v>-0.007627845875146644</x:v>
      </x:c>
      <x:c r="D751" s="34" t="n">
        <x:f>Assumptions!$B$4*D750+(1-Assumptions!$B$4)*C750^2</x:f>
        <x:v>0.4868799390425902</x:v>
      </x:c>
      <x:c r="E751" s="34" t="n">
        <x:f>SQRT(D751)</x:f>
        <x:v>0.6977678260299698</x:v>
      </x:c>
      <x:c r="F751" s="34" t="n">
        <x:f>-Assumptions!$B$7*E751</x:f>
        <x:v>1.1477259394154402</x:v>
      </x:c>
      <x:c r="G751" s="34" t="n">
        <x:f>-Assumptions!$B$8*E751</x:f>
        <x:v>1.623250698658919</x:v>
      </x:c>
      <x:c r="H751" s="34" t="n">
        <x:f>-Assumptions!$B$9*E751</x:f>
        <x:v>1.089110725889617</x:v>
      </x:c>
      <x:c r="I751" s="34" t="n">
        <x:f>-Assumptions!$B$10*E751</x:f>
        <x:v>1.8187064176341654</x:v>
      </x:c>
      <x:c r="J751" s="36" t="n">
        <x:f>IF(C751&lt;-F751,1,0)</x:f>
        <x:v>0</x:v>
      </x:c>
      <x:c r="K751" s="36" t="n">
        <x:f>IF(C751&lt;-G751,1,0)</x:f>
        <x:v>0</x:v>
      </x:c>
      <x:c r="L751" s="36" t="n">
        <x:f>IF(C751&lt;-H751,1,0)</x:f>
        <x:v>0</x:v>
      </x:c>
      <x:c r="M751" s="36" t="n">
        <x:f>IF(C751&lt;-I751,1,0)</x:f>
        <x:v>0</x:v>
      </x:c>
      <x:c r="N751" s="34" t="n">
        <x:f>-F751</x:f>
        <x:v>-1.1477259394154402</x:v>
      </x:c>
      <x:c r="O751" s="34" t="n">
        <x:f>-H751</x:f>
        <x:v>-1.089110725889617</x:v>
      </x:c>
      <x:c r="P751" s="34" t="n">
        <x:f>-G751</x:f>
        <x:v>-1.623250698658919</x:v>
      </x:c>
      <x:c r="Q751" s="34" t="n">
        <x:f>-I751</x:f>
        <x:v>-1.8187064176341654</x:v>
      </x:c>
      <x:c r="R751" s="36" t="n">
        <x:f>YEAR(A751)</x:f>
        <x:v>2023</x:v>
      </x:c>
    </x:row>
    <x:row r="752">
      <x:c r="A752" s="30" t="n">
        <x:v>45278</x:v>
      </x:c>
      <x:c r="B752" s="38" t="n">
        <x:v>4740.56</x:v>
      </x:c>
      <x:c r="C752" s="34" t="n">
        <x:f>(B752/B751-1)*100</x:f>
        <x:v>0.452831947855481</x:v>
      </x:c>
      <x:c r="D752" s="34" t="n">
        <x:f>Assumptions!$B$4*D751+(1-Assumptions!$B$4)*C751^2</x:f>
        <x:v>0.45767063374199646</x:v>
      </x:c>
      <x:c r="E752" s="34" t="n">
        <x:f>SQRT(D752)</x:f>
        <x:v>0.6765135872560111</x:v>
      </x:c>
      <x:c r="F752" s="34" t="n">
        <x:f>-Assumptions!$B$7*E752</x:f>
        <x:v>1.1127658276800014</x:v>
      </x:c>
      <x:c r="G752" s="34" t="n">
        <x:f>-Assumptions!$B$8*E752</x:f>
        <x:v>1.573805945472764</x:v>
      </x:c>
      <x:c r="H752" s="34" t="n">
        <x:f>-Assumptions!$B$9*E752</x:f>
        <x:v>1.0559360529456927</x:v>
      </x:c>
      <x:c r="I752" s="34" t="n">
        <x:f>-Assumptions!$B$10*E752</x:f>
        <x:v>1.7633080185992587</x:v>
      </x:c>
      <x:c r="J752" s="36" t="n">
        <x:f>IF(C752&lt;-F752,1,0)</x:f>
        <x:v>0</x:v>
      </x:c>
      <x:c r="K752" s="36" t="n">
        <x:f>IF(C752&lt;-G752,1,0)</x:f>
        <x:v>0</x:v>
      </x:c>
      <x:c r="L752" s="36" t="n">
        <x:f>IF(C752&lt;-H752,1,0)</x:f>
        <x:v>0</x:v>
      </x:c>
      <x:c r="M752" s="36" t="n">
        <x:f>IF(C752&lt;-I752,1,0)</x:f>
        <x:v>0</x:v>
      </x:c>
      <x:c r="N752" s="34" t="n">
        <x:f>-F752</x:f>
        <x:v>-1.1127658276800014</x:v>
      </x:c>
      <x:c r="O752" s="34" t="n">
        <x:f>-H752</x:f>
        <x:v>-1.0559360529456927</x:v>
      </x:c>
      <x:c r="P752" s="34" t="n">
        <x:f>-G752</x:f>
        <x:v>-1.573805945472764</x:v>
      </x:c>
      <x:c r="Q752" s="34" t="n">
        <x:f>-I752</x:f>
        <x:v>-1.7633080185992587</x:v>
      </x:c>
      <x:c r="R752" s="36" t="n">
        <x:f>YEAR(A752)</x:f>
        <x:v>2023</x:v>
      </x:c>
    </x:row>
    <x:row r="753">
      <x:c r="A753" s="30" t="n">
        <x:v>45279</x:v>
      </x:c>
      <x:c r="B753" s="38" t="n">
        <x:v>4768.37</x:v>
      </x:c>
      <x:c r="C753" s="34" t="n">
        <x:f>(B753/B752-1)*100</x:f>
        <x:v>0.5866395531329616</x:v>
      </x:c>
      <x:c r="D753" s="34" t="n">
        <x:f>Assumptions!$B$4*D752+(1-Assumptions!$B$4)*C752^2</x:f>
        <x:v>0.442513802097392</x:v>
      </x:c>
      <x:c r="E753" s="34" t="n">
        <x:f>SQRT(D753)</x:f>
        <x:v>0.665217108993291</x:v>
      </x:c>
      <x:c r="F753" s="34" t="n">
        <x:f>-Assumptions!$B$7*E753</x:f>
        <x:v>1.094184774437788</x:v>
      </x:c>
      <x:c r="G753" s="34" t="n">
        <x:f>-Assumptions!$B$8*E753</x:f>
        <x:v>1.5475264072821364</x:v>
      </x:c>
      <x:c r="H753" s="34" t="n">
        <x:f>-Assumptions!$B$9*E753</x:f>
        <x:v>1.0383039478503526</x:v>
      </x:c>
      <x:c r="I753" s="34" t="n">
        <x:f>-Assumptions!$B$10*E753</x:f>
        <x:v>1.733864159558112</x:v>
      </x:c>
      <x:c r="J753" s="36" t="n">
        <x:f>IF(C753&lt;-F753,1,0)</x:f>
        <x:v>0</x:v>
      </x:c>
      <x:c r="K753" s="36" t="n">
        <x:f>IF(C753&lt;-G753,1,0)</x:f>
        <x:v>0</x:v>
      </x:c>
      <x:c r="L753" s="36" t="n">
        <x:f>IF(C753&lt;-H753,1,0)</x:f>
        <x:v>0</x:v>
      </x:c>
      <x:c r="M753" s="36" t="n">
        <x:f>IF(C753&lt;-I753,1,0)</x:f>
        <x:v>0</x:v>
      </x:c>
      <x:c r="N753" s="34" t="n">
        <x:f>-F753</x:f>
        <x:v>-1.094184774437788</x:v>
      </x:c>
      <x:c r="O753" s="34" t="n">
        <x:f>-H753</x:f>
        <x:v>-1.0383039478503526</x:v>
      </x:c>
      <x:c r="P753" s="34" t="n">
        <x:f>-G753</x:f>
        <x:v>-1.5475264072821364</x:v>
      </x:c>
      <x:c r="Q753" s="34" t="n">
        <x:f>-I753</x:f>
        <x:v>-1.733864159558112</x:v>
      </x:c>
      <x:c r="R753" s="36" t="n">
        <x:f>YEAR(A753)</x:f>
        <x:v>2023</x:v>
      </x:c>
    </x:row>
    <x:row r="754">
      <x:c r="A754" s="30" t="n">
        <x:v>45280</x:v>
      </x:c>
      <x:c r="B754" s="38" t="n">
        <x:v>4698.35</x:v>
      </x:c>
      <x:c r="C754" s="34" t="n">
        <x:f>(B754/B753-1)*100</x:f>
        <x:v>-1.4684263175886003</x:v>
      </x:c>
      <x:c r="D754" s="34" t="n">
        <x:f>Assumptions!$B$4*D753+(1-Assumptions!$B$4)*C753^2</x:f>
        <x:v>0.43661173188955094</x:v>
      </x:c>
      <x:c r="E754" s="34" t="n">
        <x:f>SQRT(D754)</x:f>
        <x:v>0.6607660190184956</x:v>
      </x:c>
      <x:c r="F754" s="34" t="n">
        <x:f>-Assumptions!$B$7*E754</x:f>
        <x:v>1.0868633829488585</x:v>
      </x:c>
      <x:c r="G754" s="34" t="n">
        <x:f>-Assumptions!$B$8*E754</x:f>
        <x:v>1.5371716235821067</x:v>
      </x:c>
      <x:c r="H754" s="34" t="n">
        <x:f>-Assumptions!$B$9*E754</x:f>
        <x:v>1.0313564652456715</x:v>
      </x:c>
      <x:c r="I754" s="34" t="n">
        <x:f>-Assumptions!$B$10*E754</x:f>
        <x:v>1.7222625556998685</x:v>
      </x:c>
      <x:c r="J754" s="36" t="n">
        <x:f>IF(C754&lt;-F754,1,0)</x:f>
        <x:v>1</x:v>
      </x:c>
      <x:c r="K754" s="36" t="n">
        <x:f>IF(C754&lt;-G754,1,0)</x:f>
        <x:v>0</x:v>
      </x:c>
      <x:c r="L754" s="36" t="n">
        <x:f>IF(C754&lt;-H754,1,0)</x:f>
        <x:v>1</x:v>
      </x:c>
      <x:c r="M754" s="36" t="n">
        <x:f>IF(C754&lt;-I754,1,0)</x:f>
        <x:v>0</x:v>
      </x:c>
      <x:c r="N754" s="34" t="n">
        <x:f>-F754</x:f>
        <x:v>-1.0868633829488585</x:v>
      </x:c>
      <x:c r="O754" s="34" t="n">
        <x:f>-H754</x:f>
        <x:v>-1.0313564652456715</x:v>
      </x:c>
      <x:c r="P754" s="34" t="n">
        <x:f>-G754</x:f>
        <x:v>-1.5371716235821067</x:v>
      </x:c>
      <x:c r="Q754" s="34" t="n">
        <x:f>-I754</x:f>
        <x:v>-1.7222625556998685</x:v>
      </x:c>
      <x:c r="R754" s="36" t="n">
        <x:f>YEAR(A754)</x:f>
        <x:v>2023</x:v>
      </x:c>
    </x:row>
    <x:row r="755">
      <x:c r="A755" s="30" t="n">
        <x:v>45281</x:v>
      </x:c>
      <x:c r="B755" s="38" t="n">
        <x:v>4746.75</x:v>
      </x:c>
      <x:c r="C755" s="34" t="n">
        <x:f>(B755/B754-1)*100</x:f>
        <x:v>1.030148882054327</x:v>
      </x:c>
      <x:c r="D755" s="34" t="n">
        <x:f>Assumptions!$B$4*D754+(1-Assumptions!$B$4)*C754^2</x:f>
        <x:v>0.5397915789873869</x:v>
      </x:c>
      <x:c r="E755" s="34" t="n">
        <x:f>SQRT(D755)</x:f>
        <x:v>0.7347050966118222</x:v>
      </x:c>
      <x:c r="F755" s="34" t="n">
        <x:f>-Assumptions!$B$7*E755</x:f>
        <x:v>1.208482342901688</x:v>
      </x:c>
      <x:c r="G755" s="34" t="n">
        <x:f>-Assumptions!$B$8*E755</x:f>
        <x:v>1.7091796395498826</x:v>
      </x:c>
      <x:c r="H755" s="34" t="n">
        <x:f>-Assumptions!$B$9*E755</x:f>
        <x:v>1.1467642548645323</x:v>
      </x:c>
      <x:c r="I755" s="34" t="n">
        <x:f>-Assumptions!$B$10*E755</x:f>
        <x:v>1.9149820677158291</x:v>
      </x:c>
      <x:c r="J755" s="36" t="n">
        <x:f>IF(C755&lt;-F755,1,0)</x:f>
        <x:v>0</x:v>
      </x:c>
      <x:c r="K755" s="36" t="n">
        <x:f>IF(C755&lt;-G755,1,0)</x:f>
        <x:v>0</x:v>
      </x:c>
      <x:c r="L755" s="36" t="n">
        <x:f>IF(C755&lt;-H755,1,0)</x:f>
        <x:v>0</x:v>
      </x:c>
      <x:c r="M755" s="36" t="n">
        <x:f>IF(C755&lt;-I755,1,0)</x:f>
        <x:v>0</x:v>
      </x:c>
      <x:c r="N755" s="34" t="n">
        <x:f>-F755</x:f>
        <x:v>-1.208482342901688</x:v>
      </x:c>
      <x:c r="O755" s="34" t="n">
        <x:f>-H755</x:f>
        <x:v>-1.1467642548645323</x:v>
      </x:c>
      <x:c r="P755" s="34" t="n">
        <x:f>-G755</x:f>
        <x:v>-1.7091796395498826</x:v>
      </x:c>
      <x:c r="Q755" s="34" t="n">
        <x:f>-I755</x:f>
        <x:v>-1.9149820677158291</x:v>
      </x:c>
      <x:c r="R755" s="36" t="n">
        <x:f>YEAR(A755)</x:f>
        <x:v>2023</x:v>
      </x:c>
    </x:row>
    <x:row r="756">
      <x:c r="A756" s="30" t="n">
        <x:v>45282</x:v>
      </x:c>
      <x:c r="B756" s="38" t="n">
        <x:v>4754.63</x:v>
      </x:c>
      <x:c r="C756" s="34" t="n">
        <x:f>(B756/B755-1)*100</x:f>
        <x:v>0.16600832148312428</x:v>
      </x:c>
      <x:c r="D756" s="34" t="n">
        <x:f>Assumptions!$B$4*D755+(1-Assumptions!$B$4)*C755^2</x:f>
        <x:v>0.5710764874000105</x:v>
      </x:c>
      <x:c r="E756" s="34" t="n">
        <x:f>SQRT(D756)</x:f>
        <x:v>0.755696028440014</x:v>
      </x:c>
      <x:c r="F756" s="34" t="n">
        <x:f>-Assumptions!$B$7*E756</x:f>
        <x:v>1.2430093532523805</x:v>
      </x:c>
      <x:c r="G756" s="34" t="n">
        <x:f>-Assumptions!$B$8*E756</x:f>
        <x:v>1.7580118491825332</x:v>
      </x:c>
      <x:c r="H756" s="34" t="n">
        <x:f>-Assumptions!$B$9*E756</x:f>
        <x:v>1.1795279452321068</x:v>
      </x:c>
      <x:c r="I756" s="34" t="n">
        <x:f>-Assumptions!$B$10*E756</x:f>
        <x:v>1.9696941667893313</x:v>
      </x:c>
      <x:c r="J756" s="36" t="n">
        <x:f>IF(C756&lt;-F756,1,0)</x:f>
        <x:v>0</x:v>
      </x:c>
      <x:c r="K756" s="36" t="n">
        <x:f>IF(C756&lt;-G756,1,0)</x:f>
        <x:v>0</x:v>
      </x:c>
      <x:c r="L756" s="36" t="n">
        <x:f>IF(C756&lt;-H756,1,0)</x:f>
        <x:v>0</x:v>
      </x:c>
      <x:c r="M756" s="36" t="n">
        <x:f>IF(C756&lt;-I756,1,0)</x:f>
        <x:v>0</x:v>
      </x:c>
      <x:c r="N756" s="34" t="n">
        <x:f>-F756</x:f>
        <x:v>-1.2430093532523805</x:v>
      </x:c>
      <x:c r="O756" s="34" t="n">
        <x:f>-H756</x:f>
        <x:v>-1.1795279452321068</x:v>
      </x:c>
      <x:c r="P756" s="34" t="n">
        <x:f>-G756</x:f>
        <x:v>-1.7580118491825332</x:v>
      </x:c>
      <x:c r="Q756" s="34" t="n">
        <x:f>-I756</x:f>
        <x:v>-1.9696941667893313</x:v>
      </x:c>
      <x:c r="R756" s="36" t="n">
        <x:f>YEAR(A756)</x:f>
        <x:v>2023</x:v>
      </x:c>
    </x:row>
    <x:row r="757">
      <x:c r="A757" s="30" t="n">
        <x:v>45286</x:v>
      </x:c>
      <x:c r="B757" s="38" t="n">
        <x:v>4774.75</x:v>
      </x:c>
      <x:c r="C757" s="34" t="n">
        <x:f>(B757/B756-1)*100</x:f>
        <x:v>0.42316647141837915</x:v>
      </x:c>
      <x:c r="D757" s="34" t="n">
        <x:f>Assumptions!$B$4*D756+(1-Assumptions!$B$4)*C756^2</x:f>
        <x:v>0.5384654239241085</x:v>
      </x:c>
      <x:c r="E757" s="34" t="n">
        <x:f>SQRT(D757)</x:f>
        <x:v>0.7338020331970391</x:v>
      </x:c>
      <x:c r="F757" s="34" t="n">
        <x:f>-Assumptions!$B$7*E757</x:f>
        <x:v>1.2069969357685149</x:v>
      </x:c>
      <x:c r="G757" s="34" t="n">
        <x:f>-Assumptions!$B$8*E757</x:f>
        <x:v>1.707078799894778</x:v>
      </x:c>
      <x:c r="H757" s="34" t="n">
        <x:f>-Assumptions!$B$9*E757</x:f>
        <x:v>1.1453547085734763</x:v>
      </x:c>
      <x:c r="I757" s="34" t="n">
        <x:f>-Assumptions!$B$10*E757</x:f>
        <x:v>1.9126282658253906</x:v>
      </x:c>
      <x:c r="J757" s="36" t="n">
        <x:f>IF(C757&lt;-F757,1,0)</x:f>
        <x:v>0</x:v>
      </x:c>
      <x:c r="K757" s="36" t="n">
        <x:f>IF(C757&lt;-G757,1,0)</x:f>
        <x:v>0</x:v>
      </x:c>
      <x:c r="L757" s="36" t="n">
        <x:f>IF(C757&lt;-H757,1,0)</x:f>
        <x:v>0</x:v>
      </x:c>
      <x:c r="M757" s="36" t="n">
        <x:f>IF(C757&lt;-I757,1,0)</x:f>
        <x:v>0</x:v>
      </x:c>
      <x:c r="N757" s="34" t="n">
        <x:f>-F757</x:f>
        <x:v>-1.2069969357685149</x:v>
      </x:c>
      <x:c r="O757" s="34" t="n">
        <x:f>-H757</x:f>
        <x:v>-1.1453547085734763</x:v>
      </x:c>
      <x:c r="P757" s="34" t="n">
        <x:f>-G757</x:f>
        <x:v>-1.707078799894778</x:v>
      </x:c>
      <x:c r="Q757" s="34" t="n">
        <x:f>-I757</x:f>
        <x:v>-1.9126282658253906</x:v>
      </x:c>
      <x:c r="R757" s="36" t="n">
        <x:f>YEAR(A757)</x:f>
        <x:v>2023</x:v>
      </x:c>
    </x:row>
    <x:row r="758">
      <x:c r="A758" s="30" t="n">
        <x:v>45287</x:v>
      </x:c>
      <x:c r="B758" s="38" t="n">
        <x:v>4781.58</x:v>
      </x:c>
      <x:c r="C758" s="34" t="n">
        <x:f>(B758/B757-1)*100</x:f>
        <x:v>0.1430441384365766</x:v>
      </x:c>
      <x:c r="D758" s="34" t="n">
        <x:f>Assumptions!$B$4*D757+(1-Assumptions!$B$4)*C757^2</x:f>
        <x:v>0.5169016902406228</x:v>
      </x:c>
      <x:c r="E758" s="34" t="n">
        <x:f>SQRT(D758)</x:f>
        <x:v>0.7189587541998657</x:v>
      </x:c>
      <x:c r="F758" s="34" t="n">
        <x:f>-Assumptions!$B$7*E758</x:f>
        <x:v>1.1825819144741614</x:v>
      </x:c>
      <x:c r="G758" s="34" t="n">
        <x:f>-Assumptions!$B$8*E758</x:f>
        <x:v>1.6725481693559086</x:v>
      </x:c>
      <x:c r="H758" s="34" t="n">
        <x:f>-Assumptions!$B$9*E758</x:f>
        <x:v>1.1221865804940092</x:v>
      </x:c>
      <x:c r="I758" s="34" t="n">
        <x:f>-Assumptions!$B$10*E758</x:f>
        <x:v>1.8739397998860994</x:v>
      </x:c>
      <x:c r="J758" s="36" t="n">
        <x:f>IF(C758&lt;-F758,1,0)</x:f>
        <x:v>0</x:v>
      </x:c>
      <x:c r="K758" s="36" t="n">
        <x:f>IF(C758&lt;-G758,1,0)</x:f>
        <x:v>0</x:v>
      </x:c>
      <x:c r="L758" s="36" t="n">
        <x:f>IF(C758&lt;-H758,1,0)</x:f>
        <x:v>0</x:v>
      </x:c>
      <x:c r="M758" s="36" t="n">
        <x:f>IF(C758&lt;-I758,1,0)</x:f>
        <x:v>0</x:v>
      </x:c>
      <x:c r="N758" s="34" t="n">
        <x:f>-F758</x:f>
        <x:v>-1.1825819144741614</x:v>
      </x:c>
      <x:c r="O758" s="34" t="n">
        <x:f>-H758</x:f>
        <x:v>-1.1221865804940092</x:v>
      </x:c>
      <x:c r="P758" s="34" t="n">
        <x:f>-G758</x:f>
        <x:v>-1.6725481693559086</x:v>
      </x:c>
      <x:c r="Q758" s="34" t="n">
        <x:f>-I758</x:f>
        <x:v>-1.8739397998860994</x:v>
      </x:c>
      <x:c r="R758" s="36" t="n">
        <x:f>YEAR(A758)</x:f>
        <x:v>2023</x:v>
      </x:c>
    </x:row>
    <x:row r="759">
      <x:c r="A759" s="30" t="n">
        <x:v>45288</x:v>
      </x:c>
      <x:c r="B759" s="38" t="n">
        <x:v>4783.35</x:v>
      </x:c>
      <x:c r="C759" s="34" t="n">
        <x:f>(B759/B758-1)*100</x:f>
        <x:v>0.03701705294067992</x:v>
      </x:c>
      <x:c r="D759" s="34" t="n">
        <x:f>Assumptions!$B$4*D758+(1-Assumptions!$B$4)*C758^2</x:f>
        <x:v>0.4871152863586492</x:v>
      </x:c>
      <x:c r="E759" s="34" t="n">
        <x:f>SQRT(D759)</x:f>
        <x:v>0.6979364486532059</x:v>
      </x:c>
      <x:c r="F759" s="34" t="n">
        <x:f>-Assumptions!$B$7*E759</x:f>
        <x:v>1.1480032989488562</x:v>
      </x:c>
      <x:c r="G759" s="34" t="n">
        <x:f>-Assumptions!$B$8*E759</x:f>
        <x:v>1.6236429735399998</x:v>
      </x:c>
      <x:c r="H759" s="34" t="n">
        <x:f>-Assumptions!$B$9*E759</x:f>
        <x:v>1.0893739204662989</x:v>
      </x:c>
      <x:c r="I759" s="34" t="n">
        <x:f>-Assumptions!$B$10*E759</x:f>
        <x:v>1.8191459263584109</x:v>
      </x:c>
      <x:c r="J759" s="36" t="n">
        <x:f>IF(C759&lt;-F759,1,0)</x:f>
        <x:v>0</x:v>
      </x:c>
      <x:c r="K759" s="36" t="n">
        <x:f>IF(C759&lt;-G759,1,0)</x:f>
        <x:v>0</x:v>
      </x:c>
      <x:c r="L759" s="36" t="n">
        <x:f>IF(C759&lt;-H759,1,0)</x:f>
        <x:v>0</x:v>
      </x:c>
      <x:c r="M759" s="36" t="n">
        <x:f>IF(C759&lt;-I759,1,0)</x:f>
        <x:v>0</x:v>
      </x:c>
      <x:c r="N759" s="34" t="n">
        <x:f>-F759</x:f>
        <x:v>-1.1480032989488562</x:v>
      </x:c>
      <x:c r="O759" s="34" t="n">
        <x:f>-H759</x:f>
        <x:v>-1.0893739204662989</x:v>
      </x:c>
      <x:c r="P759" s="34" t="n">
        <x:f>-G759</x:f>
        <x:v>-1.6236429735399998</x:v>
      </x:c>
      <x:c r="Q759" s="34" t="n">
        <x:f>-I759</x:f>
        <x:v>-1.8191459263584109</x:v>
      </x:c>
      <x:c r="R759" s="36" t="n">
        <x:f>YEAR(A759)</x:f>
        <x:v>2023</x:v>
      </x:c>
    </x:row>
    <x:row r="760">
      <x:c r="A760" s="30" t="n">
        <x:v>45289</x:v>
      </x:c>
      <x:c r="B760" s="38" t="n">
        <x:v>4769.83</x:v>
      </x:c>
      <x:c r="C760" s="34" t="n">
        <x:f>(B760/B759-1)*100</x:f>
        <x:v>-0.28264709879060046</x:v>
      </x:c>
      <x:c r="D760" s="34" t="n">
        <x:f>Assumptions!$B$4*D759+(1-Assumptions!$B$4)*C759^2</x:f>
        <x:v>0.457970584909635</x:v>
      </x:c>
      <x:c r="E760" s="34" t="n">
        <x:f>SQRT(D760)</x:f>
        <x:v>0.676735239890487</x:v>
      </x:c>
      <x:c r="F760" s="34" t="n">
        <x:f>-Assumptions!$B$7*E760</x:f>
        <x:v>1.1131304138197426</x:v>
      </x:c>
      <x:c r="G760" s="34" t="n">
        <x:f>-Assumptions!$B$8*E760</x:f>
        <x:v>1.5743215866077525</x:v>
      </x:c>
      <x:c r="H760" s="34" t="n">
        <x:f>-Assumptions!$B$9*E760</x:f>
        <x:v>1.05628201940133</x:v>
      </x:c>
      <x:c r="I760" s="34" t="n">
        <x:f>-Assumptions!$B$10*E760</x:f>
        <x:v>1.7638857481158237</x:v>
      </x:c>
      <x:c r="J760" s="36" t="n">
        <x:f>IF(C760&lt;-F760,1,0)</x:f>
        <x:v>0</x:v>
      </x:c>
      <x:c r="K760" s="36" t="n">
        <x:f>IF(C760&lt;-G760,1,0)</x:f>
        <x:v>0</x:v>
      </x:c>
      <x:c r="L760" s="36" t="n">
        <x:f>IF(C760&lt;-H760,1,0)</x:f>
        <x:v>0</x:v>
      </x:c>
      <x:c r="M760" s="36" t="n">
        <x:f>IF(C760&lt;-I760,1,0)</x:f>
        <x:v>0</x:v>
      </x:c>
      <x:c r="N760" s="34" t="n">
        <x:f>-F760</x:f>
        <x:v>-1.1131304138197426</x:v>
      </x:c>
      <x:c r="O760" s="34" t="n">
        <x:f>-H760</x:f>
        <x:v>-1.05628201940133</x:v>
      </x:c>
      <x:c r="P760" s="34" t="n">
        <x:f>-G760</x:f>
        <x:v>-1.5743215866077525</x:v>
      </x:c>
      <x:c r="Q760" s="34" t="n">
        <x:f>-I760</x:f>
        <x:v>-1.7638857481158237</x:v>
      </x:c>
      <x:c r="R760" s="36" t="n">
        <x:f>YEAR(A760)</x:f>
        <x:v>2023</x:v>
      </x:c>
    </x:row>
    <x:row r="761">
      <x:c r="A761" s="30" t="n">
        <x:v>45293</x:v>
      </x:c>
      <x:c r="B761" s="38" t="n">
        <x:v>4742.83</x:v>
      </x:c>
      <x:c r="C761" s="34" t="n">
        <x:f>(B761/B760-1)*100</x:f>
        <x:v>-0.566057909820683</x:v>
      </x:c>
      <x:c r="D761" s="34" t="n">
        <x:f>Assumptions!$B$4*D760+(1-Assumptions!$B$4)*C760^2</x:f>
        <x:v>0.43528571276234146</x:v>
      </x:c>
      <x:c r="E761" s="34" t="n">
        <x:f>SQRT(D761)</x:f>
        <x:v>0.6597618606454464</x:v>
      </x:c>
      <x:c r="F761" s="34" t="n">
        <x:f>-Assumptions!$B$7*E761</x:f>
        <x:v>1.0852116894069148</x:v>
      </x:c>
      <x:c r="G761" s="34" t="n">
        <x:f>-Assumptions!$B$8*E761</x:f>
        <x:v>1.5348356018857634</x:v>
      </x:c>
      <x:c r="H761" s="34" t="n">
        <x:f>-Assumptions!$B$9*E761</x:f>
        <x:v>1.0297891249158628</x:v>
      </x:c>
      <x:c r="I761" s="34" t="n">
        <x:f>-Assumptions!$B$10*E761</x:f>
        <x:v>1.719645253483777</x:v>
      </x:c>
      <x:c r="J761" s="36" t="n">
        <x:f>IF(C761&lt;-F761,1,0)</x:f>
        <x:v>0</x:v>
      </x:c>
      <x:c r="K761" s="36" t="n">
        <x:f>IF(C761&lt;-G761,1,0)</x:f>
        <x:v>0</x:v>
      </x:c>
      <x:c r="L761" s="36" t="n">
        <x:f>IF(C761&lt;-H761,1,0)</x:f>
        <x:v>0</x:v>
      </x:c>
      <x:c r="M761" s="36" t="n">
        <x:f>IF(C761&lt;-I761,1,0)</x:f>
        <x:v>0</x:v>
      </x:c>
      <x:c r="N761" s="34" t="n">
        <x:f>-F761</x:f>
        <x:v>-1.0852116894069148</x:v>
      </x:c>
      <x:c r="O761" s="34" t="n">
        <x:f>-H761</x:f>
        <x:v>-1.0297891249158628</x:v>
      </x:c>
      <x:c r="P761" s="34" t="n">
        <x:f>-G761</x:f>
        <x:v>-1.5348356018857634</x:v>
      </x:c>
      <x:c r="Q761" s="34" t="n">
        <x:f>-I761</x:f>
        <x:v>-1.719645253483777</x:v>
      </x:c>
      <x:c r="R761" s="36" t="n">
        <x:f>YEAR(A761)</x:f>
        <x:v>2024</x:v>
      </x:c>
    </x:row>
    <x:row r="762">
      <x:c r="A762" s="30" t="n">
        <x:v>45294</x:v>
      </x:c>
      <x:c r="B762" s="38" t="n">
        <x:v>4704.81</x:v>
      </x:c>
      <x:c r="C762" s="34" t="n">
        <x:f>(B762/B761-1)*100</x:f>
        <x:v>-0.8016310936719062</x:v>
      </x:c>
      <x:c r="D762" s="34" t="n">
        <x:f>Assumptions!$B$4*D761+(1-Assumptions!$B$4)*C761^2</x:f>
        <x:v>0.4283938634328346</x:v>
      </x:c>
      <x:c r="E762" s="34" t="n">
        <x:f>SQRT(D762)</x:f>
        <x:v>0.6545180390431073</x:v>
      </x:c>
      <x:c r="F762" s="34" t="n">
        <x:f>-Assumptions!$B$7*E762</x:f>
        <x:v>1.0765863704252208</x:v>
      </x:c>
      <x:c r="G762" s="34" t="n">
        <x:f>-Assumptions!$B$8*E762</x:f>
        <x:v>1.5226366486493126</x:v>
      </x:c>
      <x:c r="H762" s="34" t="n">
        <x:f>-Assumptions!$B$9*E762</x:f>
        <x:v>1.0216043073609276</x:v>
      </x:c>
      <x:c r="I762" s="34" t="n">
        <x:f>-Assumptions!$B$10*E762</x:f>
        <x:v>1.7059774235189527</x:v>
      </x:c>
      <x:c r="J762" s="36" t="n">
        <x:f>IF(C762&lt;-F762,1,0)</x:f>
        <x:v>0</x:v>
      </x:c>
      <x:c r="K762" s="36" t="n">
        <x:f>IF(C762&lt;-G762,1,0)</x:f>
        <x:v>0</x:v>
      </x:c>
      <x:c r="L762" s="36" t="n">
        <x:f>IF(C762&lt;-H762,1,0)</x:f>
        <x:v>0</x:v>
      </x:c>
      <x:c r="M762" s="36" t="n">
        <x:f>IF(C762&lt;-I762,1,0)</x:f>
        <x:v>0</x:v>
      </x:c>
      <x:c r="N762" s="34" t="n">
        <x:f>-F762</x:f>
        <x:v>-1.0765863704252208</x:v>
      </x:c>
      <x:c r="O762" s="34" t="n">
        <x:f>-H762</x:f>
        <x:v>-1.0216043073609276</x:v>
      </x:c>
      <x:c r="P762" s="34" t="n">
        <x:f>-G762</x:f>
        <x:v>-1.5226366486493126</x:v>
      </x:c>
      <x:c r="Q762" s="34" t="n">
        <x:f>-I762</x:f>
        <x:v>-1.7059774235189527</x:v>
      </x:c>
      <x:c r="R762" s="36" t="n">
        <x:f>YEAR(A762)</x:f>
        <x:v>2024</x:v>
      </x:c>
    </x:row>
    <x:row r="763">
      <x:c r="A763" s="30" t="n">
        <x:v>45295</x:v>
      </x:c>
      <x:c r="B763" s="38" t="n">
        <x:v>4688.68</x:v>
      </x:c>
      <x:c r="C763" s="34" t="n">
        <x:f>(B763/B762-1)*100</x:f>
        <x:v>-0.3428406248073834</x:v>
      </x:c>
      <x:c r="D763" s="34" t="n">
        <x:f>Assumptions!$B$4*D762+(1-Assumptions!$B$4)*C762^2</x:f>
        <x:v>0.44124697624736153</x:v>
      </x:c>
      <x:c r="E763" s="34" t="n">
        <x:f>SQRT(D763)</x:f>
        <x:v>0.6642642367667866</x:v>
      </x:c>
      <x:c r="F763" s="34" t="n">
        <x:f>-Assumptions!$B$7*E763</x:f>
        <x:v>1.0926174391000008</x:v>
      </x:c>
      <x:c r="G763" s="34" t="n">
        <x:f>-Assumptions!$B$8*E763</x:f>
        <x:v>1.5453096950037755</x:v>
      </x:c>
      <x:c r="H763" s="34" t="n">
        <x:f>-Assumptions!$B$9*E763</x:f>
        <x:v>1.0368166574887536</x:v>
      </x:c>
      <x:c r="I763" s="34" t="n">
        <x:f>-Assumptions!$B$10*E763</x:f>
        <x:v>1.7313805328145446</x:v>
      </x:c>
      <x:c r="J763" s="36" t="n">
        <x:f>IF(C763&lt;-F763,1,0)</x:f>
        <x:v>0</x:v>
      </x:c>
      <x:c r="K763" s="36" t="n">
        <x:f>IF(C763&lt;-G763,1,0)</x:f>
        <x:v>0</x:v>
      </x:c>
      <x:c r="L763" s="36" t="n">
        <x:f>IF(C763&lt;-H763,1,0)</x:f>
        <x:v>0</x:v>
      </x:c>
      <x:c r="M763" s="36" t="n">
        <x:f>IF(C763&lt;-I763,1,0)</x:f>
        <x:v>0</x:v>
      </x:c>
      <x:c r="N763" s="34" t="n">
        <x:f>-F763</x:f>
        <x:v>-1.0926174391000008</x:v>
      </x:c>
      <x:c r="O763" s="34" t="n">
        <x:f>-H763</x:f>
        <x:v>-1.0368166574887536</x:v>
      </x:c>
      <x:c r="P763" s="34" t="n">
        <x:f>-G763</x:f>
        <x:v>-1.5453096950037755</x:v>
      </x:c>
      <x:c r="Q763" s="34" t="n">
        <x:f>-I763</x:f>
        <x:v>-1.7313805328145446</x:v>
      </x:c>
      <x:c r="R763" s="36" t="n">
        <x:f>YEAR(A763)</x:f>
        <x:v>2024</x:v>
      </x:c>
    </x:row>
    <x:row r="764">
      <x:c r="A764" s="30" t="n">
        <x:v>45296</x:v>
      </x:c>
      <x:c r="B764" s="38" t="n">
        <x:v>4697.24</x:v>
      </x:c>
      <x:c r="C764" s="34" t="n">
        <x:f>(B764/B763-1)*100</x:f>
        <x:v>0.1825673750394552</x:v>
      </x:c>
      <x:c r="D764" s="34" t="n">
        <x:f>Assumptions!$B$4*D763+(1-Assumptions!$B$4)*C763^2</x:f>
        <x:v>0.4218245393136188</x:v>
      </x:c>
      <x:c r="E764" s="34" t="n">
        <x:f>SQRT(D764)</x:f>
        <x:v>0.6494802070222147</x:v>
      </x:c>
      <x:c r="F764" s="34" t="n">
        <x:f>-Assumptions!$B$7*E764</x:f>
        <x:v>1.0682998741536833</x:v>
      </x:c>
      <x:c r="G764" s="34" t="n">
        <x:f>-Assumptions!$B$8*E764</x:f>
        <x:v>1.510916898837734</x:v>
      </x:c>
      <x:c r="H764" s="34" t="n">
        <x:f>-Assumptions!$B$9*E764</x:f>
        <x:v>1.0137410085894694</x:v>
      </x:c>
      <x:c r="I764" s="34" t="n">
        <x:f>-Assumptions!$B$10*E764</x:f>
        <x:v>1.6928464978936044</x:v>
      </x:c>
      <x:c r="J764" s="36" t="n">
        <x:f>IF(C764&lt;-F764,1,0)</x:f>
        <x:v>0</x:v>
      </x:c>
      <x:c r="K764" s="36" t="n">
        <x:f>IF(C764&lt;-G764,1,0)</x:f>
        <x:v>0</x:v>
      </x:c>
      <x:c r="L764" s="36" t="n">
        <x:f>IF(C764&lt;-H764,1,0)</x:f>
        <x:v>0</x:v>
      </x:c>
      <x:c r="M764" s="36" t="n">
        <x:f>IF(C764&lt;-I764,1,0)</x:f>
        <x:v>0</x:v>
      </x:c>
      <x:c r="N764" s="34" t="n">
        <x:f>-F764</x:f>
        <x:v>-1.0682998741536833</x:v>
      </x:c>
      <x:c r="O764" s="34" t="n">
        <x:f>-H764</x:f>
        <x:v>-1.0137410085894694</x:v>
      </x:c>
      <x:c r="P764" s="34" t="n">
        <x:f>-G764</x:f>
        <x:v>-1.510916898837734</x:v>
      </x:c>
      <x:c r="Q764" s="34" t="n">
        <x:f>-I764</x:f>
        <x:v>-1.6928464978936044</x:v>
      </x:c>
      <x:c r="R764" s="36" t="n">
        <x:f>YEAR(A764)</x:f>
        <x:v>2024</x:v>
      </x:c>
    </x:row>
    <x:row r="765">
      <x:c r="A765" s="30" t="n">
        <x:v>45299</x:v>
      </x:c>
      <x:c r="B765" s="38" t="n">
        <x:v>4763.54</x:v>
      </x:c>
      <x:c r="C765" s="34" t="n">
        <x:f>(B765/B764-1)*100</x:f>
        <x:v>1.4114671594383177</x:v>
      </x:c>
      <x:c r="D765" s="34" t="n">
        <x:f>Assumptions!$B$4*D764+(1-Assumptions!$B$4)*C764^2</x:f>
        <x:v>0.3985149177405295</x:v>
      </x:c>
      <x:c r="E765" s="34" t="n">
        <x:f>SQRT(D765)</x:f>
        <x:v>0.6312803796575096</x:v>
      </x:c>
      <x:c r="F765" s="34" t="n">
        <x:f>-Assumptions!$B$7*E765</x:f>
        <x:v>1.0383638221029574</x:v>
      </x:c>
      <x:c r="G765" s="34" t="n">
        <x:f>-Assumptions!$B$8*E765</x:f>
        <x:v>1.468577769139942</x:v>
      </x:c>
      <x:c r="H765" s="34" t="n">
        <x:f>-Assumptions!$B$9*E765</x:f>
        <x:v>0.9853338128822425</x:v>
      </x:c>
      <x:c r="I765" s="34" t="n">
        <x:f>-Assumptions!$B$10*E765</x:f>
        <x:v>1.6454093109193209</x:v>
      </x:c>
      <x:c r="J765" s="36" t="n">
        <x:f>IF(C765&lt;-F765,1,0)</x:f>
        <x:v>0</x:v>
      </x:c>
      <x:c r="K765" s="36" t="n">
        <x:f>IF(C765&lt;-G765,1,0)</x:f>
        <x:v>0</x:v>
      </x:c>
      <x:c r="L765" s="36" t="n">
        <x:f>IF(C765&lt;-H765,1,0)</x:f>
        <x:v>0</x:v>
      </x:c>
      <x:c r="M765" s="36" t="n">
        <x:f>IF(C765&lt;-I765,1,0)</x:f>
        <x:v>0</x:v>
      </x:c>
      <x:c r="N765" s="34" t="n">
        <x:f>-F765</x:f>
        <x:v>-1.0383638221029574</x:v>
      </x:c>
      <x:c r="O765" s="34" t="n">
        <x:f>-H765</x:f>
        <x:v>-0.9853338128822425</x:v>
      </x:c>
      <x:c r="P765" s="34" t="n">
        <x:f>-G765</x:f>
        <x:v>-1.468577769139942</x:v>
      </x:c>
      <x:c r="Q765" s="34" t="n">
        <x:f>-I765</x:f>
        <x:v>-1.6454093109193209</x:v>
      </x:c>
      <x:c r="R765" s="36" t="n">
        <x:f>YEAR(A765)</x:f>
        <x:v>2024</x:v>
      </x:c>
    </x:row>
    <x:row r="766">
      <x:c r="A766" s="30" t="n">
        <x:v>45300</x:v>
      </x:c>
      <x:c r="B766" s="38" t="n">
        <x:v>4756.5</x:v>
      </x:c>
      <x:c r="C766" s="34" t="n">
        <x:f>(B766/B765-1)*100</x:f>
        <x:v>-0.1477892491718369</x:v>
      </x:c>
      <x:c r="D766" s="34" t="n">
        <x:f>Assumptions!$B$4*D765+(1-Assumptions!$B$4)*C765^2</x:f>
        <x:v>0.49413839520647024</x:v>
      </x:c>
      <x:c r="E766" s="34" t="n">
        <x:f>SQRT(D766)</x:f>
        <x:v>0.702949781425722</x:v>
      </x:c>
      <x:c r="F766" s="34" t="n">
        <x:f>-Assumptions!$B$7*E766</x:f>
        <x:v>1.156249497542844</x:v>
      </x:c>
      <x:c r="G766" s="34" t="n">
        <x:f>-Assumptions!$B$8*E766</x:f>
        <x:v>1.6353057295772016</x:v>
      </x:c>
      <x:c r="H766" s="34" t="n">
        <x:f>-Assumptions!$B$9*E766</x:f>
        <x:v>1.0971989795924366</x:v>
      </x:c>
      <x:c r="I766" s="34" t="n">
        <x:f>-Assumptions!$B$10*E766</x:f>
        <x:v>1.832212995585416</x:v>
      </x:c>
      <x:c r="J766" s="36" t="n">
        <x:f>IF(C766&lt;-F766,1,0)</x:f>
        <x:v>0</x:v>
      </x:c>
      <x:c r="K766" s="36" t="n">
        <x:f>IF(C766&lt;-G766,1,0)</x:f>
        <x:v>0</x:v>
      </x:c>
      <x:c r="L766" s="36" t="n">
        <x:f>IF(C766&lt;-H766,1,0)</x:f>
        <x:v>0</x:v>
      </x:c>
      <x:c r="M766" s="36" t="n">
        <x:f>IF(C766&lt;-I766,1,0)</x:f>
        <x:v>0</x:v>
      </x:c>
      <x:c r="N766" s="34" t="n">
        <x:f>-F766</x:f>
        <x:v>-1.156249497542844</x:v>
      </x:c>
      <x:c r="O766" s="34" t="n">
        <x:f>-H766</x:f>
        <x:v>-1.0971989795924366</x:v>
      </x:c>
      <x:c r="P766" s="34" t="n">
        <x:f>-G766</x:f>
        <x:v>-1.6353057295772016</x:v>
      </x:c>
      <x:c r="Q766" s="34" t="n">
        <x:f>-I766</x:f>
        <x:v>-1.832212995585416</x:v>
      </x:c>
      <x:c r="R766" s="36" t="n">
        <x:f>YEAR(A766)</x:f>
        <x:v>2024</x:v>
      </x:c>
    </x:row>
    <x:row r="767">
      <x:c r="A767" s="30" t="n">
        <x:v>45301</x:v>
      </x:c>
      <x:c r="B767" s="38" t="n">
        <x:v>4783.45</x:v>
      </x:c>
      <x:c r="C767" s="34" t="n">
        <x:f>(B767/B766-1)*100</x:f>
        <x:v>0.5665930831493693</x:v>
      </x:c>
      <x:c r="D767" s="34" t="n">
        <x:f>Assumptions!$B$4*D766+(1-Assumptions!$B$4)*C766^2</x:f>
        <x:v>0.4658005912243285</x:v>
      </x:c>
      <x:c r="E767" s="34" t="n">
        <x:f>SQRT(D767)</x:f>
        <x:v>0.6824958543642067</x:v>
      </x:c>
      <x:c r="F767" s="34" t="n">
        <x:f>-Assumptions!$B$7*E767</x:f>
        <x:v>1.1226057814303096</x:v>
      </x:c>
      <x:c r="G767" s="34" t="n">
        <x:f>-Assumptions!$B$8*E767</x:f>
        <x:v>1.5877227798418592</x:v>
      </x:c>
      <x:c r="H767" s="34" t="n">
        <x:f>-Assumptions!$B$9*E767</x:f>
        <x:v>1.0652734729722684</x:v>
      </x:c>
      <x:c r="I767" s="34" t="n">
        <x:f>-Assumptions!$B$10*E767</x:f>
        <x:v>1.7789005798722255</x:v>
      </x:c>
      <x:c r="J767" s="36" t="n">
        <x:f>IF(C767&lt;-F767,1,0)</x:f>
        <x:v>0</x:v>
      </x:c>
      <x:c r="K767" s="36" t="n">
        <x:f>IF(C767&lt;-G767,1,0)</x:f>
        <x:v>0</x:v>
      </x:c>
      <x:c r="L767" s="36" t="n">
        <x:f>IF(C767&lt;-H767,1,0)</x:f>
        <x:v>0</x:v>
      </x:c>
      <x:c r="M767" s="36" t="n">
        <x:f>IF(C767&lt;-I767,1,0)</x:f>
        <x:v>0</x:v>
      </x:c>
      <x:c r="N767" s="34" t="n">
        <x:f>-F767</x:f>
        <x:v>-1.1226057814303096</x:v>
      </x:c>
      <x:c r="O767" s="34" t="n">
        <x:f>-H767</x:f>
        <x:v>-1.0652734729722684</x:v>
      </x:c>
      <x:c r="P767" s="34" t="n">
        <x:f>-G767</x:f>
        <x:v>-1.5877227798418592</x:v>
      </x:c>
      <x:c r="Q767" s="34" t="n">
        <x:f>-I767</x:f>
        <x:v>-1.7789005798722255</x:v>
      </x:c>
      <x:c r="R767" s="36" t="n">
        <x:f>YEAR(A767)</x:f>
        <x:v>2024</x:v>
      </x:c>
    </x:row>
    <x:row r="768">
      <x:c r="A768" s="30" t="n">
        <x:v>45302</x:v>
      </x:c>
      <x:c r="B768" s="38" t="n">
        <x:v>4780.24</x:v>
      </x:c>
      <x:c r="C768" s="34" t="n">
        <x:f>(B768/B767-1)*100</x:f>
        <x:v>-0.0671063771963798</x:v>
      </x:c>
      <x:c r="D768" s="34" t="n">
        <x:f>Assumptions!$B$4*D767+(1-Assumptions!$B$4)*C767^2</x:f>
        <x:v>0.45711421906323124</x:v>
      </x:c>
      <x:c r="E768" s="34" t="n">
        <x:f>SQRT(D768)</x:f>
        <x:v>0.6761022253056347</x:v>
      </x:c>
      <x:c r="F768" s="34" t="n">
        <x:f>-Assumptions!$B$7*E768</x:f>
        <x:v>1.112089197483935</x:v>
      </x:c>
      <x:c r="G768" s="34" t="n">
        <x:f>-Assumptions!$B$8*E768</x:f>
        <x:v>1.5728489744740444</x:v>
      </x:c>
      <x:c r="H768" s="34" t="n">
        <x:f>-Assumptions!$B$9*E768</x:f>
        <x:v>1.0552939787547302</x:v>
      </x:c>
      <x:c r="I768" s="34" t="n">
        <x:f>-Assumptions!$B$10*E768</x:f>
        <x:v>1.7622358186622442</x:v>
      </x:c>
      <x:c r="J768" s="36" t="n">
        <x:f>IF(C768&lt;-F768,1,0)</x:f>
        <x:v>0</x:v>
      </x:c>
      <x:c r="K768" s="36" t="n">
        <x:f>IF(C768&lt;-G768,1,0)</x:f>
        <x:v>0</x:v>
      </x:c>
      <x:c r="L768" s="36" t="n">
        <x:f>IF(C768&lt;-H768,1,0)</x:f>
        <x:v>0</x:v>
      </x:c>
      <x:c r="M768" s="36" t="n">
        <x:f>IF(C768&lt;-I768,1,0)</x:f>
        <x:v>0</x:v>
      </x:c>
      <x:c r="N768" s="34" t="n">
        <x:f>-F768</x:f>
        <x:v>-1.112089197483935</x:v>
      </x:c>
      <x:c r="O768" s="34" t="n">
        <x:f>-H768</x:f>
        <x:v>-1.0552939787547302</x:v>
      </x:c>
      <x:c r="P768" s="34" t="n">
        <x:f>-G768</x:f>
        <x:v>-1.5728489744740444</x:v>
      </x:c>
      <x:c r="Q768" s="34" t="n">
        <x:f>-I768</x:f>
        <x:v>-1.7622358186622442</x:v>
      </x:c>
      <x:c r="R768" s="36" t="n">
        <x:f>YEAR(A768)</x:f>
        <x:v>2024</x:v>
      </x:c>
    </x:row>
    <x:row r="769">
      <x:c r="A769" s="30" t="n">
        <x:v>45303</x:v>
      </x:c>
      <x:c r="B769" s="38" t="n">
        <x:v>4783.83</x:v>
      </x:c>
      <x:c r="C769" s="34" t="n">
        <x:f>(B769/B768-1)*100</x:f>
        <x:v>0.07510083175741311</x:v>
      </x:c>
      <x:c r="D769" s="34" t="n">
        <x:f>Assumptions!$B$4*D768+(1-Assumptions!$B$4)*C768^2</x:f>
        <x:v>0.4299575618710627</x:v>
      </x:c>
      <x:c r="E769" s="34" t="n">
        <x:f>SQRT(D769)</x:f>
        <x:v>0.6557114928618094</x:v>
      </x:c>
      <x:c r="F769" s="34" t="n">
        <x:f>-Assumptions!$B$7*E769</x:f>
        <x:v>1.078549427267512</x:v>
      </x:c>
      <x:c r="G769" s="34" t="n">
        <x:f>-Assumptions!$B$8*E769</x:f>
        <x:v>1.525413037403216</x:v>
      </x:c>
      <x:c r="H769" s="34" t="n">
        <x:f>-Assumptions!$B$9*E769</x:f>
        <x:v>1.023467109436795</x:v>
      </x:c>
      <x:c r="I769" s="34" t="n">
        <x:f>-Assumptions!$B$10*E769</x:f>
        <x:v>1.7090881174177714</x:v>
      </x:c>
      <x:c r="J769" s="36" t="n">
        <x:f>IF(C769&lt;-F769,1,0)</x:f>
        <x:v>0</x:v>
      </x:c>
      <x:c r="K769" s="36" t="n">
        <x:f>IF(C769&lt;-G769,1,0)</x:f>
        <x:v>0</x:v>
      </x:c>
      <x:c r="L769" s="36" t="n">
        <x:f>IF(C769&lt;-H769,1,0)</x:f>
        <x:v>0</x:v>
      </x:c>
      <x:c r="M769" s="36" t="n">
        <x:f>IF(C769&lt;-I769,1,0)</x:f>
        <x:v>0</x:v>
      </x:c>
      <x:c r="N769" s="34" t="n">
        <x:f>-F769</x:f>
        <x:v>-1.078549427267512</x:v>
      </x:c>
      <x:c r="O769" s="34" t="n">
        <x:f>-H769</x:f>
        <x:v>-1.023467109436795</x:v>
      </x:c>
      <x:c r="P769" s="34" t="n">
        <x:f>-G769</x:f>
        <x:v>-1.525413037403216</x:v>
      </x:c>
      <x:c r="Q769" s="34" t="n">
        <x:f>-I769</x:f>
        <x:v>-1.7090881174177714</x:v>
      </x:c>
      <x:c r="R769" s="36" t="n">
        <x:f>YEAR(A769)</x:f>
        <x:v>2024</x:v>
      </x:c>
    </x:row>
    <x:row r="770">
      <x:c r="A770" s="30" t="n">
        <x:v>45307</x:v>
      </x:c>
      <x:c r="B770" s="38" t="n">
        <x:v>4765.98</x:v>
      </x:c>
      <x:c r="C770" s="34" t="n">
        <x:f>(B770/B769-1)*100</x:f>
        <x:v>-0.37313198838587747</x:v>
      </x:c>
      <x:c r="D770" s="34" t="n">
        <x:f>Assumptions!$B$4*D769+(1-Assumptions!$B$4)*C769^2</x:f>
        <x:v>0.40449851625463823</x:v>
      </x:c>
      <x:c r="E770" s="34" t="n">
        <x:f>SQRT(D770)</x:f>
        <x:v>0.6360019781845322</x:v>
      </x:c>
      <x:c r="F770" s="34" t="n">
        <x:f>-Assumptions!$B$7*E770</x:f>
        <x:v>1.0461301605651392</x:v>
      </x:c>
      <x:c r="G770" s="34" t="n">
        <x:f>-Assumptions!$B$8*E770</x:f>
        <x:v>1.4795618498353553</x:v>
      </x:c>
      <x:c r="H770" s="34" t="n">
        <x:f>-Assumptions!$B$9*E770</x:f>
        <x:v>0.992703518688804</x:v>
      </x:c>
      <x:c r="I770" s="34" t="n">
        <x:f>-Assumptions!$B$10*E770</x:f>
        <x:v>1.6577159854638408</x:v>
      </x:c>
      <x:c r="J770" s="36" t="n">
        <x:f>IF(C770&lt;-F770,1,0)</x:f>
        <x:v>0</x:v>
      </x:c>
      <x:c r="K770" s="36" t="n">
        <x:f>IF(C770&lt;-G770,1,0)</x:f>
        <x:v>0</x:v>
      </x:c>
      <x:c r="L770" s="36" t="n">
        <x:f>IF(C770&lt;-H770,1,0)</x:f>
        <x:v>0</x:v>
      </x:c>
      <x:c r="M770" s="36" t="n">
        <x:f>IF(C770&lt;-I770,1,0)</x:f>
        <x:v>0</x:v>
      </x:c>
      <x:c r="N770" s="34" t="n">
        <x:f>-F770</x:f>
        <x:v>-1.0461301605651392</x:v>
      </x:c>
      <x:c r="O770" s="34" t="n">
        <x:f>-H770</x:f>
        <x:v>-0.992703518688804</x:v>
      </x:c>
      <x:c r="P770" s="34" t="n">
        <x:f>-G770</x:f>
        <x:v>-1.4795618498353553</x:v>
      </x:c>
      <x:c r="Q770" s="34" t="n">
        <x:f>-I770</x:f>
        <x:v>-1.6577159854638408</x:v>
      </x:c>
      <x:c r="R770" s="36" t="n">
        <x:f>YEAR(A770)</x:f>
        <x:v>2024</x:v>
      </x:c>
    </x:row>
    <x:row r="771">
      <x:c r="A771" s="30" t="n">
        <x:v>45308</x:v>
      </x:c>
      <x:c r="B771" s="38" t="n">
        <x:v>4739.21</x:v>
      </x:c>
      <x:c r="C771" s="34" t="n">
        <x:f>(B771/B770-1)*100</x:f>
        <x:v>-0.5616893062916684</x:v>
      </x:c>
      <x:c r="D771" s="34" t="n">
        <x:f>Assumptions!$B$4*D770+(1-Assumptions!$B$4)*C770^2</x:f>
        <x:v>0.3885822541247678</x:v>
      </x:c>
      <x:c r="E771" s="34" t="n">
        <x:f>SQRT(D771)</x:f>
        <x:v>0.6233636612161217</x:v>
      </x:c>
      <x:c r="F771" s="34" t="n">
        <x:f>-Assumptions!$B$7*E771</x:f>
        <x:v>1.025341979061087</x:v>
      </x:c>
      <x:c r="G771" s="34" t="n">
        <x:f>-Assumptions!$B$8*E771</x:f>
        <x:v>1.4501607280244395</x:v>
      </x:c>
      <x:c r="H771" s="34" t="n">
        <x:f>-Assumptions!$B$9*E771</x:f>
        <x:v>0.9729770050061606</x:v>
      </x:c>
      <x:c r="I771" s="34" t="n">
        <x:f>-Assumptions!$B$10*E771</x:f>
        <x:v>1.6247746727218635</x:v>
      </x:c>
      <x:c r="J771" s="36" t="n">
        <x:f>IF(C771&lt;-F771,1,0)</x:f>
        <x:v>0</x:v>
      </x:c>
      <x:c r="K771" s="36" t="n">
        <x:f>IF(C771&lt;-G771,1,0)</x:f>
        <x:v>0</x:v>
      </x:c>
      <x:c r="L771" s="36" t="n">
        <x:f>IF(C771&lt;-H771,1,0)</x:f>
        <x:v>0</x:v>
      </x:c>
      <x:c r="M771" s="36" t="n">
        <x:f>IF(C771&lt;-I771,1,0)</x:f>
        <x:v>0</x:v>
      </x:c>
      <x:c r="N771" s="34" t="n">
        <x:f>-F771</x:f>
        <x:v>-1.025341979061087</x:v>
      </x:c>
      <x:c r="O771" s="34" t="n">
        <x:f>-H771</x:f>
        <x:v>-0.9729770050061606</x:v>
      </x:c>
      <x:c r="P771" s="34" t="n">
        <x:f>-G771</x:f>
        <x:v>-1.4501607280244395</x:v>
      </x:c>
      <x:c r="Q771" s="34" t="n">
        <x:f>-I771</x:f>
        <x:v>-1.6247746727218635</x:v>
      </x:c>
      <x:c r="R771" s="36" t="n">
        <x:f>YEAR(A771)</x:f>
        <x:v>2024</x:v>
      </x:c>
    </x:row>
    <x:row r="772">
      <x:c r="A772" s="30" t="n">
        <x:v>45309</x:v>
      </x:c>
      <x:c r="B772" s="38" t="n">
        <x:v>4780.94</x:v>
      </x:c>
      <x:c r="C772" s="34" t="n">
        <x:f>(B772/B771-1)*100</x:f>
        <x:v>0.8805265012522989</x:v>
      </x:c>
      <x:c r="D772" s="34" t="n">
        <x:f>Assumptions!$B$4*D771+(1-Assumptions!$B$4)*C771^2</x:f>
        <x:v>0.38419701148542673</x:v>
      </x:c>
      <x:c r="E772" s="34" t="n">
        <x:f>SQRT(D772)</x:f>
        <x:v>0.6198362779681638</x:v>
      </x:c>
      <x:c r="F772" s="34" t="n">
        <x:f>-Assumptions!$B$7*E772</x:f>
        <x:v>1.0195399499320354</x:v>
      </x:c>
      <x:c r="G772" s="34" t="n">
        <x:f>-Assumptions!$B$8*E772</x:f>
        <x:v>1.4419548075046251</x:v>
      </x:c>
      <x:c r="H772" s="34" t="n">
        <x:f>-Assumptions!$B$9*E772</x:f>
        <x:v>0.9674712898006713</x:v>
      </x:c>
      <x:c r="I772" s="34" t="n">
        <x:f>-Assumptions!$B$10*E772</x:f>
        <x:v>1.615580676794856</x:v>
      </x:c>
      <x:c r="J772" s="36" t="n">
        <x:f>IF(C772&lt;-F772,1,0)</x:f>
        <x:v>0</x:v>
      </x:c>
      <x:c r="K772" s="36" t="n">
        <x:f>IF(C772&lt;-G772,1,0)</x:f>
        <x:v>0</x:v>
      </x:c>
      <x:c r="L772" s="36" t="n">
        <x:f>IF(C772&lt;-H772,1,0)</x:f>
        <x:v>0</x:v>
      </x:c>
      <x:c r="M772" s="36" t="n">
        <x:f>IF(C772&lt;-I772,1,0)</x:f>
        <x:v>0</x:v>
      </x:c>
      <x:c r="N772" s="34" t="n">
        <x:f>-F772</x:f>
        <x:v>-1.0195399499320354</x:v>
      </x:c>
      <x:c r="O772" s="34" t="n">
        <x:f>-H772</x:f>
        <x:v>-0.9674712898006713</x:v>
      </x:c>
      <x:c r="P772" s="34" t="n">
        <x:f>-G772</x:f>
        <x:v>-1.4419548075046251</x:v>
      </x:c>
      <x:c r="Q772" s="34" t="n">
        <x:f>-I772</x:f>
        <x:v>-1.615580676794856</x:v>
      </x:c>
      <x:c r="R772" s="36" t="n">
        <x:f>YEAR(A772)</x:f>
        <x:v>2024</x:v>
      </x:c>
    </x:row>
    <x:row r="773">
      <x:c r="A773" s="30" t="n">
        <x:v>45310</x:v>
      </x:c>
      <x:c r="B773" s="38" t="n">
        <x:v>4839.81</x:v>
      </x:c>
      <x:c r="C773" s="34" t="n">
        <x:f>(B773/B772-1)*100</x:f>
        <x:v>1.2313478102632613</x:v>
      </x:c>
      <x:c r="D773" s="34" t="n">
        <x:f>Assumptions!$B$4*D772+(1-Assumptions!$B$4)*C772^2</x:f>
        <x:v>0.407664805960758</x:v>
      </x:c>
      <x:c r="E773" s="34" t="n">
        <x:f>SQRT(D773)</x:f>
        <x:v>0.6384863396821877</x:v>
      </x:c>
      <x:c r="F773" s="34" t="n">
        <x:f>-Assumptions!$B$7*E773</x:f>
        <x:v>1.0502165715852165</x:v>
      </x:c>
      <x:c r="G773" s="34" t="n">
        <x:f>-Assumptions!$B$8*E773</x:f>
        <x:v>1.4853413389237753</x:v>
      </x:c>
      <x:c r="H773" s="34" t="n">
        <x:f>-Assumptions!$B$9*E773</x:f>
        <x:v>0.9965812336724232</x:v>
      </x:c>
      <x:c r="I773" s="34" t="n">
        <x:f>-Assumptions!$B$10*E773</x:f>
        <x:v>1.6641913831978075</x:v>
      </x:c>
      <x:c r="J773" s="36" t="n">
        <x:f>IF(C773&lt;-F773,1,0)</x:f>
        <x:v>0</x:v>
      </x:c>
      <x:c r="K773" s="36" t="n">
        <x:f>IF(C773&lt;-G773,1,0)</x:f>
        <x:v>0</x:v>
      </x:c>
      <x:c r="L773" s="36" t="n">
        <x:f>IF(C773&lt;-H773,1,0)</x:f>
        <x:v>0</x:v>
      </x:c>
      <x:c r="M773" s="36" t="n">
        <x:f>IF(C773&lt;-I773,1,0)</x:f>
        <x:v>0</x:v>
      </x:c>
      <x:c r="N773" s="34" t="n">
        <x:f>-F773</x:f>
        <x:v>-1.0502165715852165</x:v>
      </x:c>
      <x:c r="O773" s="34" t="n">
        <x:f>-H773</x:f>
        <x:v>-0.9965812336724232</x:v>
      </x:c>
      <x:c r="P773" s="34" t="n">
        <x:f>-G773</x:f>
        <x:v>-1.4853413389237753</x:v>
      </x:c>
      <x:c r="Q773" s="34" t="n">
        <x:f>-I773</x:f>
        <x:v>-1.6641913831978075</x:v>
      </x:c>
      <x:c r="R773" s="36" t="n">
        <x:f>YEAR(A773)</x:f>
        <x:v>2024</x:v>
      </x:c>
    </x:row>
    <x:row r="774">
      <x:c r="A774" s="30" t="n">
        <x:v>45313</x:v>
      </x:c>
      <x:c r="B774" s="38" t="n">
        <x:v>4850.43</x:v>
      </x:c>
      <x:c r="C774" s="34" t="n">
        <x:f>(B774/B773-1)*100</x:f>
        <x:v>0.2194301015948863</x:v>
      </x:c>
      <x:c r="D774" s="34" t="n">
        <x:f>Assumptions!$B$4*D773+(1-Assumptions!$B$4)*C773^2</x:f>
        <x:v>0.4741779633935203</x:v>
      </x:c>
      <x:c r="E774" s="34" t="n">
        <x:f>SQRT(D774)</x:f>
        <x:v>0.6886058113271484</x:v>
      </x:c>
      <x:c r="F774" s="34" t="n">
        <x:f>-Assumptions!$B$7*E774</x:f>
        <x:v>1.1326557663013217</x:v>
      </x:c>
      <x:c r="G774" s="34" t="n">
        <x:f>-Assumptions!$B$8*E774</x:f>
        <x:v>1.6019366652330795</x:v>
      </x:c>
      <x:c r="H774" s="34" t="n">
        <x:f>-Assumptions!$B$9*E774</x:f>
        <x:v>1.0748101976747026</x:v>
      </x:c>
      <x:c r="I774" s="34" t="n">
        <x:f>-Assumptions!$B$10*E774</x:f>
        <x:v>1.7948259600996213</x:v>
      </x:c>
      <x:c r="J774" s="36" t="n">
        <x:f>IF(C774&lt;-F774,1,0)</x:f>
        <x:v>0</x:v>
      </x:c>
      <x:c r="K774" s="36" t="n">
        <x:f>IF(C774&lt;-G774,1,0)</x:f>
        <x:v>0</x:v>
      </x:c>
      <x:c r="L774" s="36" t="n">
        <x:f>IF(C774&lt;-H774,1,0)</x:f>
        <x:v>0</x:v>
      </x:c>
      <x:c r="M774" s="36" t="n">
        <x:f>IF(C774&lt;-I774,1,0)</x:f>
        <x:v>0</x:v>
      </x:c>
      <x:c r="N774" s="34" t="n">
        <x:f>-F774</x:f>
        <x:v>-1.1326557663013217</x:v>
      </x:c>
      <x:c r="O774" s="34" t="n">
        <x:f>-H774</x:f>
        <x:v>-1.0748101976747026</x:v>
      </x:c>
      <x:c r="P774" s="34" t="n">
        <x:f>-G774</x:f>
        <x:v>-1.6019366652330795</x:v>
      </x:c>
      <x:c r="Q774" s="34" t="n">
        <x:f>-I774</x:f>
        <x:v>-1.7948259600996213</x:v>
      </x:c>
      <x:c r="R774" s="36" t="n">
        <x:f>YEAR(A774)</x:f>
        <x:v>2024</x:v>
      </x:c>
    </x:row>
    <x:row r="775">
      <x:c r="A775" s="30" t="n">
        <x:v>45314</x:v>
      </x:c>
      <x:c r="B775" s="38" t="n">
        <x:v>4864.6</x:v>
      </x:c>
      <x:c r="C775" s="34" t="n">
        <x:f>(B775/B774-1)*100</x:f>
        <x:v>0.29213904746590025</x:v>
      </x:c>
      <x:c r="D775" s="34" t="n">
        <x:f>Assumptions!$B$4*D774+(1-Assumptions!$B$4)*C774^2</x:f>
        <x:v>0.44861625975906555</x:v>
      </x:c>
      <x:c r="E775" s="34" t="n">
        <x:f>SQRT(D775)</x:f>
        <x:v>0.6697882200808444</x:v>
      </x:c>
      <x:c r="F775" s="34" t="n">
        <x:f>-Assumptions!$B$7*E775</x:f>
        <x:v>1.1017035830893482</x:v>
      </x:c>
      <x:c r="G775" s="34" t="n">
        <x:f>-Assumptions!$B$8*E775</x:f>
        <x:v>1.5581604018426707</x:v>
      </x:c>
      <x:c r="H775" s="34" t="n">
        <x:f>-Assumptions!$B$9*E775</x:f>
        <x:v>1.0454387653769972</x:v>
      </x:c>
      <x:c r="I775" s="34" t="n">
        <x:f>-Assumptions!$B$10*E775</x:f>
        <x:v>1.7457785940741783</x:v>
      </x:c>
      <x:c r="J775" s="36" t="n">
        <x:f>IF(C775&lt;-F775,1,0)</x:f>
        <x:v>0</x:v>
      </x:c>
      <x:c r="K775" s="36" t="n">
        <x:f>IF(C775&lt;-G775,1,0)</x:f>
        <x:v>0</x:v>
      </x:c>
      <x:c r="L775" s="36" t="n">
        <x:f>IF(C775&lt;-H775,1,0)</x:f>
        <x:v>0</x:v>
      </x:c>
      <x:c r="M775" s="36" t="n">
        <x:f>IF(C775&lt;-I775,1,0)</x:f>
        <x:v>0</x:v>
      </x:c>
      <x:c r="N775" s="34" t="n">
        <x:f>-F775</x:f>
        <x:v>-1.1017035830893482</x:v>
      </x:c>
      <x:c r="O775" s="34" t="n">
        <x:f>-H775</x:f>
        <x:v>-1.0454387653769972</x:v>
      </x:c>
      <x:c r="P775" s="34" t="n">
        <x:f>-G775</x:f>
        <x:v>-1.5581604018426707</x:v>
      </x:c>
      <x:c r="Q775" s="34" t="n">
        <x:f>-I775</x:f>
        <x:v>-1.7457785940741783</x:v>
      </x:c>
      <x:c r="R775" s="36" t="n">
        <x:f>YEAR(A775)</x:f>
        <x:v>2024</x:v>
      </x:c>
    </x:row>
    <x:row r="776">
      <x:c r="A776" s="30" t="n">
        <x:v>45315</x:v>
      </x:c>
      <x:c r="B776" s="38" t="n">
        <x:v>4868.55</x:v>
      </x:c>
      <x:c r="C776" s="34" t="n">
        <x:f>(B776/B775-1)*100</x:f>
        <x:v>0.08119886527155895</x:v>
      </x:c>
      <x:c r="D776" s="34" t="n">
        <x:f>Assumptions!$B$4*D775+(1-Assumptions!$B$4)*C775^2</x:f>
        <x:v>0.42681999755677863</x:v>
      </x:c>
      <x:c r="E776" s="34" t="n">
        <x:f>SQRT(D776)</x:f>
        <x:v>0.6533146237126325</x:v>
      </x:c>
      <x:c r="F776" s="34" t="n">
        <x:f>-Assumptions!$B$7*E776</x:f>
        <x:v>1.0746069283541602</x:v>
      </x:c>
      <x:c r="G776" s="34" t="n">
        <x:f>-Assumptions!$B$8*E776</x:f>
        <x:v>1.519837085953674</x:v>
      </x:c>
      <x:c r="H776" s="34" t="n">
        <x:f>-Assumptions!$B$9*E776</x:f>
        <x:v>1.0197259568620556</x:v>
      </x:c>
      <x:c r="I776" s="34" t="n">
        <x:f>-Assumptions!$B$10*E776</x:f>
        <x:v>1.7028407653026134</x:v>
      </x:c>
      <x:c r="J776" s="36" t="n">
        <x:f>IF(C776&lt;-F776,1,0)</x:f>
        <x:v>0</x:v>
      </x:c>
      <x:c r="K776" s="36" t="n">
        <x:f>IF(C776&lt;-G776,1,0)</x:f>
        <x:v>0</x:v>
      </x:c>
      <x:c r="L776" s="36" t="n">
        <x:f>IF(C776&lt;-H776,1,0)</x:f>
        <x:v>0</x:v>
      </x:c>
      <x:c r="M776" s="36" t="n">
        <x:f>IF(C776&lt;-I776,1,0)</x:f>
        <x:v>0</x:v>
      </x:c>
      <x:c r="N776" s="34" t="n">
        <x:f>-F776</x:f>
        <x:v>-1.0746069283541602</x:v>
      </x:c>
      <x:c r="O776" s="34" t="n">
        <x:f>-H776</x:f>
        <x:v>-1.0197259568620556</x:v>
      </x:c>
      <x:c r="P776" s="34" t="n">
        <x:f>-G776</x:f>
        <x:v>-1.519837085953674</x:v>
      </x:c>
      <x:c r="Q776" s="34" t="n">
        <x:f>-I776</x:f>
        <x:v>-1.7028407653026134</x:v>
      </x:c>
      <x:c r="R776" s="36" t="n">
        <x:f>YEAR(A776)</x:f>
        <x:v>2024</x:v>
      </x:c>
    </x:row>
    <x:row r="777">
      <x:c r="A777" s="30" t="n">
        <x:v>45316</x:v>
      </x:c>
      <x:c r="B777" s="38" t="n">
        <x:v>4894.16</x:v>
      </x:c>
      <x:c r="C777" s="34" t="n">
        <x:f>(B777/B776-1)*100</x:f>
        <x:v>0.5260293105750158</x:v>
      </x:c>
      <x:c r="D777" s="34" t="n">
        <x:f>Assumptions!$B$4*D776+(1-Assumptions!$B$4)*C776^2</x:f>
        <x:v>0.4016063930466552</x:v>
      </x:c>
      <x:c r="E777" s="34" t="n">
        <x:f>SQRT(D777)</x:f>
        <x:v>0.6337242247592049</x:v>
      </x:c>
      <x:c r="F777" s="34" t="n">
        <x:f>-Assumptions!$B$7*E777</x:f>
        <x:v>1.0423835895821885</x:v>
      </x:c>
      <x:c r="G777" s="34" t="n">
        <x:f>-Assumptions!$B$8*E777</x:f>
        <x:v>1.4742630029967558</x:v>
      </x:c>
      <x:c r="H777" s="34" t="n">
        <x:f>-Assumptions!$B$9*E777</x:f>
        <x:v>0.9891482878599908</x:v>
      </x:c>
      <x:c r="I777" s="34" t="n">
        <x:f>-Assumptions!$B$10*E777</x:f>
        <x:v>1.651779104143301</x:v>
      </x:c>
      <x:c r="J777" s="36" t="n">
        <x:f>IF(C777&lt;-F777,1,0)</x:f>
        <x:v>0</x:v>
      </x:c>
      <x:c r="K777" s="36" t="n">
        <x:f>IF(C777&lt;-G777,1,0)</x:f>
        <x:v>0</x:v>
      </x:c>
      <x:c r="L777" s="36" t="n">
        <x:f>IF(C777&lt;-H777,1,0)</x:f>
        <x:v>0</x:v>
      </x:c>
      <x:c r="M777" s="36" t="n">
        <x:f>IF(C777&lt;-I777,1,0)</x:f>
        <x:v>0</x:v>
      </x:c>
      <x:c r="N777" s="34" t="n">
        <x:f>-F777</x:f>
        <x:v>-1.0423835895821885</x:v>
      </x:c>
      <x:c r="O777" s="34" t="n">
        <x:f>-H777</x:f>
        <x:v>-0.9891482878599908</x:v>
      </x:c>
      <x:c r="P777" s="34" t="n">
        <x:f>-G777</x:f>
        <x:v>-1.4742630029967558</x:v>
      </x:c>
      <x:c r="Q777" s="34" t="n">
        <x:f>-I777</x:f>
        <x:v>-1.651779104143301</x:v>
      </x:c>
      <x:c r="R777" s="36" t="n">
        <x:f>YEAR(A777)</x:f>
        <x:v>2024</x:v>
      </x:c>
    </x:row>
    <x:row r="778">
      <x:c r="A778" s="30" t="n">
        <x:v>45317</x:v>
      </x:c>
      <x:c r="B778" s="38" t="n">
        <x:v>4890.97</x:v>
      </x:c>
      <x:c r="C778" s="34" t="n">
        <x:f>(B778/B777-1)*100</x:f>
        <x:v>-0.06517972440622799</x:v>
      </x:c>
      <x:c r="D778" s="34" t="n">
        <x:f>Assumptions!$B$4*D777+(1-Assumptions!$B$4)*C777^2</x:f>
        <x:v>0.3941124195988975</x:v>
      </x:c>
      <x:c r="E778" s="34" t="n">
        <x:f>SQRT(D778)</x:f>
        <x:v>0.6277837363287595</x:v>
      </x:c>
      <x:c r="F778" s="34" t="n">
        <x:f>-Assumptions!$B$7*E778</x:f>
        <x:v>1.0326123556415072</x:v>
      </x:c>
      <x:c r="G778" s="34" t="n">
        <x:f>-Assumptions!$B$8*E778</x:f>
        <x:v>1.4604433603658251</x:v>
      </x:c>
      <x:c r="H778" s="34" t="n">
        <x:f>-Assumptions!$B$9*E778</x:f>
        <x:v>0.9798760780714825</x:v>
      </x:c>
      <x:c r="I778" s="34" t="n">
        <x:f>-Assumptions!$B$10*E778</x:f>
        <x:v>1.6362954374718193</x:v>
      </x:c>
      <x:c r="J778" s="36" t="n">
        <x:f>IF(C778&lt;-F778,1,0)</x:f>
        <x:v>0</x:v>
      </x:c>
      <x:c r="K778" s="36" t="n">
        <x:f>IF(C778&lt;-G778,1,0)</x:f>
        <x:v>0</x:v>
      </x:c>
      <x:c r="L778" s="36" t="n">
        <x:f>IF(C778&lt;-H778,1,0)</x:f>
        <x:v>0</x:v>
      </x:c>
      <x:c r="M778" s="36" t="n">
        <x:f>IF(C778&lt;-I778,1,0)</x:f>
        <x:v>0</x:v>
      </x:c>
      <x:c r="N778" s="34" t="n">
        <x:f>-F778</x:f>
        <x:v>-1.0326123556415072</x:v>
      </x:c>
      <x:c r="O778" s="34" t="n">
        <x:f>-H778</x:f>
        <x:v>-0.9798760780714825</x:v>
      </x:c>
      <x:c r="P778" s="34" t="n">
        <x:f>-G778</x:f>
        <x:v>-1.4604433603658251</x:v>
      </x:c>
      <x:c r="Q778" s="34" t="n">
        <x:f>-I778</x:f>
        <x:v>-1.6362954374718193</x:v>
      </x:c>
      <x:c r="R778" s="36" t="n">
        <x:f>YEAR(A778)</x:f>
        <x:v>2024</x:v>
      </x:c>
    </x:row>
    <x:row r="779">
      <x:c r="A779" s="30" t="n">
        <x:v>45320</x:v>
      </x:c>
      <x:c r="B779" s="38" t="n">
        <x:v>4927.93</x:v>
      </x:c>
      <x:c r="C779" s="34" t="n">
        <x:f>(B779/B778-1)*100</x:f>
        <x:v>0.7556783214781593</x:v>
      </x:c>
      <x:c r="D779" s="34" t="n">
        <x:f>Assumptions!$B$4*D778+(1-Assumptions!$B$4)*C778^2</x:f>
        <x:v>0.37072057821138393</x:v>
      </x:c>
      <x:c r="E779" s="34" t="n">
        <x:f>SQRT(D779)</x:f>
        <x:v>0.6088682765684085</x:v>
      </x:c>
      <x:c r="F779" s="34" t="n">
        <x:f>-Assumptions!$B$7*E779</x:f>
        <x:v>1.0014991930492392</x:v>
      </x:c>
      <x:c r="G779" s="34" t="n">
        <x:f>-Assumptions!$B$8*E779</x:f>
        <x:v>1.4164394207658275</x:v>
      </x:c>
      <x:c r="H779" s="34" t="n">
        <x:f>-Assumptions!$B$9*E779</x:f>
        <x:v>0.9503518877296266</x:v>
      </x:c>
      <x:c r="I779" s="34" t="n">
        <x:f>-Assumptions!$B$10*E779</x:f>
        <x:v>1.5869929807300354</x:v>
      </x:c>
      <x:c r="J779" s="36" t="n">
        <x:f>IF(C779&lt;-F779,1,0)</x:f>
        <x:v>0</x:v>
      </x:c>
      <x:c r="K779" s="36" t="n">
        <x:f>IF(C779&lt;-G779,1,0)</x:f>
        <x:v>0</x:v>
      </x:c>
      <x:c r="L779" s="36" t="n">
        <x:f>IF(C779&lt;-H779,1,0)</x:f>
        <x:v>0</x:v>
      </x:c>
      <x:c r="M779" s="36" t="n">
        <x:f>IF(C779&lt;-I779,1,0)</x:f>
        <x:v>0</x:v>
      </x:c>
      <x:c r="N779" s="34" t="n">
        <x:f>-F779</x:f>
        <x:v>-1.0014991930492392</x:v>
      </x:c>
      <x:c r="O779" s="34" t="n">
        <x:f>-H779</x:f>
        <x:v>-0.9503518877296266</x:v>
      </x:c>
      <x:c r="P779" s="34" t="n">
        <x:f>-G779</x:f>
        <x:v>-1.4164394207658275</x:v>
      </x:c>
      <x:c r="Q779" s="34" t="n">
        <x:f>-I779</x:f>
        <x:v>-1.5869929807300354</x:v>
      </x:c>
      <x:c r="R779" s="36" t="n">
        <x:f>YEAR(A779)</x:f>
        <x:v>2024</x:v>
      </x:c>
    </x:row>
    <x:row r="780">
      <x:c r="A780" s="30" t="n">
        <x:v>45321</x:v>
      </x:c>
      <x:c r="B780" s="38" t="n">
        <x:v>4924.97</x:v>
      </x:c>
      <x:c r="C780" s="34" t="n">
        <x:f>(B780/B779-1)*100</x:f>
        <x:v>-0.060065788272156695</x:v>
      </x:c>
      <x:c r="D780" s="34" t="n">
        <x:f>Assumptions!$B$4*D779+(1-Assumptions!$B$4)*C779^2</x:f>
        <x:v>0.38274032705182376</x:v>
      </x:c>
      <x:c r="E780" s="34" t="n">
        <x:f>SQRT(D780)</x:f>
        <x:v>0.6186601062391398</x:v>
      </x:c>
      <x:c r="F780" s="34" t="n">
        <x:f>-Assumptions!$B$7*E780</x:f>
        <x:v>1.0176053195976327</x:v>
      </x:c>
      <x:c r="G780" s="34" t="n">
        <x:f>-Assumptions!$B$8*E780</x:f>
        <x:v>1.4392186229033033</x:v>
      </x:c>
      <x:c r="H780" s="34" t="n">
        <x:f>-Assumptions!$B$9*E780</x:f>
        <x:v>0.9656354624698865</x:v>
      </x:c>
      <x:c r="I780" s="34" t="n">
        <x:f>-Assumptions!$B$10*E780</x:f>
        <x:v>1.6125150280331662</x:v>
      </x:c>
      <x:c r="J780" s="36" t="n">
        <x:f>IF(C780&lt;-F780,1,0)</x:f>
        <x:v>0</x:v>
      </x:c>
      <x:c r="K780" s="36" t="n">
        <x:f>IF(C780&lt;-G780,1,0)</x:f>
        <x:v>0</x:v>
      </x:c>
      <x:c r="L780" s="36" t="n">
        <x:f>IF(C780&lt;-H780,1,0)</x:f>
        <x:v>0</x:v>
      </x:c>
      <x:c r="M780" s="36" t="n">
        <x:f>IF(C780&lt;-I780,1,0)</x:f>
        <x:v>0</x:v>
      </x:c>
      <x:c r="N780" s="34" t="n">
        <x:f>-F780</x:f>
        <x:v>-1.0176053195976327</x:v>
      </x:c>
      <x:c r="O780" s="34" t="n">
        <x:f>-H780</x:f>
        <x:v>-0.9656354624698865</x:v>
      </x:c>
      <x:c r="P780" s="34" t="n">
        <x:f>-G780</x:f>
        <x:v>-1.4392186229033033</x:v>
      </x:c>
      <x:c r="Q780" s="34" t="n">
        <x:f>-I780</x:f>
        <x:v>-1.6125150280331662</x:v>
      </x:c>
      <x:c r="R780" s="36" t="n">
        <x:f>YEAR(A780)</x:f>
        <x:v>2024</x:v>
      </x:c>
    </x:row>
    <x:row r="781">
      <x:c r="A781" s="30" t="n">
        <x:v>45322</x:v>
      </x:c>
      <x:c r="B781" s="38" t="n">
        <x:v>4845.65</x:v>
      </x:c>
      <x:c r="C781" s="34" t="n">
        <x:f>(B781/B780-1)*100</x:f>
        <x:v>-1.610568186202166</x:v>
      </x:c>
      <x:c r="D781" s="34" t="n">
        <x:f>Assumptions!$B$4*D780+(1-Assumptions!$B$4)*C780^2</x:f>
        <x:v>0.3599923813639596</x:v>
      </x:c>
      <x:c r="E781" s="34" t="n">
        <x:f>SQRT(D781)</x:f>
        <x:v>0.5999936511030426</x:v>
      </x:c>
      <x:c r="F781" s="34" t="n">
        <x:f>-Assumptions!$B$7*E781</x:f>
        <x:v>0.9869017331646962</x:v>
      </x:c>
      <x:c r="G781" s="34" t="n">
        <x:f>-Assumptions!$B$8*E781</x:f>
        <x:v>1.3957939546815648</x:v>
      </x:c>
      <x:c r="H781" s="34" t="n">
        <x:f>-Assumptions!$B$9*E781</x:f>
        <x:v>0.9364999309296467</x:v>
      </x:c>
      <x:c r="I781" s="34" t="n">
        <x:f>-Assumptions!$B$10*E781</x:f>
        <x:v>1.563861592772822</x:v>
      </x:c>
      <x:c r="J781" s="36" t="n">
        <x:f>IF(C781&lt;-F781,1,0)</x:f>
        <x:v>1</x:v>
      </x:c>
      <x:c r="K781" s="36" t="n">
        <x:f>IF(C781&lt;-G781,1,0)</x:f>
        <x:v>1</x:v>
      </x:c>
      <x:c r="L781" s="36" t="n">
        <x:f>IF(C781&lt;-H781,1,0)</x:f>
        <x:v>1</x:v>
      </x:c>
      <x:c r="M781" s="36" t="n">
        <x:f>IF(C781&lt;-I781,1,0)</x:f>
        <x:v>1</x:v>
      </x:c>
      <x:c r="N781" s="34" t="n">
        <x:f>-F781</x:f>
        <x:v>-0.9869017331646962</x:v>
      </x:c>
      <x:c r="O781" s="34" t="n">
        <x:f>-H781</x:f>
        <x:v>-0.9364999309296467</x:v>
      </x:c>
      <x:c r="P781" s="34" t="n">
        <x:f>-G781</x:f>
        <x:v>-1.3957939546815648</x:v>
      </x:c>
      <x:c r="Q781" s="34" t="n">
        <x:f>-I781</x:f>
        <x:v>-1.563861592772822</x:v>
      </x:c>
      <x:c r="R781" s="36" t="n">
        <x:f>YEAR(A781)</x:f>
        <x:v>2024</x:v>
      </x:c>
    </x:row>
    <x:row r="782">
      <x:c r="A782" s="30" t="n">
        <x:v>45323</x:v>
      </x:c>
      <x:c r="B782" s="38" t="n">
        <x:v>4906.19</x:v>
      </x:c>
      <x:c r="C782" s="34" t="n">
        <x:f>(B782/B781-1)*100</x:f>
        <x:v>1.2493679898465615</x:v>
      </x:c>
      <x:c r="D782" s="34" t="n">
        <x:f>Assumptions!$B$4*D781+(1-Assumptions!$B$4)*C781^2</x:f>
        <x:v>0.49402863142651426</x:v>
      </x:c>
      <x:c r="E782" s="34" t="n">
        <x:f>SQRT(D782)</x:f>
        <x:v>0.7028717033901096</x:v>
      </x:c>
      <x:c r="F782" s="34" t="n">
        <x:f>-Assumptions!$B$7*E782</x:f>
        <x:v>1.1561210706027816</x:v>
      </x:c>
      <x:c r="G782" s="34" t="n">
        <x:f>-Assumptions!$B$8*E782</x:f>
        <x:v>1.6351240929050457</x:v>
      </x:c>
      <x:c r="H782" s="34" t="n">
        <x:f>-Assumptions!$B$9*E782</x:f>
        <x:v>1.0970771115112934</x:v>
      </x:c>
      <x:c r="I782" s="34" t="n">
        <x:f>-Assumptions!$B$10*E782</x:f>
        <x:v>1.8320094880301132</x:v>
      </x:c>
      <x:c r="J782" s="36" t="n">
        <x:f>IF(C782&lt;-F782,1,0)</x:f>
        <x:v>0</x:v>
      </x:c>
      <x:c r="K782" s="36" t="n">
        <x:f>IF(C782&lt;-G782,1,0)</x:f>
        <x:v>0</x:v>
      </x:c>
      <x:c r="L782" s="36" t="n">
        <x:f>IF(C782&lt;-H782,1,0)</x:f>
        <x:v>0</x:v>
      </x:c>
      <x:c r="M782" s="36" t="n">
        <x:f>IF(C782&lt;-I782,1,0)</x:f>
        <x:v>0</x:v>
      </x:c>
      <x:c r="N782" s="34" t="n">
        <x:f>-F782</x:f>
        <x:v>-1.1561210706027816</x:v>
      </x:c>
      <x:c r="O782" s="34" t="n">
        <x:f>-H782</x:f>
        <x:v>-1.0970771115112934</x:v>
      </x:c>
      <x:c r="P782" s="34" t="n">
        <x:f>-G782</x:f>
        <x:v>-1.6351240929050457</x:v>
      </x:c>
      <x:c r="Q782" s="34" t="n">
        <x:f>-I782</x:f>
        <x:v>-1.8320094880301132</x:v>
      </x:c>
      <x:c r="R782" s="36" t="n">
        <x:f>YEAR(A782)</x:f>
        <x:v>2024</x:v>
      </x:c>
    </x:row>
    <x:row r="783">
      <x:c r="A783" s="30" t="n">
        <x:v>45324</x:v>
      </x:c>
      <x:c r="B783" s="38" t="n">
        <x:v>4958.61</x:v>
      </x:c>
      <x:c r="C783" s="34" t="n">
        <x:f>(B783/B782-1)*100</x:f>
        <x:v>1.068446187367389</x:v>
      </x:c>
      <x:c r="D783" s="34" t="n">
        <x:f>Assumptions!$B$4*D782+(1-Assumptions!$B$4)*C782^2</x:f>
        <x:v>0.5580421359841177</x:v>
      </x:c>
      <x:c r="E783" s="34" t="n">
        <x:f>SQRT(D783)</x:f>
        <x:v>0.7470221790443157</x:v>
      </x:c>
      <x:c r="F783" s="34" t="n">
        <x:f>-Assumptions!$B$7*E783</x:f>
        <x:v>1.2287421406142351</x:v>
      </x:c>
      <x:c r="G783" s="34" t="n">
        <x:f>-Assumptions!$B$8*E783</x:f>
        <x:v>1.7378334580810997</x:v>
      </x:c>
      <x:c r="H783" s="34" t="n">
        <x:f>-Assumptions!$B$9*E783</x:f>
        <x:v>1.165989369707129</x:v>
      </x:c>
      <x:c r="I783" s="34" t="n">
        <x:f>-Assumptions!$B$10*E783</x:f>
        <x:v>1.9470860943430799</x:v>
      </x:c>
      <x:c r="J783" s="36" t="n">
        <x:f>IF(C783&lt;-F783,1,0)</x:f>
        <x:v>0</x:v>
      </x:c>
      <x:c r="K783" s="36" t="n">
        <x:f>IF(C783&lt;-G783,1,0)</x:f>
        <x:v>0</x:v>
      </x:c>
      <x:c r="L783" s="36" t="n">
        <x:f>IF(C783&lt;-H783,1,0)</x:f>
        <x:v>0</x:v>
      </x:c>
      <x:c r="M783" s="36" t="n">
        <x:f>IF(C783&lt;-I783,1,0)</x:f>
        <x:v>0</x:v>
      </x:c>
      <x:c r="N783" s="34" t="n">
        <x:f>-F783</x:f>
        <x:v>-1.2287421406142351</x:v>
      </x:c>
      <x:c r="O783" s="34" t="n">
        <x:f>-H783</x:f>
        <x:v>-1.165989369707129</x:v>
      </x:c>
      <x:c r="P783" s="34" t="n">
        <x:f>-G783</x:f>
        <x:v>-1.7378334580810997</x:v>
      </x:c>
      <x:c r="Q783" s="34" t="n">
        <x:f>-I783</x:f>
        <x:v>-1.9470860943430799</x:v>
      </x:c>
      <x:c r="R783" s="36" t="n">
        <x:f>YEAR(A783)</x:f>
        <x:v>2024</x:v>
      </x:c>
    </x:row>
    <x:row r="784">
      <x:c r="A784" s="30" t="n">
        <x:v>45327</x:v>
      </x:c>
      <x:c r="B784" s="38" t="n">
        <x:v>4942.81</x:v>
      </x:c>
      <x:c r="C784" s="34" t="n">
        <x:f>(B784/B783-1)*100</x:f>
        <x:v>-0.318637682737688</x:v>
      </x:c>
      <x:c r="D784" s="34" t="n">
        <x:f>Assumptions!$B$4*D783+(1-Assumptions!$B$4)*C783^2</x:f>
        <x:v>0.5930542431430652</x:v>
      </x:c>
      <x:c r="E784" s="34" t="n">
        <x:f>SQRT(D784)</x:f>
        <x:v>0.7701001513719272</x:v>
      </x:c>
      <x:c r="F784" s="34" t="n">
        <x:f>-Assumptions!$B$7*E784</x:f>
        <x:v>1.2667020270999927</x:v>
      </x:c>
      <x:c r="G784" s="34" t="n">
        <x:f>-Assumptions!$B$8*E784</x:f>
        <x:v>1.7915208499426123</x:v>
      </x:c>
      <x:c r="H784" s="34" t="n">
        <x:f>-Assumptions!$B$9*E784</x:f>
        <x:v>1.2020106166837787</x:v>
      </x:c>
      <x:c r="I784" s="34" t="n">
        <x:f>-Assumptions!$B$10*E784</x:f>
        <x:v>2.0072379884437517</x:v>
      </x:c>
      <x:c r="J784" s="36" t="n">
        <x:f>IF(C784&lt;-F784,1,0)</x:f>
        <x:v>0</x:v>
      </x:c>
      <x:c r="K784" s="36" t="n">
        <x:f>IF(C784&lt;-G784,1,0)</x:f>
        <x:v>0</x:v>
      </x:c>
      <x:c r="L784" s="36" t="n">
        <x:f>IF(C784&lt;-H784,1,0)</x:f>
        <x:v>0</x:v>
      </x:c>
      <x:c r="M784" s="36" t="n">
        <x:f>IF(C784&lt;-I784,1,0)</x:f>
        <x:v>0</x:v>
      </x:c>
      <x:c r="N784" s="34" t="n">
        <x:f>-F784</x:f>
        <x:v>-1.2667020270999927</x:v>
      </x:c>
      <x:c r="O784" s="34" t="n">
        <x:f>-H784</x:f>
        <x:v>-1.2020106166837787</x:v>
      </x:c>
      <x:c r="P784" s="34" t="n">
        <x:f>-G784</x:f>
        <x:v>-1.7915208499426123</x:v>
      </x:c>
      <x:c r="Q784" s="34" t="n">
        <x:f>-I784</x:f>
        <x:v>-2.0072379884437517</x:v>
      </x:c>
      <x:c r="R784" s="36" t="n">
        <x:f>YEAR(A784)</x:f>
        <x:v>2024</x:v>
      </x:c>
    </x:row>
    <x:row r="785">
      <x:c r="A785" s="30" t="n">
        <x:v>45328</x:v>
      </x:c>
      <x:c r="B785" s="38" t="n">
        <x:v>4954.23</x:v>
      </x:c>
      <x:c r="C785" s="34" t="n">
        <x:f>(B785/B784-1)*100</x:f>
        <x:v>0.2310426660138587</x:v>
      </x:c>
      <x:c r="D785" s="34" t="n">
        <x:f>Assumptions!$B$4*D784+(1-Assumptions!$B$4)*C784^2</x:f>
        <x:v>0.563562786926108</x:v>
      </x:c>
      <x:c r="E785" s="34" t="n">
        <x:f>SQRT(D785)</x:f>
        <x:v>0.750708190261774</x:v>
      </x:c>
      <x:c r="F785" s="34" t="n">
        <x:f>-Assumptions!$B$7*E785</x:f>
        <x:v>1.2348050895342555</x:v>
      </x:c>
      <x:c r="G785" s="34" t="n">
        <x:f>-Assumptions!$B$8*E785</x:f>
        <x:v>1.7464084024405246</x:v>
      </x:c>
      <x:c r="H785" s="34" t="n">
        <x:f>-Assumptions!$B$9*E785</x:f>
        <x:v>1.1717426793366719</x:v>
      </x:c>
      <x:c r="I785" s="34" t="n">
        <x:f>-Assumptions!$B$10*E785</x:f>
        <x:v>1.9566935482934933</x:v>
      </x:c>
      <x:c r="J785" s="36" t="n">
        <x:f>IF(C785&lt;-F785,1,0)</x:f>
        <x:v>0</x:v>
      </x:c>
      <x:c r="K785" s="36" t="n">
        <x:f>IF(C785&lt;-G785,1,0)</x:f>
        <x:v>0</x:v>
      </x:c>
      <x:c r="L785" s="36" t="n">
        <x:f>IF(C785&lt;-H785,1,0)</x:f>
        <x:v>0</x:v>
      </x:c>
      <x:c r="M785" s="36" t="n">
        <x:f>IF(C785&lt;-I785,1,0)</x:f>
        <x:v>0</x:v>
      </x:c>
      <x:c r="N785" s="34" t="n">
        <x:f>-F785</x:f>
        <x:v>-1.2348050895342555</x:v>
      </x:c>
      <x:c r="O785" s="34" t="n">
        <x:f>-H785</x:f>
        <x:v>-1.1717426793366719</x:v>
      </x:c>
      <x:c r="P785" s="34" t="n">
        <x:f>-G785</x:f>
        <x:v>-1.7464084024405246</x:v>
      </x:c>
      <x:c r="Q785" s="34" t="n">
        <x:f>-I785</x:f>
        <x:v>-1.9566935482934933</x:v>
      </x:c>
      <x:c r="R785" s="36" t="n">
        <x:f>YEAR(A785)</x:f>
        <x:v>2024</x:v>
      </x:c>
    </x:row>
    <x:row r="786">
      <x:c r="A786" s="30" t="n">
        <x:v>45329</x:v>
      </x:c>
      <x:c r="B786" s="38" t="n">
        <x:v>4995.06</x:v>
      </x:c>
      <x:c r="C786" s="34" t="n">
        <x:f>(B786/B785-1)*100</x:f>
        <x:v>0.8241442161546875</x:v>
      </x:c>
      <x:c r="D786" s="34" t="n">
        <x:f>Assumptions!$B$4*D785+(1-Assumptions!$B$4)*C785^2</x:f>
        <x:v>0.5329518625216689</x:v>
      </x:c>
      <x:c r="E786" s="34" t="n">
        <x:f>SQRT(D786)</x:f>
        <x:v>0.7300355214108892</x:v>
      </x:c>
      <x:c r="F786" s="34" t="n">
        <x:f>-Assumptions!$B$7*E786</x:f>
        <x:v>1.2008015751961107</x:v>
      </x:c>
      <x:c r="G786" s="34" t="n">
        <x:f>-Assumptions!$B$8*E786</x:f>
        <x:v>1.6983165832085185</x:v>
      </x:c>
      <x:c r="H786" s="34" t="n">
        <x:f>-Assumptions!$B$9*E786</x:f>
        <x:v>1.1394757496526773</x:v>
      </x:c>
      <x:c r="I786" s="34" t="n">
        <x:f>-Assumptions!$B$10*E786</x:f>
        <x:v>1.9028109900754604</x:v>
      </x:c>
      <x:c r="J786" s="36" t="n">
        <x:f>IF(C786&lt;-F786,1,0)</x:f>
        <x:v>0</x:v>
      </x:c>
      <x:c r="K786" s="36" t="n">
        <x:f>IF(C786&lt;-G786,1,0)</x:f>
        <x:v>0</x:v>
      </x:c>
      <x:c r="L786" s="36" t="n">
        <x:f>IF(C786&lt;-H786,1,0)</x:f>
        <x:v>0</x:v>
      </x:c>
      <x:c r="M786" s="36" t="n">
        <x:f>IF(C786&lt;-I786,1,0)</x:f>
        <x:v>0</x:v>
      </x:c>
      <x:c r="N786" s="34" t="n">
        <x:f>-F786</x:f>
        <x:v>-1.2008015751961107</x:v>
      </x:c>
      <x:c r="O786" s="34" t="n">
        <x:f>-H786</x:f>
        <x:v>-1.1394757496526773</x:v>
      </x:c>
      <x:c r="P786" s="34" t="n">
        <x:f>-G786</x:f>
        <x:v>-1.6983165832085185</x:v>
      </x:c>
      <x:c r="Q786" s="34" t="n">
        <x:f>-I786</x:f>
        <x:v>-1.9028109900754604</x:v>
      </x:c>
      <x:c r="R786" s="36" t="n">
        <x:f>YEAR(A786)</x:f>
        <x:v>2024</x:v>
      </x:c>
    </x:row>
    <x:row r="787">
      <x:c r="A787" s="30" t="n">
        <x:v>45330</x:v>
      </x:c>
      <x:c r="B787" s="38" t="n">
        <x:v>4997.91</x:v>
      </x:c>
      <x:c r="C787" s="34" t="n">
        <x:f>(B787/B786-1)*100</x:f>
        <x:v>0.05705637169521882</x:v>
      </x:c>
      <x:c r="D787" s="34" t="n">
        <x:f>Assumptions!$B$4*D786+(1-Assumptions!$B$4)*C786^2</x:f>
        <x:v>0.5417275721116422</x:v>
      </x:c>
      <x:c r="E787" s="34" t="n">
        <x:f>SQRT(D787)</x:f>
        <x:v>0.7360214481328939</x:v>
      </x:c>
      <x:c r="F787" s="34" t="n">
        <x:f>-Assumptions!$B$7*E787</x:f>
        <x:v>1.210647548475466</x:v>
      </x:c>
      <x:c r="G787" s="34" t="n">
        <x:f>-Assumptions!$B$8*E787</x:f>
        <x:v>1.7122419311124184</x:v>
      </x:c>
      <x:c r="H787" s="34" t="n">
        <x:f>-Assumptions!$B$9*E787</x:f>
        <x:v>1.1488188817864948</x:v>
      </x:c>
      <x:c r="I787" s="34" t="n">
        <x:f>-Assumptions!$B$10*E787</x:f>
        <x:v>1.9184130899984944</x:v>
      </x:c>
      <x:c r="J787" s="36" t="n">
        <x:f>IF(C787&lt;-F787,1,0)</x:f>
        <x:v>0</x:v>
      </x:c>
      <x:c r="K787" s="36" t="n">
        <x:f>IF(C787&lt;-G787,1,0)</x:f>
        <x:v>0</x:v>
      </x:c>
      <x:c r="L787" s="36" t="n">
        <x:f>IF(C787&lt;-H787,1,0)</x:f>
        <x:v>0</x:v>
      </x:c>
      <x:c r="M787" s="36" t="n">
        <x:f>IF(C787&lt;-I787,1,0)</x:f>
        <x:v>0</x:v>
      </x:c>
      <x:c r="N787" s="34" t="n">
        <x:f>-F787</x:f>
        <x:v>-1.210647548475466</x:v>
      </x:c>
      <x:c r="O787" s="34" t="n">
        <x:f>-H787</x:f>
        <x:v>-1.1488188817864948</x:v>
      </x:c>
      <x:c r="P787" s="34" t="n">
        <x:f>-G787</x:f>
        <x:v>-1.7122419311124184</x:v>
      </x:c>
      <x:c r="Q787" s="34" t="n">
        <x:f>-I787</x:f>
        <x:v>-1.9184130899984944</x:v>
      </x:c>
      <x:c r="R787" s="36" t="n">
        <x:f>YEAR(A787)</x:f>
        <x:v>2024</x:v>
      </x:c>
    </x:row>
    <x:row r="788">
      <x:c r="A788" s="30" t="n">
        <x:v>45331</x:v>
      </x:c>
      <x:c r="B788" s="38" t="n">
        <x:v>5026.61</x:v>
      </x:c>
      <x:c r="C788" s="34" t="n">
        <x:f>(B788/B787-1)*100</x:f>
        <x:v>0.5742400323335062</x:v>
      </x:c>
      <x:c r="D788" s="34" t="n">
        <x:f>Assumptions!$B$4*D787+(1-Assumptions!$B$4)*C787^2</x:f>
        <x:v>0.509419243558005</x:v>
      </x:c>
      <x:c r="E788" s="34" t="n">
        <x:f>SQRT(D788)</x:f>
        <x:v>0.7137361161928161</x:v>
      </x:c>
      <x:c r="F788" s="34" t="n">
        <x:f>-Assumptions!$B$7*E788</x:f>
        <x:v>1.1739914394060114</x:v>
      </x:c>
      <x:c r="G788" s="34" t="n">
        <x:f>-Assumptions!$B$8*E788</x:f>
        <x:v>1.6603984965313239</x:v>
      </x:c>
      <x:c r="H788" s="34" t="n">
        <x:f>-Assumptions!$B$9*E788</x:f>
        <x:v>1.1140348273481537</x:v>
      </x:c>
      <x:c r="I788" s="34" t="n">
        <x:f>-Assumptions!$B$10*E788</x:f>
        <x:v>1.8603271841906412</x:v>
      </x:c>
      <x:c r="J788" s="36" t="n">
        <x:f>IF(C788&lt;-F788,1,0)</x:f>
        <x:v>0</x:v>
      </x:c>
      <x:c r="K788" s="36" t="n">
        <x:f>IF(C788&lt;-G788,1,0)</x:f>
        <x:v>0</x:v>
      </x:c>
      <x:c r="L788" s="36" t="n">
        <x:f>IF(C788&lt;-H788,1,0)</x:f>
        <x:v>0</x:v>
      </x:c>
      <x:c r="M788" s="36" t="n">
        <x:f>IF(C788&lt;-I788,1,0)</x:f>
        <x:v>0</x:v>
      </x:c>
      <x:c r="N788" s="34" t="n">
        <x:f>-F788</x:f>
        <x:v>-1.1739914394060114</x:v>
      </x:c>
      <x:c r="O788" s="34" t="n">
        <x:f>-H788</x:f>
        <x:v>-1.1140348273481537</x:v>
      </x:c>
      <x:c r="P788" s="34" t="n">
        <x:f>-G788</x:f>
        <x:v>-1.6603984965313239</x:v>
      </x:c>
      <x:c r="Q788" s="34" t="n">
        <x:f>-I788</x:f>
        <x:v>-1.8603271841906412</x:v>
      </x:c>
      <x:c r="R788" s="36" t="n">
        <x:f>YEAR(A788)</x:f>
        <x:v>2024</x:v>
      </x:c>
    </x:row>
    <x:row r="789">
      <x:c r="A789" s="30" t="n">
        <x:v>45334</x:v>
      </x:c>
      <x:c r="B789" s="38" t="n">
        <x:v>5021.84</x:v>
      </x:c>
      <x:c r="C789" s="34" t="n">
        <x:f>(B789/B788-1)*100</x:f>
        <x:v>-0.09489496897510108</x:v>
      </x:c>
      <x:c r="D789" s="34" t="n">
        <x:f>Assumptions!$B$4*D788+(1-Assumptions!$B$4)*C788^2</x:f>
        <x:v>0.49863918582858796</x:v>
      </x:c>
      <x:c r="E789" s="34" t="n">
        <x:f>SQRT(D789)</x:f>
        <x:v>0.7061438846499968</x:v>
      </x:c>
      <x:c r="F789" s="34" t="n">
        <x:f>-Assumptions!$B$7*E789</x:f>
        <x:v>1.1615033298161497</x:v>
      </x:c>
      <x:c r="G789" s="34" t="n">
        <x:f>-Assumptions!$B$8*E789</x:f>
        <x:v>1.6427363248224605</x:v>
      </x:c>
      <x:c r="H789" s="34" t="n">
        <x:f>-Assumptions!$B$9*E789</x:f>
        <x:v>1.1021844947614994</x:v>
      </x:c>
      <x:c r="I789" s="34" t="n">
        <x:f>-Assumptions!$B$10*E789</x:f>
        <x:v>1.8405383092726726</x:v>
      </x:c>
      <x:c r="J789" s="36" t="n">
        <x:f>IF(C789&lt;-F789,1,0)</x:f>
        <x:v>0</x:v>
      </x:c>
      <x:c r="K789" s="36" t="n">
        <x:f>IF(C789&lt;-G789,1,0)</x:f>
        <x:v>0</x:v>
      </x:c>
      <x:c r="L789" s="36" t="n">
        <x:f>IF(C789&lt;-H789,1,0)</x:f>
        <x:v>0</x:v>
      </x:c>
      <x:c r="M789" s="36" t="n">
        <x:f>IF(C789&lt;-I789,1,0)</x:f>
        <x:v>0</x:v>
      </x:c>
      <x:c r="N789" s="34" t="n">
        <x:f>-F789</x:f>
        <x:v>-1.1615033298161497</x:v>
      </x:c>
      <x:c r="O789" s="34" t="n">
        <x:f>-H789</x:f>
        <x:v>-1.1021844947614994</x:v>
      </x:c>
      <x:c r="P789" s="34" t="n">
        <x:f>-G789</x:f>
        <x:v>-1.6427363248224605</x:v>
      </x:c>
      <x:c r="Q789" s="34" t="n">
        <x:f>-I789</x:f>
        <x:v>-1.8405383092726726</x:v>
      </x:c>
      <x:c r="R789" s="36" t="n">
        <x:f>YEAR(A789)</x:f>
        <x:v>2024</x:v>
      </x:c>
    </x:row>
    <x:row r="790">
      <x:c r="A790" s="30" t="n">
        <x:v>45335</x:v>
      </x:c>
      <x:c r="B790" s="38" t="n">
        <x:v>4953.17</x:v>
      </x:c>
      <x:c r="C790" s="34" t="n">
        <x:f>(B790/B789-1)*100</x:f>
        <x:v>-1.3674270785210219</x:v>
      </x:c>
      <x:c r="D790" s="34" t="n">
        <x:f>Assumptions!$B$4*D789+(1-Assumptions!$B$4)*C789^2</x:f>
        <x:v>0.4692611379870798</x:v>
      </x:c>
      <x:c r="E790" s="34" t="n">
        <x:f>SQRT(D790)</x:f>
        <x:v>0.6850263775848926</x:v>
      </x:c>
      <x:c r="F790" s="34" t="n">
        <x:f>-Assumptions!$B$7*E790</x:f>
        <x:v>1.1267681217279397</x:v>
      </x:c>
      <x:c r="G790" s="34" t="n">
        <x:f>-Assumptions!$B$8*E790</x:f>
        <x:v>1.5936096571565128</x:v>
      </x:c>
      <x:c r="H790" s="34" t="n">
        <x:f>-Assumptions!$B$9*E790</x:f>
        <x:v>1.0692232394690164</x:v>
      </x:c>
      <x:c r="I790" s="34" t="n">
        <x:f>-Assumptions!$B$10*E790</x:f>
        <x:v>1.7854962964555179</x:v>
      </x:c>
      <x:c r="J790" s="36" t="n">
        <x:f>IF(C790&lt;-F790,1,0)</x:f>
        <x:v>1</x:v>
      </x:c>
      <x:c r="K790" s="36" t="n">
        <x:f>IF(C790&lt;-G790,1,0)</x:f>
        <x:v>0</x:v>
      </x:c>
      <x:c r="L790" s="36" t="n">
        <x:f>IF(C790&lt;-H790,1,0)</x:f>
        <x:v>1</x:v>
      </x:c>
      <x:c r="M790" s="36" t="n">
        <x:f>IF(C790&lt;-I790,1,0)</x:f>
        <x:v>0</x:v>
      </x:c>
      <x:c r="N790" s="34" t="n">
        <x:f>-F790</x:f>
        <x:v>-1.1267681217279397</x:v>
      </x:c>
      <x:c r="O790" s="34" t="n">
        <x:f>-H790</x:f>
        <x:v>-1.0692232394690164</x:v>
      </x:c>
      <x:c r="P790" s="34" t="n">
        <x:f>-G790</x:f>
        <x:v>-1.5936096571565128</x:v>
      </x:c>
      <x:c r="Q790" s="34" t="n">
        <x:f>-I790</x:f>
        <x:v>-1.7854962964555179</x:v>
      </x:c>
      <x:c r="R790" s="36" t="n">
        <x:f>YEAR(A790)</x:f>
        <x:v>2024</x:v>
      </x:c>
    </x:row>
    <x:row r="791">
      <x:c r="A791" s="30" t="n">
        <x:v>45336</x:v>
      </x:c>
      <x:c r="B791" s="38" t="n">
        <x:v>5000.62</x:v>
      </x:c>
      <x:c r="C791" s="34" t="n">
        <x:f>(B791/B790-1)*100</x:f>
        <x:v>0.957972369210025</x:v>
      </x:c>
      <x:c r="D791" s="34" t="n">
        <x:f>Assumptions!$B$4*D790+(1-Assumptions!$B$4)*C790^2</x:f>
        <x:v>0.5532968786122072</x:v>
      </x:c>
      <x:c r="E791" s="34" t="n">
        <x:f>SQRT(D791)</x:f>
        <x:v>0.7438392827837256</x:v>
      </x:c>
      <x:c r="F791" s="34" t="n">
        <x:f>-Assumptions!$B$7*E791</x:f>
        <x:v>1.2235067421557932</x:v>
      </x:c>
      <x:c r="G791" s="34" t="n">
        <x:f>-Assumptions!$B$8*E791</x:f>
        <x:v>1.7304289341319834</x:v>
      </x:c>
      <x:c r="H791" s="34" t="n">
        <x:f>-Assumptions!$B$9*E791</x:f>
        <x:v>1.1610213469243564</x:v>
      </x:c>
      <x:c r="I791" s="34" t="n">
        <x:f>-Assumptions!$B$10*E791</x:f>
        <x:v>1.9387899911983781</x:v>
      </x:c>
      <x:c r="J791" s="36" t="n">
        <x:f>IF(C791&lt;-F791,1,0)</x:f>
        <x:v>0</x:v>
      </x:c>
      <x:c r="K791" s="36" t="n">
        <x:f>IF(C791&lt;-G791,1,0)</x:f>
        <x:v>0</x:v>
      </x:c>
      <x:c r="L791" s="36" t="n">
        <x:f>IF(C791&lt;-H791,1,0)</x:f>
        <x:v>0</x:v>
      </x:c>
      <x:c r="M791" s="36" t="n">
        <x:f>IF(C791&lt;-I791,1,0)</x:f>
        <x:v>0</x:v>
      </x:c>
      <x:c r="N791" s="34" t="n">
        <x:f>-F791</x:f>
        <x:v>-1.2235067421557932</x:v>
      </x:c>
      <x:c r="O791" s="34" t="n">
        <x:f>-H791</x:f>
        <x:v>-1.1610213469243564</x:v>
      </x:c>
      <x:c r="P791" s="34" t="n">
        <x:f>-G791</x:f>
        <x:v>-1.7304289341319834</x:v>
      </x:c>
      <x:c r="Q791" s="34" t="n">
        <x:f>-I791</x:f>
        <x:v>-1.9387899911983781</x:v>
      </x:c>
      <x:c r="R791" s="36" t="n">
        <x:f>YEAR(A791)</x:f>
        <x:v>2024</x:v>
      </x:c>
    </x:row>
    <x:row r="792">
      <x:c r="A792" s="30" t="n">
        <x:v>45337</x:v>
      </x:c>
      <x:c r="B792" s="38" t="n">
        <x:v>5029.73</x:v>
      </x:c>
      <x:c r="C792" s="34" t="n">
        <x:f>(B792/B791-1)*100</x:f>
        <x:v>0.5821278161507903</x:v>
      </x:c>
      <x:c r="D792" s="34" t="n">
        <x:f>Assumptions!$B$4*D791+(1-Assumptions!$B$4)*C791^2</x:f>
        <x:v>0.5751617295056669</x:v>
      </x:c>
      <x:c r="E792" s="34" t="n">
        <x:f>SQRT(D792)</x:f>
        <x:v>0.7583941781855046</x:v>
      </x:c>
      <x:c r="F792" s="34" t="n">
        <x:f>-Assumptions!$B$7*E792</x:f>
        <x:v>1.247447414647309</x:v>
      </x:c>
      <x:c r="G792" s="34" t="n">
        <x:f>-Assumptions!$B$8*E792</x:f>
        <x:v>1.7642886841067988</x:v>
      </x:c>
      <x:c r="H792" s="34" t="n">
        <x:f>-Assumptions!$B$9*E792</x:f>
        <x:v>1.1837393515455643</x:v>
      </x:c>
      <x:c r="I792" s="34" t="n">
        <x:f>-Assumptions!$B$10*E792</x:f>
        <x:v>1.976726795802597</x:v>
      </x:c>
      <x:c r="J792" s="36" t="n">
        <x:f>IF(C792&lt;-F792,1,0)</x:f>
        <x:v>0</x:v>
      </x:c>
      <x:c r="K792" s="36" t="n">
        <x:f>IF(C792&lt;-G792,1,0)</x:f>
        <x:v>0</x:v>
      </x:c>
      <x:c r="L792" s="36" t="n">
        <x:f>IF(C792&lt;-H792,1,0)</x:f>
        <x:v>0</x:v>
      </x:c>
      <x:c r="M792" s="36" t="n">
        <x:f>IF(C792&lt;-I792,1,0)</x:f>
        <x:v>0</x:v>
      </x:c>
      <x:c r="N792" s="34" t="n">
        <x:f>-F792</x:f>
        <x:v>-1.247447414647309</x:v>
      </x:c>
      <x:c r="O792" s="34" t="n">
        <x:f>-H792</x:f>
        <x:v>-1.1837393515455643</x:v>
      </x:c>
      <x:c r="P792" s="34" t="n">
        <x:f>-G792</x:f>
        <x:v>-1.7642886841067988</x:v>
      </x:c>
      <x:c r="Q792" s="34" t="n">
        <x:f>-I792</x:f>
        <x:v>-1.976726795802597</x:v>
      </x:c>
      <x:c r="R792" s="36" t="n">
        <x:f>YEAR(A792)</x:f>
        <x:v>2024</x:v>
      </x:c>
    </x:row>
    <x:row r="793">
      <x:c r="A793" s="30" t="n">
        <x:v>45338</x:v>
      </x:c>
      <x:c r="B793" s="38" t="n">
        <x:v>5005.57</x:v>
      </x:c>
      <x:c r="C793" s="34" t="n">
        <x:f>(B793/B792-1)*100</x:f>
        <x:v>-0.4803438753173572</x:v>
      </x:c>
      <x:c r="D793" s="34" t="n">
        <x:f>Assumptions!$B$4*D792+(1-Assumptions!$B$4)*C792^2</x:f>
        <x:v>0.5609843933955162</x:v>
      </x:c>
      <x:c r="E793" s="34" t="n">
        <x:f>SQRT(D793)</x:f>
        <x:v>0.7489889140671684</x:v>
      </x:c>
      <x:c r="F793" s="34" t="n">
        <x:f>-Assumptions!$B$7*E793</x:f>
        <x:v>1.231977131849827</x:v>
      </x:c>
      <x:c r="G793" s="34" t="n">
        <x:f>-Assumptions!$B$8*E793</x:f>
        <x:v>1.7424087679203148</x:v>
      </x:c>
      <x:c r="H793" s="34" t="n">
        <x:f>-Assumptions!$B$9*E793</x:f>
        <x:v>1.1690591475450651</x:v>
      </x:c>
      <x:c r="I793" s="34" t="n">
        <x:f>-Assumptions!$B$10*E793</x:f>
        <x:v>1.9522123175285186</x:v>
      </x:c>
      <x:c r="J793" s="36" t="n">
        <x:f>IF(C793&lt;-F793,1,0)</x:f>
        <x:v>0</x:v>
      </x:c>
      <x:c r="K793" s="36" t="n">
        <x:f>IF(C793&lt;-G793,1,0)</x:f>
        <x:v>0</x:v>
      </x:c>
      <x:c r="L793" s="36" t="n">
        <x:f>IF(C793&lt;-H793,1,0)</x:f>
        <x:v>0</x:v>
      </x:c>
      <x:c r="M793" s="36" t="n">
        <x:f>IF(C793&lt;-I793,1,0)</x:f>
        <x:v>0</x:v>
      </x:c>
      <x:c r="N793" s="34" t="n">
        <x:f>-F793</x:f>
        <x:v>-1.231977131849827</x:v>
      </x:c>
      <x:c r="O793" s="34" t="n">
        <x:f>-H793</x:f>
        <x:v>-1.1690591475450651</x:v>
      </x:c>
      <x:c r="P793" s="34" t="n">
        <x:f>-G793</x:f>
        <x:v>-1.7424087679203148</x:v>
      </x:c>
      <x:c r="Q793" s="34" t="n">
        <x:f>-I793</x:f>
        <x:v>-1.9522123175285186</x:v>
      </x:c>
      <x:c r="R793" s="36" t="n">
        <x:f>YEAR(A793)</x:f>
        <x:v>2024</x:v>
      </x:c>
    </x:row>
    <x:row r="794">
      <x:c r="A794" s="30" t="n">
        <x:v>45342</x:v>
      </x:c>
      <x:c r="B794" s="38" t="n">
        <x:v>4975.51</x:v>
      </x:c>
      <x:c r="C794" s="34" t="n">
        <x:f>(B794/B793-1)*100</x:f>
        <x:v>-0.6005310084565729</x:v>
      </x:c>
      <x:c r="D794" s="34" t="n">
        <x:f>Assumptions!$B$4*D793+(1-Assumptions!$B$4)*C793^2</x:f>
        <x:v>0.541169144105079</x:v>
      </x:c>
      <x:c r="E794" s="34" t="n">
        <x:f>SQRT(D794)</x:f>
        <x:v>0.7356419945225252</x:v>
      </x:c>
      <x:c r="F794" s="34" t="n">
        <x:f>-Assumptions!$B$7*E794</x:f>
        <x:v>1.210023402828191</x:v>
      </x:c>
      <x:c r="G794" s="34" t="n">
        <x:f>-Assumptions!$B$8*E794</x:f>
        <x:v>1.71135919001264</x:v>
      </x:c>
      <x:c r="H794" s="34" t="n">
        <x:f>-Assumptions!$B$9*E794</x:f>
        <x:v>1.1482266117195565</x:v>
      </x:c>
      <x:c r="I794" s="34" t="n">
        <x:f>-Assumptions!$B$10*E794</x:f>
        <x:v>1.9174240579872328</x:v>
      </x:c>
      <x:c r="J794" s="36" t="n">
        <x:f>IF(C794&lt;-F794,1,0)</x:f>
        <x:v>0</x:v>
      </x:c>
      <x:c r="K794" s="36" t="n">
        <x:f>IF(C794&lt;-G794,1,0)</x:f>
        <x:v>0</x:v>
      </x:c>
      <x:c r="L794" s="36" t="n">
        <x:f>IF(C794&lt;-H794,1,0)</x:f>
        <x:v>0</x:v>
      </x:c>
      <x:c r="M794" s="36" t="n">
        <x:f>IF(C794&lt;-I794,1,0)</x:f>
        <x:v>0</x:v>
      </x:c>
      <x:c r="N794" s="34" t="n">
        <x:f>-F794</x:f>
        <x:v>-1.210023402828191</x:v>
      </x:c>
      <x:c r="O794" s="34" t="n">
        <x:f>-H794</x:f>
        <x:v>-1.1482266117195565</x:v>
      </x:c>
      <x:c r="P794" s="34" t="n">
        <x:f>-G794</x:f>
        <x:v>-1.71135919001264</x:v>
      </x:c>
      <x:c r="Q794" s="34" t="n">
        <x:f>-I794</x:f>
        <x:v>-1.9174240579872328</x:v>
      </x:c>
      <x:c r="R794" s="36" t="n">
        <x:f>YEAR(A794)</x:f>
        <x:v>2024</x:v>
      </x:c>
    </x:row>
    <x:row r="795">
      <x:c r="A795" s="30" t="n">
        <x:v>45343</x:v>
      </x:c>
      <x:c r="B795" s="38" t="n">
        <x:v>4981.8</x:v>
      </x:c>
      <x:c r="C795" s="34" t="n">
        <x:f>(B795/B794-1)*100</x:f>
        <x:v>0.12641920124771833</x:v>
      </x:c>
      <x:c r="D795" s="34" t="n">
        <x:f>Assumptions!$B$4*D794+(1-Assumptions!$B$4)*C794^2</x:f>
        <x:v>0.5303372449858463</x:v>
      </x:c>
      <x:c r="E795" s="34" t="n">
        <x:f>SQRT(D795)</x:f>
        <x:v>0.7282425729012596</x:v>
      </x:c>
      <x:c r="F795" s="34" t="n">
        <x:f>-Assumptions!$B$7*E795</x:f>
        <x:v>1.1978524373371093</x:v>
      </x:c>
      <x:c r="G795" s="34" t="n">
        <x:f>-Assumptions!$B$8*E795</x:f>
        <x:v>1.694145561254877</x:v>
      </x:c>
      <x:c r="H795" s="34" t="n">
        <x:f>-Assumptions!$B$9*E795</x:f>
        <x:v>1.1366772264477372</x:v>
      </x:c>
      <x:c r="I795" s="34" t="n">
        <x:f>-Assumptions!$B$10*E795</x:f>
        <x:v>1.8981377351053883</x:v>
      </x:c>
      <x:c r="J795" s="36" t="n">
        <x:f>IF(C795&lt;-F795,1,0)</x:f>
        <x:v>0</x:v>
      </x:c>
      <x:c r="K795" s="36" t="n">
        <x:f>IF(C795&lt;-G795,1,0)</x:f>
        <x:v>0</x:v>
      </x:c>
      <x:c r="L795" s="36" t="n">
        <x:f>IF(C795&lt;-H795,1,0)</x:f>
        <x:v>0</x:v>
      </x:c>
      <x:c r="M795" s="36" t="n">
        <x:f>IF(C795&lt;-I795,1,0)</x:f>
        <x:v>0</x:v>
      </x:c>
      <x:c r="N795" s="34" t="n">
        <x:f>-F795</x:f>
        <x:v>-1.1978524373371093</x:v>
      </x:c>
      <x:c r="O795" s="34" t="n">
        <x:f>-H795</x:f>
        <x:v>-1.1366772264477372</x:v>
      </x:c>
      <x:c r="P795" s="34" t="n">
        <x:f>-G795</x:f>
        <x:v>-1.694145561254877</x:v>
      </x:c>
      <x:c r="Q795" s="34" t="n">
        <x:f>-I795</x:f>
        <x:v>-1.8981377351053883</x:v>
      </x:c>
      <x:c r="R795" s="36" t="n">
        <x:f>YEAR(A795)</x:f>
        <x:v>2024</x:v>
      </x:c>
    </x:row>
    <x:row r="796">
      <x:c r="A796" s="30" t="n">
        <x:v>45344</x:v>
      </x:c>
      <x:c r="B796" s="38" t="n">
        <x:v>5087.03</x:v>
      </x:c>
      <x:c r="C796" s="34" t="n">
        <x:f>(B796/B795-1)*100</x:f>
        <x:v>2.1122887309807714</x:v>
      </x:c>
      <x:c r="D796" s="34" t="n">
        <x:f>Assumptions!$B$4*D795+(1-Assumptions!$B$4)*C795^2</x:f>
        <x:v>0.4994759191533422</x:v>
      </x:c>
      <x:c r="E796" s="34" t="n">
        <x:f>SQRT(D796)</x:f>
        <x:v>0.7067361029078267</x:v>
      </x:c>
      <x:c r="F796" s="34" t="n">
        <x:f>-Assumptions!$B$7*E796</x:f>
        <x:v>1.1624774421654882</x:v>
      </x:c>
      <x:c r="G796" s="34" t="n">
        <x:f>-Assumptions!$B$8*E796</x:f>
        <x:v>1.6441140305075312</x:v>
      </x:c>
      <x:c r="H796" s="34" t="n">
        <x:f>-Assumptions!$B$9*E796</x:f>
        <x:v>1.1031088584719044</x:v>
      </x:c>
      <x:c r="I796" s="34" t="n">
        <x:f>-Assumptions!$B$10*E796</x:f>
        <x:v>1.8420819045861505</x:v>
      </x:c>
      <x:c r="J796" s="36" t="n">
        <x:f>IF(C796&lt;-F796,1,0)</x:f>
        <x:v>0</x:v>
      </x:c>
      <x:c r="K796" s="36" t="n">
        <x:f>IF(C796&lt;-G796,1,0)</x:f>
        <x:v>0</x:v>
      </x:c>
      <x:c r="L796" s="36" t="n">
        <x:f>IF(C796&lt;-H796,1,0)</x:f>
        <x:v>0</x:v>
      </x:c>
      <x:c r="M796" s="36" t="n">
        <x:f>IF(C796&lt;-I796,1,0)</x:f>
        <x:v>0</x:v>
      </x:c>
      <x:c r="N796" s="34" t="n">
        <x:f>-F796</x:f>
        <x:v>-1.1624774421654882</x:v>
      </x:c>
      <x:c r="O796" s="34" t="n">
        <x:f>-H796</x:f>
        <x:v>-1.1031088584719044</x:v>
      </x:c>
      <x:c r="P796" s="34" t="n">
        <x:f>-G796</x:f>
        <x:v>-1.6441140305075312</x:v>
      </x:c>
      <x:c r="Q796" s="34" t="n">
        <x:f>-I796</x:f>
        <x:v>-1.8420819045861505</x:v>
      </x:c>
      <x:c r="R796" s="36" t="n">
        <x:f>YEAR(A796)</x:f>
        <x:v>2024</x:v>
      </x:c>
    </x:row>
    <x:row r="797">
      <x:c r="A797" s="30" t="n">
        <x:v>45345</x:v>
      </x:c>
      <x:c r="B797" s="38" t="n">
        <x:v>5088.8</x:v>
      </x:c>
      <x:c r="C797" s="34" t="n">
        <x:f>(B797/B796-1)*100</x:f>
        <x:v>0.03479436920954537</x:v>
      </x:c>
      <x:c r="D797" s="34" t="n">
        <x:f>Assumptions!$B$4*D796+(1-Assumptions!$B$4)*C796^2</x:f>
        <x:v>0.7372131849858434</x:v>
      </x:c>
      <x:c r="E797" s="34" t="n">
        <x:f>SQRT(D797)</x:f>
        <x:v>0.8586111954696628</x:v>
      </x:c>
      <x:c r="F797" s="34" t="n">
        <x:f>-Assumptions!$B$7*E797</x:f>
        <x:v>1.412289739009415</x:v>
      </x:c>
      <x:c r="G797" s="34" t="n">
        <x:f>-Assumptions!$B$8*E797</x:f>
        <x:v>1.9974283292085144</x:v>
      </x:c>
      <x:c r="H797" s="34" t="n">
        <x:f>-Assumptions!$B$9*E797</x:f>
        <x:v>1.3401630563498523</x:v>
      </x:c>
      <x:c r="I797" s="34" t="n">
        <x:f>-Assumptions!$B$10*E797</x:f>
        <x:v>2.237938800271006</x:v>
      </x:c>
      <x:c r="J797" s="36" t="n">
        <x:f>IF(C797&lt;-F797,1,0)</x:f>
        <x:v>0</x:v>
      </x:c>
      <x:c r="K797" s="36" t="n">
        <x:f>IF(C797&lt;-G797,1,0)</x:f>
        <x:v>0</x:v>
      </x:c>
      <x:c r="L797" s="36" t="n">
        <x:f>IF(C797&lt;-H797,1,0)</x:f>
        <x:v>0</x:v>
      </x:c>
      <x:c r="M797" s="36" t="n">
        <x:f>IF(C797&lt;-I797,1,0)</x:f>
        <x:v>0</x:v>
      </x:c>
      <x:c r="N797" s="34" t="n">
        <x:f>-F797</x:f>
        <x:v>-1.412289739009415</x:v>
      </x:c>
      <x:c r="O797" s="34" t="n">
        <x:f>-H797</x:f>
        <x:v>-1.3401630563498523</x:v>
      </x:c>
      <x:c r="P797" s="34" t="n">
        <x:f>-G797</x:f>
        <x:v>-1.9974283292085144</x:v>
      </x:c>
      <x:c r="Q797" s="34" t="n">
        <x:f>-I797</x:f>
        <x:v>-2.237938800271006</x:v>
      </x:c>
      <x:c r="R797" s="36" t="n">
        <x:f>YEAR(A797)</x:f>
        <x:v>2024</x:v>
      </x:c>
    </x:row>
    <x:row r="798">
      <x:c r="A798" s="30" t="n">
        <x:v>45348</x:v>
      </x:c>
      <x:c r="B798" s="38" t="n">
        <x:v>5069.53</x:v>
      </x:c>
      <x:c r="C798" s="34" t="n">
        <x:f>(B798/B797-1)*100</x:f>
        <x:v>-0.3786747366766319</x:v>
      </x:c>
      <x:c r="D798" s="34" t="n">
        <x:f>Assumptions!$B$4*D797+(1-Assumptions!$B$4)*C797^2</x:f>
        <x:v>0.6930530327744141</x:v>
      </x:c>
      <x:c r="E798" s="34" t="n">
        <x:f>SQRT(D798)</x:f>
        <x:v>0.8324980677301383</x:v>
      </x:c>
      <x:c r="F798" s="34" t="n">
        <x:f>-Assumptions!$B$7*E798</x:f>
        <x:v>1.369337466136011</x:v>
      </x:c>
      <x:c r="G798" s="34" t="n">
        <x:f>-Assumptions!$B$8*E798</x:f>
        <x:v>1.936680110007115</x:v>
      </x:c>
      <x:c r="H798" s="34" t="n">
        <x:f>-Assumptions!$B$9*E798</x:f>
        <x:v>1.299404387854839</x:v>
      </x:c>
      <x:c r="I798" s="34" t="n">
        <x:f>-Assumptions!$B$10*E798</x:f>
        <x:v>2.1698758841652497</x:v>
      </x:c>
      <x:c r="J798" s="36" t="n">
        <x:f>IF(C798&lt;-F798,1,0)</x:f>
        <x:v>0</x:v>
      </x:c>
      <x:c r="K798" s="36" t="n">
        <x:f>IF(C798&lt;-G798,1,0)</x:f>
        <x:v>0</x:v>
      </x:c>
      <x:c r="L798" s="36" t="n">
        <x:f>IF(C798&lt;-H798,1,0)</x:f>
        <x:v>0</x:v>
      </x:c>
      <x:c r="M798" s="36" t="n">
        <x:f>IF(C798&lt;-I798,1,0)</x:f>
        <x:v>0</x:v>
      </x:c>
      <x:c r="N798" s="34" t="n">
        <x:f>-F798</x:f>
        <x:v>-1.369337466136011</x:v>
      </x:c>
      <x:c r="O798" s="34" t="n">
        <x:f>-H798</x:f>
        <x:v>-1.299404387854839</x:v>
      </x:c>
      <x:c r="P798" s="34" t="n">
        <x:f>-G798</x:f>
        <x:v>-1.936680110007115</x:v>
      </x:c>
      <x:c r="Q798" s="34" t="n">
        <x:f>-I798</x:f>
        <x:v>-2.1698758841652497</x:v>
      </x:c>
      <x:c r="R798" s="36" t="n">
        <x:f>YEAR(A798)</x:f>
        <x:v>2024</x:v>
      </x:c>
    </x:row>
    <x:row r="799">
      <x:c r="A799" s="30" t="n">
        <x:v>45349</x:v>
      </x:c>
      <x:c r="B799" s="38" t="n">
        <x:v>5078.18</x:v>
      </x:c>
      <x:c r="C799" s="34" t="n">
        <x:f>(B799/B798-1)*100</x:f>
        <x:v>0.17062725735916828</x:v>
      </x:c>
      <x:c r="D799" s="34" t="n">
        <x:f>Assumptions!$B$4*D798+(1-Assumptions!$B$4)*C798^2</x:f>
        <x:v>0.6600735241797762</x:v>
      </x:c>
      <x:c r="E799" s="34" t="n">
        <x:f>SQRT(D799)</x:f>
        <x:v>0.8124490902079811</x:v>
      </x:c>
      <x:c r="F799" s="34" t="n">
        <x:f>-Assumptions!$B$7*E799</x:f>
        <x:v>1.336359832742022</x:v>
      </x:c>
      <x:c r="G799" s="34" t="n">
        <x:f>-Assumptions!$B$8*E799</x:f>
        <x:v>1.8900392137717517</x:v>
      </x:c>
      <x:c r="H799" s="34" t="n">
        <x:f>-Assumptions!$B$9*E799</x:f>
        <x:v>1.2681109466155986</x:v>
      </x:c>
      <x:c r="I799" s="34" t="n">
        <x:f>-Assumptions!$B$10*E799</x:f>
        <x:v>2.1176189546733695</x:v>
      </x:c>
      <x:c r="J799" s="36" t="n">
        <x:f>IF(C799&lt;-F799,1,0)</x:f>
        <x:v>0</x:v>
      </x:c>
      <x:c r="K799" s="36" t="n">
        <x:f>IF(C799&lt;-G799,1,0)</x:f>
        <x:v>0</x:v>
      </x:c>
      <x:c r="L799" s="36" t="n">
        <x:f>IF(C799&lt;-H799,1,0)</x:f>
        <x:v>0</x:v>
      </x:c>
      <x:c r="M799" s="36" t="n">
        <x:f>IF(C799&lt;-I799,1,0)</x:f>
        <x:v>0</x:v>
      </x:c>
      <x:c r="N799" s="34" t="n">
        <x:f>-F799</x:f>
        <x:v>-1.336359832742022</x:v>
      </x:c>
      <x:c r="O799" s="34" t="n">
        <x:f>-H799</x:f>
        <x:v>-1.2681109466155986</x:v>
      </x:c>
      <x:c r="P799" s="34" t="n">
        <x:f>-G799</x:f>
        <x:v>-1.8900392137717517</x:v>
      </x:c>
      <x:c r="Q799" s="34" t="n">
        <x:f>-I799</x:f>
        <x:v>-2.1176189546733695</x:v>
      </x:c>
      <x:c r="R799" s="36" t="n">
        <x:f>YEAR(A799)</x:f>
        <x:v>2024</x:v>
      </x:c>
    </x:row>
    <x:row r="800">
      <x:c r="A800" s="30" t="n">
        <x:v>45350</x:v>
      </x:c>
      <x:c r="B800" s="38" t="n">
        <x:v>5069.76</x:v>
      </x:c>
      <x:c r="C800" s="34" t="n">
        <x:f>(B800/B799-1)*100</x:f>
        <x:v>-0.16580743494716277</x:v>
      </x:c>
      <x:c r="D800" s="34" t="n">
        <x:f>Assumptions!$B$4*D799+(1-Assumptions!$B$4)*C799^2</x:f>
        <x:v>0.6222159323862242</x:v>
      </x:c>
      <x:c r="E800" s="34" t="n">
        <x:f>SQRT(D800)</x:f>
        <x:v>0.7888066508252983</x:v>
      </x:c>
      <x:c r="F800" s="34" t="n">
        <x:f>-Assumptions!$B$7*E800</x:f>
        <x:v>1.297471480573436</x:v>
      </x:c>
      <x:c r="G800" s="34" t="n">
        <x:f>-Assumptions!$B$8*E800</x:f>
        <x:v>1.8350386751767083</x:v>
      </x:c>
      <x:c r="H800" s="34" t="n">
        <x:f>-Assumptions!$B$9*E800</x:f>
        <x:v>1.2312086513859974</x:v>
      </x:c>
      <x:c r="I800" s="34" t="n">
        <x:f>-Assumptions!$B$10*E800</x:f>
        <x:v>2.055995797758185</x:v>
      </x:c>
      <x:c r="J800" s="36" t="n">
        <x:f>IF(C800&lt;-F800,1,0)</x:f>
        <x:v>0</x:v>
      </x:c>
      <x:c r="K800" s="36" t="n">
        <x:f>IF(C800&lt;-G800,1,0)</x:f>
        <x:v>0</x:v>
      </x:c>
      <x:c r="L800" s="36" t="n">
        <x:f>IF(C800&lt;-H800,1,0)</x:f>
        <x:v>0</x:v>
      </x:c>
      <x:c r="M800" s="36" t="n">
        <x:f>IF(C800&lt;-I800,1,0)</x:f>
        <x:v>0</x:v>
      </x:c>
      <x:c r="N800" s="34" t="n">
        <x:f>-F800</x:f>
        <x:v>-1.297471480573436</x:v>
      </x:c>
      <x:c r="O800" s="34" t="n">
        <x:f>-H800</x:f>
        <x:v>-1.2312086513859974</x:v>
      </x:c>
      <x:c r="P800" s="34" t="n">
        <x:f>-G800</x:f>
        <x:v>-1.8350386751767083</x:v>
      </x:c>
      <x:c r="Q800" s="34" t="n">
        <x:f>-I800</x:f>
        <x:v>-2.055995797758185</x:v>
      </x:c>
      <x:c r="R800" s="36" t="n">
        <x:f>YEAR(A800)</x:f>
        <x:v>2024</x:v>
      </x:c>
    </x:row>
    <x:row r="801">
      <x:c r="A801" s="30" t="n">
        <x:v>45351</x:v>
      </x:c>
      <x:c r="B801" s="38" t="n">
        <x:v>5096.27</x:v>
      </x:c>
      <x:c r="C801" s="34" t="n">
        <x:f>(B801/B800-1)*100</x:f>
        <x:v>0.5229044372909275</x:v>
      </x:c>
      <x:c r="D801" s="34" t="n">
        <x:f>Assumptions!$B$4*D800+(1-Assumptions!$B$4)*C800^2</x:f>
        <x:v>0.5865325027720762</x:v>
      </x:c>
      <x:c r="E801" s="34" t="n">
        <x:f>SQRT(D801)</x:f>
        <x:v>0.7658541001862406</x:v>
      </x:c>
      <x:c r="F801" s="34" t="n">
        <x:f>-Assumptions!$B$7*E801</x:f>
        <x:v>1.2597178944069944</x:v>
      </x:c>
      <x:c r="G801" s="34" t="n">
        <x:f>-Assumptions!$B$8*E801</x:f>
        <x:v>1.7816430577937215</x:v>
      </x:c>
      <x:c r="H801" s="34" t="n">
        <x:f>-Assumptions!$B$9*E801</x:f>
        <x:v>1.1953831688186074</x:v>
      </x:c>
      <x:c r="I801" s="34" t="n">
        <x:f>-Assumptions!$B$10*E801</x:f>
        <x:v>1.9961708107193954</x:v>
      </x:c>
      <x:c r="J801" s="36" t="n">
        <x:f>IF(C801&lt;-F801,1,0)</x:f>
        <x:v>0</x:v>
      </x:c>
      <x:c r="K801" s="36" t="n">
        <x:f>IF(C801&lt;-G801,1,0)</x:f>
        <x:v>0</x:v>
      </x:c>
      <x:c r="L801" s="36" t="n">
        <x:f>IF(C801&lt;-H801,1,0)</x:f>
        <x:v>0</x:v>
      </x:c>
      <x:c r="M801" s="36" t="n">
        <x:f>IF(C801&lt;-I801,1,0)</x:f>
        <x:v>0</x:v>
      </x:c>
      <x:c r="N801" s="34" t="n">
        <x:f>-F801</x:f>
        <x:v>-1.2597178944069944</x:v>
      </x:c>
      <x:c r="O801" s="34" t="n">
        <x:f>-H801</x:f>
        <x:v>-1.1953831688186074</x:v>
      </x:c>
      <x:c r="P801" s="34" t="n">
        <x:f>-G801</x:f>
        <x:v>-1.7816430577937215</x:v>
      </x:c>
      <x:c r="Q801" s="34" t="n">
        <x:f>-I801</x:f>
        <x:v>-1.9961708107193954</x:v>
      </x:c>
      <x:c r="R801" s="36" t="n">
        <x:f>YEAR(A801)</x:f>
        <x:v>2024</x:v>
      </x:c>
    </x:row>
    <x:row r="802">
      <x:c r="A802" s="30" t="n">
        <x:v>45352</x:v>
      </x:c>
      <x:c r="B802" s="38" t="n">
        <x:v>5137.08</x:v>
      </x:c>
      <x:c r="C802" s="34" t="n">
        <x:f>(B802/B801-1)*100</x:f>
        <x:v>0.8007817482197588</x:v>
      </x:c>
      <x:c r="D802" s="34" t="n">
        <x:f>Assumptions!$B$4*D801+(1-Assumptions!$B$4)*C801^2</x:f>
        <x:v>0.5677462956380641</x:v>
      </x:c>
      <x:c r="E802" s="34" t="n">
        <x:f>SQRT(D802)</x:f>
        <x:v>0.7534894130895696</x:v>
      </x:c>
      <x:c r="F802" s="34" t="n">
        <x:f>-Assumptions!$B$7*E802</x:f>
        <x:v>1.2393797939899152</x:v>
      </x:c>
      <x:c r="G802" s="34" t="n">
        <x:f>-Assumptions!$B$8*E802</x:f>
        <x:v>1.7528784942532007</x:v>
      </x:c>
      <x:c r="H802" s="34" t="n">
        <x:f>-Assumptions!$B$9*E802</x:f>
        <x:v>1.176083750248576</x:v>
      </x:c>
      <x:c r="I802" s="34" t="n">
        <x:f>-Assumptions!$B$10*E802</x:f>
        <x:v>1.963942704269288</x:v>
      </x:c>
      <x:c r="J802" s="36" t="n">
        <x:f>IF(C802&lt;-F802,1,0)</x:f>
        <x:v>0</x:v>
      </x:c>
      <x:c r="K802" s="36" t="n">
        <x:f>IF(C802&lt;-G802,1,0)</x:f>
        <x:v>0</x:v>
      </x:c>
      <x:c r="L802" s="36" t="n">
        <x:f>IF(C802&lt;-H802,1,0)</x:f>
        <x:v>0</x:v>
      </x:c>
      <x:c r="M802" s="36" t="n">
        <x:f>IF(C802&lt;-I802,1,0)</x:f>
        <x:v>0</x:v>
      </x:c>
      <x:c r="N802" s="34" t="n">
        <x:f>-F802</x:f>
        <x:v>-1.2393797939899152</x:v>
      </x:c>
      <x:c r="O802" s="34" t="n">
        <x:f>-H802</x:f>
        <x:v>-1.176083750248576</x:v>
      </x:c>
      <x:c r="P802" s="34" t="n">
        <x:f>-G802</x:f>
        <x:v>-1.7528784942532007</x:v>
      </x:c>
      <x:c r="Q802" s="34" t="n">
        <x:f>-I802</x:f>
        <x:v>-1.963942704269288</x:v>
      </x:c>
      <x:c r="R802" s="36" t="n">
        <x:f>YEAR(A802)</x:f>
        <x:v>2024</x:v>
      </x:c>
    </x:row>
    <x:row r="803">
      <x:c r="A803" s="30" t="n">
        <x:v>45355</x:v>
      </x:c>
      <x:c r="B803" s="38" t="n">
        <x:v>5130.95</x:v>
      </x:c>
      <x:c r="C803" s="34" t="n">
        <x:f>(B803/B802-1)*100</x:f>
        <x:v>-0.11932849011501157</x:v>
      </x:c>
      <x:c r="D803" s="34" t="n">
        <x:f>Assumptions!$B$4*D802+(1-Assumptions!$B$4)*C802^2</x:f>
        <x:v>0.5721566023966939</x:v>
      </x:c>
      <x:c r="E803" s="34" t="n">
        <x:f>SQRT(D803)</x:f>
        <x:v>0.7564103399588704</x:v>
      </x:c>
      <x:c r="F803" s="34" t="n">
        <x:f>-Assumptions!$B$7*E803</x:f>
        <x:v>1.2441842911449446</x:v>
      </x:c>
      <x:c r="G803" s="34" t="n">
        <x:f>-Assumptions!$B$8*E803</x:f>
        <x:v>1.7596735862658275</x:v>
      </x:c>
      <x:c r="H803" s="34" t="n">
        <x:f>-Assumptions!$B$9*E803</x:f>
        <x:v>1.1806428781765494</x:v>
      </x:c>
      <x:c r="I803" s="34" t="n">
        <x:f>-Assumptions!$B$10*E803</x:f>
        <x:v>1.9715559937396014</x:v>
      </x:c>
      <x:c r="J803" s="36" t="n">
        <x:f>IF(C803&lt;-F803,1,0)</x:f>
        <x:v>0</x:v>
      </x:c>
      <x:c r="K803" s="36" t="n">
        <x:f>IF(C803&lt;-G803,1,0)</x:f>
        <x:v>0</x:v>
      </x:c>
      <x:c r="L803" s="36" t="n">
        <x:f>IF(C803&lt;-H803,1,0)</x:f>
        <x:v>0</x:v>
      </x:c>
      <x:c r="M803" s="36" t="n">
        <x:f>IF(C803&lt;-I803,1,0)</x:f>
        <x:v>0</x:v>
      </x:c>
      <x:c r="N803" s="34" t="n">
        <x:f>-F803</x:f>
        <x:v>-1.2441842911449446</x:v>
      </x:c>
      <x:c r="O803" s="34" t="n">
        <x:f>-H803</x:f>
        <x:v>-1.1806428781765494</x:v>
      </x:c>
      <x:c r="P803" s="34" t="n">
        <x:f>-G803</x:f>
        <x:v>-1.7596735862658275</x:v>
      </x:c>
      <x:c r="Q803" s="34" t="n">
        <x:f>-I803</x:f>
        <x:v>-1.9715559937396014</x:v>
      </x:c>
      <x:c r="R803" s="36" t="n">
        <x:f>YEAR(A803)</x:f>
        <x:v>2024</x:v>
      </x:c>
    </x:row>
    <x:row r="804">
      <x:c r="A804" s="30" t="n">
        <x:v>45356</x:v>
      </x:c>
      <x:c r="B804" s="38" t="n">
        <x:v>5078.65</x:v>
      </x:c>
      <x:c r="C804" s="34" t="n">
        <x:f>(B804/B803-1)*100</x:f>
        <x:v>-1.0193044173106403</x:v>
      </x:c>
      <x:c r="D804" s="34" t="n">
        <x:f>Assumptions!$B$4*D803+(1-Assumptions!$B$4)*C803^2</x:f>
        <x:v>0.5386815635660799</x:v>
      </x:c>
      <x:c r="E804" s="34" t="n">
        <x:f>SQRT(D804)</x:f>
        <x:v>0.7339492922307915</x:v>
      </x:c>
      <x:c r="F804" s="34" t="n">
        <x:f>-Assumptions!$B$7*E804</x:f>
        <x:v>1.2072391553242838</x:v>
      </x:c>
      <x:c r="G804" s="34" t="n">
        <x:f>-Assumptions!$B$8*E804</x:f>
        <x:v>1.7074213756348813</x:v>
      </x:c>
      <x:c r="H804" s="34" t="n">
        <x:f>-Assumptions!$B$9*E804</x:f>
        <x:v>1.145584557797188</x:v>
      </x:c>
      <x:c r="I804" s="34" t="n">
        <x:f>-Assumptions!$B$10*E804</x:f>
        <x:v>1.91301209113196</x:v>
      </x:c>
      <x:c r="J804" s="36" t="n">
        <x:f>IF(C804&lt;-F804,1,0)</x:f>
        <x:v>0</x:v>
      </x:c>
      <x:c r="K804" s="36" t="n">
        <x:f>IF(C804&lt;-G804,1,0)</x:f>
        <x:v>0</x:v>
      </x:c>
      <x:c r="L804" s="36" t="n">
        <x:f>IF(C804&lt;-H804,1,0)</x:f>
        <x:v>0</x:v>
      </x:c>
      <x:c r="M804" s="36" t="n">
        <x:f>IF(C804&lt;-I804,1,0)</x:f>
        <x:v>0</x:v>
      </x:c>
      <x:c r="N804" s="34" t="n">
        <x:f>-F804</x:f>
        <x:v>-1.2072391553242838</x:v>
      </x:c>
      <x:c r="O804" s="34" t="n">
        <x:f>-H804</x:f>
        <x:v>-1.145584557797188</x:v>
      </x:c>
      <x:c r="P804" s="34" t="n">
        <x:f>-G804</x:f>
        <x:v>-1.7074213756348813</x:v>
      </x:c>
      <x:c r="Q804" s="34" t="n">
        <x:f>-I804</x:f>
        <x:v>-1.91301209113196</x:v>
      </x:c>
      <x:c r="R804" s="36" t="n">
        <x:f>YEAR(A804)</x:f>
        <x:v>2024</x:v>
      </x:c>
    </x:row>
    <x:row r="805">
      <x:c r="A805" s="30" t="n">
        <x:v>45357</x:v>
      </x:c>
      <x:c r="B805" s="38" t="n">
        <x:v>5104.76</x:v>
      </x:c>
      <x:c r="C805" s="34" t="n">
        <x:f>(B805/B804-1)*100</x:f>
        <x:v>0.5141130024711504</x:v>
      </x:c>
      <x:c r="D805" s="34" t="n">
        <x:f>Assumptions!$B$4*D804+(1-Assumptions!$B$4)*C804^2</x:f>
        <x:v>0.5686995594610541</x:v>
      </x:c>
      <x:c r="E805" s="34" t="n">
        <x:f>SQRT(D805)</x:f>
        <x:v>0.754121713956742</x:v>
      </x:c>
      <x:c r="F805" s="34" t="n">
        <x:f>-Assumptions!$B$7*E805</x:f>
        <x:v>1.2404198363646082</x:v>
      </x:c>
      <x:c r="G805" s="34" t="n">
        <x:f>-Assumptions!$B$8*E805</x:f>
        <x:v>1.7543494460313014</x:v>
      </x:c>
      <x:c r="H805" s="34" t="n">
        <x:f>-Assumptions!$B$9*E805</x:f>
        <x:v>1.1770706768891246</x:v>
      </x:c>
      <x:c r="I805" s="34" t="n">
        <x:f>-Assumptions!$B$10*E805</x:f>
        <x:v>1.9655907734437368</x:v>
      </x:c>
      <x:c r="J805" s="36" t="n">
        <x:f>IF(C805&lt;-F805,1,0)</x:f>
        <x:v>0</x:v>
      </x:c>
      <x:c r="K805" s="36" t="n">
        <x:f>IF(C805&lt;-G805,1,0)</x:f>
        <x:v>0</x:v>
      </x:c>
      <x:c r="L805" s="36" t="n">
        <x:f>IF(C805&lt;-H805,1,0)</x:f>
        <x:v>0</x:v>
      </x:c>
      <x:c r="M805" s="36" t="n">
        <x:f>IF(C805&lt;-I805,1,0)</x:f>
        <x:v>0</x:v>
      </x:c>
      <x:c r="N805" s="34" t="n">
        <x:f>-F805</x:f>
        <x:v>-1.2404198363646082</x:v>
      </x:c>
      <x:c r="O805" s="34" t="n">
        <x:f>-H805</x:f>
        <x:v>-1.1770706768891246</x:v>
      </x:c>
      <x:c r="P805" s="34" t="n">
        <x:f>-G805</x:f>
        <x:v>-1.7543494460313014</x:v>
      </x:c>
      <x:c r="Q805" s="34" t="n">
        <x:f>-I805</x:f>
        <x:v>-1.9655907734437368</x:v>
      </x:c>
      <x:c r="R805" s="36" t="n">
        <x:f>YEAR(A805)</x:f>
        <x:v>2024</x:v>
      </x:c>
    </x:row>
    <x:row r="806">
      <x:c r="A806" s="30" t="n">
        <x:v>45358</x:v>
      </x:c>
      <x:c r="B806" s="38" t="n">
        <x:v>5157.36</x:v>
      </x:c>
      <x:c r="C806" s="34" t="n">
        <x:f>(B806/B805-1)*100</x:f>
        <x:v>1.0304108322428451</x:v>
      </x:c>
      <x:c r="D806" s="34" t="n">
        <x:f>Assumptions!$B$4*D805+(1-Assumptions!$B$4)*C805^2</x:f>
        <x:v>0.550436316651985</x:v>
      </x:c>
      <x:c r="E806" s="34" t="n">
        <x:f>SQRT(D806)</x:f>
        <x:v>0.7419139550190339</x:v>
      </x:c>
      <x:c r="F806" s="34" t="n">
        <x:f>-Assumptions!$B$7*E806</x:f>
        <x:v>1.2203398597989699</x:v>
      </x:c>
      <x:c r="G806" s="34" t="n">
        <x:f>-Assumptions!$B$8*E806</x:f>
        <x:v>1.7259499519797612</x:v>
      </x:c>
      <x:c r="H806" s="34" t="n">
        <x:f>-Assumptions!$B$9*E806</x:f>
        <x:v>1.1580161995943208</x:v>
      </x:c>
      <x:c r="I806" s="34" t="n">
        <x:f>-Assumptions!$B$10*E806</x:f>
        <x:v>1.9337716945227965</x:v>
      </x:c>
      <x:c r="J806" s="36" t="n">
        <x:f>IF(C806&lt;-F806,1,0)</x:f>
        <x:v>0</x:v>
      </x:c>
      <x:c r="K806" s="36" t="n">
        <x:f>IF(C806&lt;-G806,1,0)</x:f>
        <x:v>0</x:v>
      </x:c>
      <x:c r="L806" s="36" t="n">
        <x:f>IF(C806&lt;-H806,1,0)</x:f>
        <x:v>0</x:v>
      </x:c>
      <x:c r="M806" s="36" t="n">
        <x:f>IF(C806&lt;-I806,1,0)</x:f>
        <x:v>0</x:v>
      </x:c>
      <x:c r="N806" s="34" t="n">
        <x:f>-F806</x:f>
        <x:v>-1.2203398597989699</x:v>
      </x:c>
      <x:c r="O806" s="34" t="n">
        <x:f>-H806</x:f>
        <x:v>-1.1580161995943208</x:v>
      </x:c>
      <x:c r="P806" s="34" t="n">
        <x:f>-G806</x:f>
        <x:v>-1.7259499519797612</x:v>
      </x:c>
      <x:c r="Q806" s="34" t="n">
        <x:f>-I806</x:f>
        <x:v>-1.9337716945227965</x:v>
      </x:c>
      <x:c r="R806" s="36" t="n">
        <x:f>YEAR(A806)</x:f>
        <x:v>2024</x:v>
      </x:c>
    </x:row>
    <x:row r="807">
      <x:c r="A807" s="30" t="n">
        <x:v>45359</x:v>
      </x:c>
      <x:c r="B807" s="38" t="n">
        <x:v>5123.69</x:v>
      </x:c>
      <x:c r="C807" s="34" t="n">
        <x:f>(B807/B806-1)*100</x:f>
        <x:v>-0.652853397862474</x:v>
      </x:c>
      <x:c r="D807" s="34" t="n">
        <x:f>Assumptions!$B$4*D806+(1-Assumptions!$B$4)*C806^2</x:f>
        <x:v>0.5811149266450696</x:v>
      </x:c>
      <x:c r="E807" s="34" t="n">
        <x:f>SQRT(D807)</x:f>
        <x:v>0.7623089443559413</x:v>
      </x:c>
      <x:c r="F807" s="34" t="n">
        <x:f>-Assumptions!$B$7*E807</x:f>
        <x:v>1.2538866319814186</x:v>
      </x:c>
      <x:c r="G807" s="34" t="n">
        <x:f>-Assumptions!$B$8*E807</x:f>
        <x:v>1.7733957920647614</x:v>
      </x:c>
      <x:c r="H807" s="34" t="n">
        <x:f>-Assumptions!$B$9*E807</x:f>
        <x:v>1.1898497132826922</x:v>
      </x:c>
      <x:c r="I807" s="34" t="n">
        <x:f>-Assumptions!$B$10*E807</x:f>
        <x:v>1.986930491204002</x:v>
      </x:c>
      <x:c r="J807" s="36" t="n">
        <x:f>IF(C807&lt;-F807,1,0)</x:f>
        <x:v>0</x:v>
      </x:c>
      <x:c r="K807" s="36" t="n">
        <x:f>IF(C807&lt;-G807,1,0)</x:f>
        <x:v>0</x:v>
      </x:c>
      <x:c r="L807" s="36" t="n">
        <x:f>IF(C807&lt;-H807,1,0)</x:f>
        <x:v>0</x:v>
      </x:c>
      <x:c r="M807" s="36" t="n">
        <x:f>IF(C807&lt;-I807,1,0)</x:f>
        <x:v>0</x:v>
      </x:c>
      <x:c r="N807" s="34" t="n">
        <x:f>-F807</x:f>
        <x:v>-1.2538866319814186</x:v>
      </x:c>
      <x:c r="O807" s="34" t="n">
        <x:f>-H807</x:f>
        <x:v>-1.1898497132826922</x:v>
      </x:c>
      <x:c r="P807" s="34" t="n">
        <x:f>-G807</x:f>
        <x:v>-1.7733957920647614</x:v>
      </x:c>
      <x:c r="Q807" s="34" t="n">
        <x:f>-I807</x:f>
        <x:v>-1.986930491204002</x:v>
      </x:c>
      <x:c r="R807" s="36" t="n">
        <x:f>YEAR(A807)</x:f>
        <x:v>2024</x:v>
      </x:c>
    </x:row>
    <x:row r="808">
      <x:c r="A808" s="30" t="n">
        <x:v>45362</x:v>
      </x:c>
      <x:c r="B808" s="38" t="n">
        <x:v>5117.94</x:v>
      </x:c>
      <x:c r="C808" s="34" t="n">
        <x:f>(B808/B807-1)*100</x:f>
        <x:v>-0.1122238074512727</x:v>
      </x:c>
      <x:c r="D808" s="34" t="n">
        <x:f>Assumptions!$B$4*D807+(1-Assumptions!$B$4)*C807^2</x:f>
        <x:v>0.5718210845924001</x:v>
      </x:c>
      <x:c r="E808" s="34" t="n">
        <x:f>SQRT(D808)</x:f>
        <x:v>0.756188524504571</x:v>
      </x:c>
      <x:c r="F808" s="34" t="n">
        <x:f>-Assumptions!$B$7*E808</x:f>
        <x:v>1.2438194371904263</x:v>
      </x:c>
      <x:c r="G808" s="34" t="n">
        <x:f>-Assumptions!$B$8*E808</x:f>
        <x:v>1.7591575663552885</x:v>
      </x:c>
      <x:c r="H808" s="34" t="n">
        <x:f>-Assumptions!$B$9*E808</x:f>
        <x:v>1.1802966575836338</x:v>
      </x:c>
      <x:c r="I808" s="34" t="n">
        <x:f>-Assumptions!$B$10*E808</x:f>
        <x:v>1.9709778398390982</x:v>
      </x:c>
      <x:c r="J808" s="36" t="n">
        <x:f>IF(C808&lt;-F808,1,0)</x:f>
        <x:v>0</x:v>
      </x:c>
      <x:c r="K808" s="36" t="n">
        <x:f>IF(C808&lt;-G808,1,0)</x:f>
        <x:v>0</x:v>
      </x:c>
      <x:c r="L808" s="36" t="n">
        <x:f>IF(C808&lt;-H808,1,0)</x:f>
        <x:v>0</x:v>
      </x:c>
      <x:c r="M808" s="36" t="n">
        <x:f>IF(C808&lt;-I808,1,0)</x:f>
        <x:v>0</x:v>
      </x:c>
      <x:c r="N808" s="34" t="n">
        <x:f>-F808</x:f>
        <x:v>-1.2438194371904263</x:v>
      </x:c>
      <x:c r="O808" s="34" t="n">
        <x:f>-H808</x:f>
        <x:v>-1.1802966575836338</x:v>
      </x:c>
      <x:c r="P808" s="34" t="n">
        <x:f>-G808</x:f>
        <x:v>-1.7591575663552885</x:v>
      </x:c>
      <x:c r="Q808" s="34" t="n">
        <x:f>-I808</x:f>
        <x:v>-1.9709778398390982</x:v>
      </x:c>
      <x:c r="R808" s="36" t="n">
        <x:f>YEAR(A808)</x:f>
        <x:v>2024</x:v>
      </x:c>
    </x:row>
    <x:row r="809">
      <x:c r="A809" s="30" t="n">
        <x:v>45363</x:v>
      </x:c>
      <x:c r="B809" s="38" t="n">
        <x:v>5175.27</x:v>
      </x:c>
      <x:c r="C809" s="34" t="n">
        <x:f>(B809/B808-1)*100</x:f>
        <x:v>1.1201772588189884</x:v>
      </x:c>
      <x:c r="D809" s="34" t="n">
        <x:f>Assumptions!$B$4*D808+(1-Assumptions!$B$4)*C808^2</x:f>
        <x:v>0.5382674704943877</x:v>
      </x:c>
      <x:c r="E809" s="34" t="n">
        <x:f>SQRT(D809)</x:f>
        <x:v>0.7336671387587069</x:v>
      </x:c>
      <x:c r="F809" s="34" t="n">
        <x:f>-Assumptions!$B$7*E809</x:f>
        <x:v>1.2067750541623685</x:v>
      </x:c>
      <x:c r="G809" s="34" t="n">
        <x:f>-Assumptions!$B$8*E809</x:f>
        <x:v>1.706764988504944</x:v>
      </x:c>
      <x:c r="H809" s="34" t="n">
        <x:f>-Assumptions!$B$9*E809</x:f>
        <x:v>1.1451441586252418</x:v>
      </x:c>
      <x:c r="I809" s="34" t="n">
        <x:f>-Assumptions!$B$10*E809</x:f>
        <x:v>1.9122766683863202</x:v>
      </x:c>
      <x:c r="J809" s="36" t="n">
        <x:f>IF(C809&lt;-F809,1,0)</x:f>
        <x:v>0</x:v>
      </x:c>
      <x:c r="K809" s="36" t="n">
        <x:f>IF(C809&lt;-G809,1,0)</x:f>
        <x:v>0</x:v>
      </x:c>
      <x:c r="L809" s="36" t="n">
        <x:f>IF(C809&lt;-H809,1,0)</x:f>
        <x:v>0</x:v>
      </x:c>
      <x:c r="M809" s="36" t="n">
        <x:f>IF(C809&lt;-I809,1,0)</x:f>
        <x:v>0</x:v>
      </x:c>
      <x:c r="N809" s="34" t="n">
        <x:f>-F809</x:f>
        <x:v>-1.2067750541623685</x:v>
      </x:c>
      <x:c r="O809" s="34" t="n">
        <x:f>-H809</x:f>
        <x:v>-1.1451441586252418</x:v>
      </x:c>
      <x:c r="P809" s="34" t="n">
        <x:f>-G809</x:f>
        <x:v>-1.706764988504944</x:v>
      </x:c>
      <x:c r="Q809" s="34" t="n">
        <x:f>-I809</x:f>
        <x:v>-1.9122766683863202</x:v>
      </x:c>
      <x:c r="R809" s="36" t="n">
        <x:f>YEAR(A809)</x:f>
        <x:v>2024</x:v>
      </x:c>
    </x:row>
    <x:row r="810">
      <x:c r="A810" s="30" t="n">
        <x:v>45364</x:v>
      </x:c>
      <x:c r="B810" s="38" t="n">
        <x:v>5165.31</x:v>
      </x:c>
      <x:c r="C810" s="34" t="n">
        <x:f>(B810/B809-1)*100</x:f>
        <x:v>-0.1924537270519222</x:v>
      </x:c>
      <x:c r="D810" s="34" t="n">
        <x:f>Assumptions!$B$4*D809+(1-Assumptions!$B$4)*C809^2</x:f>
        <x:v>0.581259247735238</x:v>
      </x:c>
      <x:c r="E810" s="34" t="n">
        <x:f>SQRT(D810)</x:f>
        <x:v>0.7624035989784138</x:v>
      </x:c>
      <x:c r="F810" s="34" t="n">
        <x:f>-Assumptions!$B$7*E810</x:f>
        <x:v>1.2540423249805002</x:v>
      </x:c>
      <x:c r="G810" s="34" t="n">
        <x:f>-Assumptions!$B$8*E810</x:f>
        <x:v>1.7736159916445184</x:v>
      </x:c>
      <x:c r="H810" s="34" t="n">
        <x:f>-Assumptions!$B$9*E810</x:f>
        <x:v>1.1899974549250325</x:v>
      </x:c>
      <x:c r="I810" s="34" t="n">
        <x:f>-Assumptions!$B$10*E810</x:f>
        <x:v>1.9871772050290415</x:v>
      </x:c>
      <x:c r="J810" s="36" t="n">
        <x:f>IF(C810&lt;-F810,1,0)</x:f>
        <x:v>0</x:v>
      </x:c>
      <x:c r="K810" s="36" t="n">
        <x:f>IF(C810&lt;-G810,1,0)</x:f>
        <x:v>0</x:v>
      </x:c>
      <x:c r="L810" s="36" t="n">
        <x:f>IF(C810&lt;-H810,1,0)</x:f>
        <x:v>0</x:v>
      </x:c>
      <x:c r="M810" s="36" t="n">
        <x:f>IF(C810&lt;-I810,1,0)</x:f>
        <x:v>0</x:v>
      </x:c>
      <x:c r="N810" s="34" t="n">
        <x:f>-F810</x:f>
        <x:v>-1.2540423249805002</x:v>
      </x:c>
      <x:c r="O810" s="34" t="n">
        <x:f>-H810</x:f>
        <x:v>-1.1899974549250325</x:v>
      </x:c>
      <x:c r="P810" s="34" t="n">
        <x:f>-G810</x:f>
        <x:v>-1.7736159916445184</x:v>
      </x:c>
      <x:c r="Q810" s="34" t="n">
        <x:f>-I810</x:f>
        <x:v>-1.9871772050290415</x:v>
      </x:c>
      <x:c r="R810" s="36" t="n">
        <x:f>YEAR(A810)</x:f>
        <x:v>2024</x:v>
      </x:c>
    </x:row>
    <x:row r="811">
      <x:c r="A811" s="30" t="n">
        <x:v>45365</x:v>
      </x:c>
      <x:c r="B811" s="38" t="n">
        <x:v>5150.48</x:v>
      </x:c>
      <x:c r="C811" s="34" t="n">
        <x:f>(B811/B810-1)*100</x:f>
        <x:v>-0.2871076469757039</x:v>
      </x:c>
      <x:c r="D811" s="34" t="n">
        <x:f>Assumptions!$B$4*D810+(1-Assumptions!$B$4)*C810^2</x:f>
        <x:v>0.5486059990944941</x:v>
      </x:c>
      <x:c r="E811" s="34" t="n">
        <x:f>SQRT(D811)</x:f>
        <x:v>0.7406794172207664</x:v>
      </x:c>
      <x:c r="F811" s="34" t="n">
        <x:f>-Assumptions!$B$7*E811</x:f>
        <x:v>1.2183092258238808</x:v>
      </x:c>
      <x:c r="G811" s="34" t="n">
        <x:f>-Assumptions!$B$8*E811</x:f>
        <x:v>1.7230779875973383</x:v>
      </x:c>
      <x:c r="H811" s="34" t="n">
        <x:f>-Assumptions!$B$9*E811</x:f>
        <x:v>1.1560892715998625</x:v>
      </x:c>
      <x:c r="I811" s="34" t="n">
        <x:f>-Assumptions!$B$10*E811</x:f>
        <x:v>1.9305539167280021</x:v>
      </x:c>
      <x:c r="J811" s="36" t="n">
        <x:f>IF(C811&lt;-F811,1,0)</x:f>
        <x:v>0</x:v>
      </x:c>
      <x:c r="K811" s="36" t="n">
        <x:f>IF(C811&lt;-G811,1,0)</x:f>
        <x:v>0</x:v>
      </x:c>
      <x:c r="L811" s="36" t="n">
        <x:f>IF(C811&lt;-H811,1,0)</x:f>
        <x:v>0</x:v>
      </x:c>
      <x:c r="M811" s="36" t="n">
        <x:f>IF(C811&lt;-I811,1,0)</x:f>
        <x:v>0</x:v>
      </x:c>
      <x:c r="N811" s="34" t="n">
        <x:f>-F811</x:f>
        <x:v>-1.2183092258238808</x:v>
      </x:c>
      <x:c r="O811" s="34" t="n">
        <x:f>-H811</x:f>
        <x:v>-1.1560892715998625</x:v>
      </x:c>
      <x:c r="P811" s="34" t="n">
        <x:f>-G811</x:f>
        <x:v>-1.7230779875973383</x:v>
      </x:c>
      <x:c r="Q811" s="34" t="n">
        <x:f>-I811</x:f>
        <x:v>-1.9305539167280021</x:v>
      </x:c>
      <x:c r="R811" s="36" t="n">
        <x:f>YEAR(A811)</x:f>
        <x:v>2024</x:v>
      </x:c>
    </x:row>
    <x:row r="812">
      <x:c r="A812" s="30" t="n">
        <x:v>45366</x:v>
      </x:c>
      <x:c r="B812" s="38" t="n">
        <x:v>5117.09</x:v>
      </x:c>
      <x:c r="C812" s="34" t="n">
        <x:f>(B812/B811-1)*100</x:f>
        <x:v>-0.6482890915021411</x:v>
      </x:c>
      <x:c r="D812" s="34" t="n">
        <x:f>Assumptions!$B$4*D811+(1-Assumptions!$B$4)*C811^2</x:f>
        <x:v>0.52063548720594</x:v>
      </x:c>
      <x:c r="E812" s="34" t="n">
        <x:f>SQRT(D812)</x:f>
        <x:v>0.7215507516494872</x:v>
      </x:c>
      <x:c r="F812" s="34" t="n">
        <x:f>-Assumptions!$B$7*E812</x:f>
        <x:v>1.1868453708802205</x:v>
      </x:c>
      <x:c r="G812" s="34" t="n">
        <x:f>-Assumptions!$B$8*E812</x:f>
        <x:v>1.678578057112355</x:v>
      </x:c>
      <x:c r="H812" s="34" t="n">
        <x:f>-Assumptions!$B$9*E812</x:f>
        <x:v>1.12623229902466</x:v>
      </x:c>
      <x:c r="I812" s="34" t="n">
        <x:f>-Assumptions!$B$10*E812</x:f>
        <x:v>1.8806957468074978</x:v>
      </x:c>
      <x:c r="J812" s="36" t="n">
        <x:f>IF(C812&lt;-F812,1,0)</x:f>
        <x:v>0</x:v>
      </x:c>
      <x:c r="K812" s="36" t="n">
        <x:f>IF(C812&lt;-G812,1,0)</x:f>
        <x:v>0</x:v>
      </x:c>
      <x:c r="L812" s="36" t="n">
        <x:f>IF(C812&lt;-H812,1,0)</x:f>
        <x:v>0</x:v>
      </x:c>
      <x:c r="M812" s="36" t="n">
        <x:f>IF(C812&lt;-I812,1,0)</x:f>
        <x:v>0</x:v>
      </x:c>
      <x:c r="N812" s="34" t="n">
        <x:f>-F812</x:f>
        <x:v>-1.1868453708802205</x:v>
      </x:c>
      <x:c r="O812" s="34" t="n">
        <x:f>-H812</x:f>
        <x:v>-1.12623229902466</x:v>
      </x:c>
      <x:c r="P812" s="34" t="n">
        <x:f>-G812</x:f>
        <x:v>-1.678578057112355</x:v>
      </x:c>
      <x:c r="Q812" s="34" t="n">
        <x:f>-I812</x:f>
        <x:v>-1.8806957468074978</x:v>
      </x:c>
      <x:c r="R812" s="36" t="n">
        <x:f>YEAR(A812)</x:f>
        <x:v>2024</x:v>
      </x:c>
    </x:row>
    <x:row r="813">
      <x:c r="A813" s="30" t="n">
        <x:v>45369</x:v>
      </x:c>
      <x:c r="B813" s="38" t="n">
        <x:v>5149.42</x:v>
      </x:c>
      <x:c r="C813" s="34" t="n">
        <x:f>(B813/B812-1)*100</x:f>
        <x:v>0.6318044044564486</x:v>
      </x:c>
      <x:c r="D813" s="34" t="n">
        <x:f>Assumptions!$B$4*D812+(1-Assumptions!$B$4)*C812^2</x:f>
        <x:v>0.5146140827432238</x:v>
      </x:c>
      <x:c r="E813" s="34" t="n">
        <x:f>SQRT(D813)</x:f>
        <x:v>0.7173660730360921</x:v>
      </x:c>
      <x:c r="F813" s="34" t="n">
        <x:f>-Assumptions!$B$7*E813</x:f>
        <x:v>1.1799621870853514</x:v>
      </x:c>
      <x:c r="G813" s="34" t="n">
        <x:f>-Assumptions!$B$8*E813</x:f>
        <x:v>1.6688430389165392</x:v>
      </x:c>
      <x:c r="H813" s="34" t="n">
        <x:f>-Assumptions!$B$9*E813</x:f>
        <x:v>1.1197006445226456</x:v>
      </x:c>
      <x:c r="I813" s="34" t="n">
        <x:f>-Assumptions!$B$10*E813</x:f>
        <x:v>1.8697885344569083</x:v>
      </x:c>
      <x:c r="J813" s="36" t="n">
        <x:f>IF(C813&lt;-F813,1,0)</x:f>
        <x:v>0</x:v>
      </x:c>
      <x:c r="K813" s="36" t="n">
        <x:f>IF(C813&lt;-G813,1,0)</x:f>
        <x:v>0</x:v>
      </x:c>
      <x:c r="L813" s="36" t="n">
        <x:f>IF(C813&lt;-H813,1,0)</x:f>
        <x:v>0</x:v>
      </x:c>
      <x:c r="M813" s="36" t="n">
        <x:f>IF(C813&lt;-I813,1,0)</x:f>
        <x:v>0</x:v>
      </x:c>
      <x:c r="N813" s="34" t="n">
        <x:f>-F813</x:f>
        <x:v>-1.1799621870853514</x:v>
      </x:c>
      <x:c r="O813" s="34" t="n">
        <x:f>-H813</x:f>
        <x:v>-1.1197006445226456</x:v>
      </x:c>
      <x:c r="P813" s="34" t="n">
        <x:f>-G813</x:f>
        <x:v>-1.6688430389165392</x:v>
      </x:c>
      <x:c r="Q813" s="34" t="n">
        <x:f>-I813</x:f>
        <x:v>-1.8697885344569083</x:v>
      </x:c>
      <x:c r="R813" s="36" t="n">
        <x:f>YEAR(A813)</x:f>
        <x:v>2024</x:v>
      </x:c>
    </x:row>
    <x:row r="814">
      <x:c r="A814" s="30" t="n">
        <x:v>45370</x:v>
      </x:c>
      <x:c r="B814" s="38" t="n">
        <x:v>5178.51</x:v>
      </x:c>
      <x:c r="C814" s="34" t="n">
        <x:f>(B814/B813-1)*100</x:f>
        <x:v>0.5649179907640134</x:v>
      </x:c>
      <x:c r="D814" s="34" t="n">
        <x:f>Assumptions!$B$4*D813+(1-Assumptions!$B$4)*C813^2</x:f>
        <x:v>0.5076878461080645</x:v>
      </x:c>
      <x:c r="E814" s="34" t="n">
        <x:f>SQRT(D814)</x:f>
        <x:v>0.7125221723624217</x:v>
      </x:c>
      <x:c r="F814" s="34" t="n">
        <x:f>-Assumptions!$B$7*E814</x:f>
        <x:v>1.1719946794936718</x:v>
      </x:c>
      <x:c r="G814" s="34" t="n">
        <x:f>-Assumptions!$B$8*E814</x:f>
        <x:v>1.6575744408822808</x:v>
      </x:c>
      <x:c r="H814" s="34" t="n">
        <x:f>-Assumptions!$B$9*E814</x:f>
        <x:v>1.1121400434429796</x:v>
      </x:c>
      <x:c r="I814" s="34" t="n">
        <x:f>-Assumptions!$B$10*E814</x:f>
        <x:v>1.8571630838228337</x:v>
      </x:c>
      <x:c r="J814" s="36" t="n">
        <x:f>IF(C814&lt;-F814,1,0)</x:f>
        <x:v>0</x:v>
      </x:c>
      <x:c r="K814" s="36" t="n">
        <x:f>IF(C814&lt;-G814,1,0)</x:f>
        <x:v>0</x:v>
      </x:c>
      <x:c r="L814" s="36" t="n">
        <x:f>IF(C814&lt;-H814,1,0)</x:f>
        <x:v>0</x:v>
      </x:c>
      <x:c r="M814" s="36" t="n">
        <x:f>IF(C814&lt;-I814,1,0)</x:f>
        <x:v>0</x:v>
      </x:c>
      <x:c r="N814" s="34" t="n">
        <x:f>-F814</x:f>
        <x:v>-1.1719946794936718</x:v>
      </x:c>
      <x:c r="O814" s="34" t="n">
        <x:f>-H814</x:f>
        <x:v>-1.1121400434429796</x:v>
      </x:c>
      <x:c r="P814" s="34" t="n">
        <x:f>-G814</x:f>
        <x:v>-1.6575744408822808</x:v>
      </x:c>
      <x:c r="Q814" s="34" t="n">
        <x:f>-I814</x:f>
        <x:v>-1.8571630838228337</x:v>
      </x:c>
      <x:c r="R814" s="36" t="n">
        <x:f>YEAR(A814)</x:f>
        <x:v>2024</x:v>
      </x:c>
    </x:row>
    <x:row r="815">
      <x:c r="A815" s="30" t="n">
        <x:v>45371</x:v>
      </x:c>
      <x:c r="B815" s="38" t="n">
        <x:v>5224.62</x:v>
      </x:c>
      <x:c r="C815" s="34" t="n">
        <x:f>(B815/B814-1)*100</x:f>
        <x:v>0.8904105621114988</x:v>
      </x:c>
      <x:c r="D815" s="34" t="n">
        <x:f>Assumptions!$B$4*D814+(1-Assumptions!$B$4)*C814^2</x:f>
        <x:v>0.4963745155189116</x:v>
      </x:c>
      <x:c r="E815" s="34" t="n">
        <x:f>SQRT(D815)</x:f>
        <x:v>0.7045385124454955</x:v>
      </x:c>
      <x:c r="F815" s="34" t="n">
        <x:f>-Assumptions!$B$7*E815</x:f>
        <x:v>1.1588627275229686</x:v>
      </x:c>
      <x:c r="G815" s="34" t="n">
        <x:f>-Assumptions!$B$8*E815</x:f>
        <x:v>1.6390016706074746</x:v>
      </x:c>
      <x:c r="H815" s="34" t="n">
        <x:f>-Assumptions!$B$9*E815</x:f>
        <x:v>1.0996787499825873</x:v>
      </x:c>
      <x:c r="I815" s="34" t="n">
        <x:f>-Assumptions!$B$10*E815</x:f>
        <x:v>1.8363539651081817</x:v>
      </x:c>
      <x:c r="J815" s="36" t="n">
        <x:f>IF(C815&lt;-F815,1,0)</x:f>
        <x:v>0</x:v>
      </x:c>
      <x:c r="K815" s="36" t="n">
        <x:f>IF(C815&lt;-G815,1,0)</x:f>
        <x:v>0</x:v>
      </x:c>
      <x:c r="L815" s="36" t="n">
        <x:f>IF(C815&lt;-H815,1,0)</x:f>
        <x:v>0</x:v>
      </x:c>
      <x:c r="M815" s="36" t="n">
        <x:f>IF(C815&lt;-I815,1,0)</x:f>
        <x:v>0</x:v>
      </x:c>
      <x:c r="N815" s="34" t="n">
        <x:f>-F815</x:f>
        <x:v>-1.1588627275229686</x:v>
      </x:c>
      <x:c r="O815" s="34" t="n">
        <x:f>-H815</x:f>
        <x:v>-1.0996787499825873</x:v>
      </x:c>
      <x:c r="P815" s="34" t="n">
        <x:f>-G815</x:f>
        <x:v>-1.6390016706074746</x:v>
      </x:c>
      <x:c r="Q815" s="34" t="n">
        <x:f>-I815</x:f>
        <x:v>-1.8363539651081817</x:v>
      </x:c>
      <x:c r="R815" s="36" t="n">
        <x:f>YEAR(A815)</x:f>
        <x:v>2024</x:v>
      </x:c>
    </x:row>
    <x:row r="816">
      <x:c r="A816" s="30" t="n">
        <x:v>45372</x:v>
      </x:c>
      <x:c r="B816" s="38" t="n">
        <x:v>5241.53</x:v>
      </x:c>
      <x:c r="C816" s="34" t="n">
        <x:f>(B816/B815-1)*100</x:f>
        <x:v>0.3236599025383535</x:v>
      </x:c>
      <x:c r="D816" s="34" t="n">
        <x:f>Assumptions!$B$4*D815+(1-Assumptions!$B$4)*C815^2</x:f>
        <x:v>0.5141619027349599</x:v>
      </x:c>
      <x:c r="E816" s="34" t="n">
        <x:f>SQRT(D816)</x:f>
        <x:v>0.7170508369250815</x:v>
      </x:c>
      <x:c r="F816" s="34" t="n">
        <x:f>-Assumptions!$B$7*E816</x:f>
        <x:v>1.1794436698248094</x:v>
      </x:c>
      <x:c r="G816" s="34" t="n">
        <x:f>-Assumptions!$B$8*E816</x:f>
        <x:v>1.6681096900598686</x:v>
      </x:c>
      <x:c r="H816" s="34" t="n">
        <x:f>-Assumptions!$B$9*E816</x:f>
        <x:v>1.1192086083225203</x:v>
      </x:c>
      <x:c r="I816" s="34" t="n">
        <x:f>-Assumptions!$B$10*E816</x:f>
        <x:v>1.868966883018167</x:v>
      </x:c>
      <x:c r="J816" s="36" t="n">
        <x:f>IF(C816&lt;-F816,1,0)</x:f>
        <x:v>0</x:v>
      </x:c>
      <x:c r="K816" s="36" t="n">
        <x:f>IF(C816&lt;-G816,1,0)</x:f>
        <x:v>0</x:v>
      </x:c>
      <x:c r="L816" s="36" t="n">
        <x:f>IF(C816&lt;-H816,1,0)</x:f>
        <x:v>0</x:v>
      </x:c>
      <x:c r="M816" s="36" t="n">
        <x:f>IF(C816&lt;-I816,1,0)</x:f>
        <x:v>0</x:v>
      </x:c>
      <x:c r="N816" s="34" t="n">
        <x:f>-F816</x:f>
        <x:v>-1.1794436698248094</x:v>
      </x:c>
      <x:c r="O816" s="34" t="n">
        <x:f>-H816</x:f>
        <x:v>-1.1192086083225203</x:v>
      </x:c>
      <x:c r="P816" s="34" t="n">
        <x:f>-G816</x:f>
        <x:v>-1.6681096900598686</x:v>
      </x:c>
      <x:c r="Q816" s="34" t="n">
        <x:f>-I816</x:f>
        <x:v>-1.868966883018167</x:v>
      </x:c>
      <x:c r="R816" s="36" t="n">
        <x:f>YEAR(A816)</x:f>
        <x:v>2024</x:v>
      </x:c>
    </x:row>
    <x:row r="817">
      <x:c r="A817" s="30" t="n">
        <x:v>45373</x:v>
      </x:c>
      <x:c r="B817" s="38" t="n">
        <x:v>5234.18</x:v>
      </x:c>
      <x:c r="C817" s="34" t="n">
        <x:f>(B817/B816-1)*100</x:f>
        <x:v>-0.14022623165372838</x:v>
      </x:c>
      <x:c r="D817" s="34" t="n">
        <x:f>Assumptions!$B$4*D816+(1-Assumptions!$B$4)*C816^2</x:f>
        <x:v>0.4895975325215305</x:v>
      </x:c>
      <x:c r="E817" s="34" t="n">
        <x:f>SQRT(D817)</x:f>
        <x:v>0.6997124641747712</x:v>
      </x:c>
      <x:c r="F817" s="34" t="n">
        <x:f>-Assumptions!$B$7*E817</x:f>
        <x:v>1.150924584521025</x:v>
      </x:c>
      <x:c r="G817" s="34" t="n">
        <x:f>-Assumptions!$B$8*E817</x:f>
        <x:v>1.6277746034728566</x:v>
      </x:c>
      <x:c r="H817" s="34" t="n">
        <x:f>-Assumptions!$B$9*E817</x:f>
        <x:v>1.092146013821317</x:v>
      </x:c>
      <x:c r="I817" s="34" t="n">
        <x:f>-Assumptions!$B$10*E817</x:f>
        <x:v>1.8237750461119917</x:v>
      </x:c>
      <x:c r="J817" s="36" t="n">
        <x:f>IF(C817&lt;-F817,1,0)</x:f>
        <x:v>0</x:v>
      </x:c>
      <x:c r="K817" s="36" t="n">
        <x:f>IF(C817&lt;-G817,1,0)</x:f>
        <x:v>0</x:v>
      </x:c>
      <x:c r="L817" s="36" t="n">
        <x:f>IF(C817&lt;-H817,1,0)</x:f>
        <x:v>0</x:v>
      </x:c>
      <x:c r="M817" s="36" t="n">
        <x:f>IF(C817&lt;-I817,1,0)</x:f>
        <x:v>0</x:v>
      </x:c>
      <x:c r="N817" s="34" t="n">
        <x:f>-F817</x:f>
        <x:v>-1.150924584521025</x:v>
      </x:c>
      <x:c r="O817" s="34" t="n">
        <x:f>-H817</x:f>
        <x:v>-1.092146013821317</x:v>
      </x:c>
      <x:c r="P817" s="34" t="n">
        <x:f>-G817</x:f>
        <x:v>-1.6277746034728566</x:v>
      </x:c>
      <x:c r="Q817" s="34" t="n">
        <x:f>-I817</x:f>
        <x:v>-1.8237750461119917</x:v>
      </x:c>
      <x:c r="R817" s="36" t="n">
        <x:f>YEAR(A817)</x:f>
        <x:v>2024</x:v>
      </x:c>
    </x:row>
    <x:row r="818">
      <x:c r="A818" s="30" t="n">
        <x:v>45376</x:v>
      </x:c>
      <x:c r="B818" s="38" t="n">
        <x:v>5218.19</x:v>
      </x:c>
      <x:c r="C818" s="34" t="n">
        <x:f>(B818/B817-1)*100</x:f>
        <x:v>-0.30549197773100945</x:v>
      </x:c>
      <x:c r="D818" s="34" t="n">
        <x:f>Assumptions!$B$4*D817+(1-Assumptions!$B$4)*C817^2</x:f>
        <x:v>0.461401484332867</x:v>
      </x:c>
      <x:c r="E818" s="34" t="n">
        <x:f>SQRT(D818)</x:f>
        <x:v>0.6792654005121025</x:v>
      </x:c>
      <x:c r="F818" s="34" t="n">
        <x:f>-Assumptions!$B$7*E818</x:f>
        <x:v>1.1172921576949766</x:v>
      </x:c>
      <x:c r="G818" s="34" t="n">
        <x:f>-Assumptions!$B$8*E818</x:f>
        <x:v>1.5802076203908295</x:v>
      </x:c>
      <x:c r="H818" s="34" t="n">
        <x:f>-Assumptions!$B$9*E818</x:f>
        <x:v>1.0602312199354151</x:v>
      </x:c>
      <x:c r="I818" s="34" t="n">
        <x:f>-Assumptions!$B$10*E818</x:f>
        <x:v>1.7704805195978492</x:v>
      </x:c>
      <x:c r="J818" s="36" t="n">
        <x:f>IF(C818&lt;-F818,1,0)</x:f>
        <x:v>0</x:v>
      </x:c>
      <x:c r="K818" s="36" t="n">
        <x:f>IF(C818&lt;-G818,1,0)</x:f>
        <x:v>0</x:v>
      </x:c>
      <x:c r="L818" s="36" t="n">
        <x:f>IF(C818&lt;-H818,1,0)</x:f>
        <x:v>0</x:v>
      </x:c>
      <x:c r="M818" s="36" t="n">
        <x:f>IF(C818&lt;-I818,1,0)</x:f>
        <x:v>0</x:v>
      </x:c>
      <x:c r="N818" s="34" t="n">
        <x:f>-F818</x:f>
        <x:v>-1.1172921576949766</x:v>
      </x:c>
      <x:c r="O818" s="34" t="n">
        <x:f>-H818</x:f>
        <x:v>-1.0602312199354151</x:v>
      </x:c>
      <x:c r="P818" s="34" t="n">
        <x:f>-G818</x:f>
        <x:v>-1.5802076203908295</x:v>
      </x:c>
      <x:c r="Q818" s="34" t="n">
        <x:f>-I818</x:f>
        <x:v>-1.7704805195978492</x:v>
      </x:c>
      <x:c r="R818" s="36" t="n">
        <x:f>YEAR(A818)</x:f>
        <x:v>2024</x:v>
      </x:c>
    </x:row>
    <x:row r="819">
      <x:c r="A819" s="30" t="n">
        <x:v>45377</x:v>
      </x:c>
      <x:c r="B819" s="38" t="n">
        <x:v>5203.58</x:v>
      </x:c>
      <x:c r="C819" s="34" t="n">
        <x:f>(B819/B818-1)*100</x:f>
        <x:v>-0.27998213940082506</x:v>
      </x:c>
      <x:c r="D819" s="34" t="n">
        <x:f>Assumptions!$B$4*D818+(1-Assumptions!$B$4)*C818^2</x:f>
        <x:v>0.43931691618037516</x:v>
      </x:c>
      <x:c r="E819" s="34" t="n">
        <x:f>SQRT(D819)</x:f>
        <x:v>0.662809864275099</x:v>
      </x:c>
      <x:c r="F819" s="34" t="n">
        <x:f>-Assumptions!$B$7*E819</x:f>
        <x:v>1.09022520923211</x:v>
      </x:c>
      <x:c r="G819" s="34" t="n">
        <x:f>-Assumptions!$B$8*E819</x:f>
        <x:v>1.5419263186496746</x:v>
      </x:c>
      <x:c r="H819" s="34" t="n">
        <x:f>-Assumptions!$B$9*E819</x:f>
        <x:v>1.0345466005714723</x:v>
      </x:c>
      <x:c r="I819" s="34" t="n">
        <x:f>-Assumptions!$B$10*E819</x:f>
        <x:v>1.7275897639003168</x:v>
      </x:c>
      <x:c r="J819" s="36" t="n">
        <x:f>IF(C819&lt;-F819,1,0)</x:f>
        <x:v>0</x:v>
      </x:c>
      <x:c r="K819" s="36" t="n">
        <x:f>IF(C819&lt;-G819,1,0)</x:f>
        <x:v>0</x:v>
      </x:c>
      <x:c r="L819" s="36" t="n">
        <x:f>IF(C819&lt;-H819,1,0)</x:f>
        <x:v>0</x:v>
      </x:c>
      <x:c r="M819" s="36" t="n">
        <x:f>IF(C819&lt;-I819,1,0)</x:f>
        <x:v>0</x:v>
      </x:c>
      <x:c r="N819" s="34" t="n">
        <x:f>-F819</x:f>
        <x:v>-1.09022520923211</x:v>
      </x:c>
      <x:c r="O819" s="34" t="n">
        <x:f>-H819</x:f>
        <x:v>-1.0345466005714723</x:v>
      </x:c>
      <x:c r="P819" s="34" t="n">
        <x:f>-G819</x:f>
        <x:v>-1.5419263186496746</x:v>
      </x:c>
      <x:c r="Q819" s="34" t="n">
        <x:f>-I819</x:f>
        <x:v>-1.7275897639003168</x:v>
      </x:c>
      <x:c r="R819" s="36" t="n">
        <x:f>YEAR(A819)</x:f>
        <x:v>2024</x:v>
      </x:c>
    </x:row>
    <x:row r="820">
      <x:c r="A820" s="30" t="n">
        <x:v>45378</x:v>
      </x:c>
      <x:c r="B820" s="38" t="n">
        <x:v>5248.49</x:v>
      </x:c>
      <x:c r="C820" s="34" t="n">
        <x:f>(B820/B819-1)*100</x:f>
        <x:v>0.8630596627706266</x:v>
      </x:c>
      <x:c r="D820" s="34" t="n">
        <x:f>Assumptions!$B$4*D819+(1-Assumptions!$B$4)*C819^2</x:f>
        <x:v>0.4176613011125604</x:v>
      </x:c>
      <x:c r="E820" s="34" t="n">
        <x:f>SQRT(D820)</x:f>
        <x:v>0.6462672056607548</x:v>
      </x:c>
      <x:c r="F820" s="34" t="n">
        <x:f>-Assumptions!$B$7*E820</x:f>
        <x:v>1.063014957210886</x:v>
      </x:c>
      <x:c r="G820" s="34" t="n">
        <x:f>-Assumptions!$B$8*E820</x:f>
        <x:v>1.5034423399512113</x:v>
      </x:c>
      <x:c r="H820" s="34" t="n">
        <x:f>-Assumptions!$B$9*E820</x:f>
        <x:v>1.008725996268002</x:v>
      </x:c>
      <x:c r="I820" s="34" t="n">
        <x:f>-Assumptions!$B$10*E820</x:f>
        <x:v>1.6844719269002675</x:v>
      </x:c>
      <x:c r="J820" s="36" t="n">
        <x:f>IF(C820&lt;-F820,1,0)</x:f>
        <x:v>0</x:v>
      </x:c>
      <x:c r="K820" s="36" t="n">
        <x:f>IF(C820&lt;-G820,1,0)</x:f>
        <x:v>0</x:v>
      </x:c>
      <x:c r="L820" s="36" t="n">
        <x:f>IF(C820&lt;-H820,1,0)</x:f>
        <x:v>0</x:v>
      </x:c>
      <x:c r="M820" s="36" t="n">
        <x:f>IF(C820&lt;-I820,1,0)</x:f>
        <x:v>0</x:v>
      </x:c>
      <x:c r="N820" s="34" t="n">
        <x:f>-F820</x:f>
        <x:v>-1.063014957210886</x:v>
      </x:c>
      <x:c r="O820" s="34" t="n">
        <x:f>-H820</x:f>
        <x:v>-1.008725996268002</x:v>
      </x:c>
      <x:c r="P820" s="34" t="n">
        <x:f>-G820</x:f>
        <x:v>-1.5034423399512113</x:v>
      </x:c>
      <x:c r="Q820" s="34" t="n">
        <x:f>-I820</x:f>
        <x:v>-1.6844719269002675</x:v>
      </x:c>
      <x:c r="R820" s="36" t="n">
        <x:f>YEAR(A820)</x:f>
        <x:v>2024</x:v>
      </x:c>
    </x:row>
    <x:row r="821">
      <x:c r="A821" s="30" t="n">
        <x:v>45379</x:v>
      </x:c>
      <x:c r="B821" s="38" t="n">
        <x:v>5254.35</x:v>
      </x:c>
      <x:c r="C821" s="34" t="n">
        <x:f>(B821/B820-1)*100</x:f>
        <x:v>0.11165116061955249</x:v>
      </x:c>
      <x:c r="D821" s="34" t="n">
        <x:f>Assumptions!$B$4*D820+(1-Assumptions!$B$4)*C820^2</x:f>
        <x:v>0.43729394193591165</x:v>
      </x:c>
      <x:c r="E821" s="34" t="n">
        <x:f>SQRT(D821)</x:f>
        <x:v>0.6612820441656583</x:v>
      </x:c>
      <x:c r="F821" s="34" t="n">
        <x:f>-Assumptions!$B$7*E821</x:f>
        <x:v>1.087712168783767</x:v>
      </x:c>
      <x:c r="G821" s="34" t="n">
        <x:f>-Assumptions!$B$8*E821</x:f>
        <x:v>1.5383720775861602</x:v>
      </x:c>
      <x:c r="H821" s="34" t="n">
        <x:f>-Assumptions!$B$9*E821</x:f>
        <x:v>1.032161902959533</x:v>
      </x:c>
      <x:c r="I821" s="34" t="n">
        <x:f>-Assumptions!$B$10*E821</x:f>
        <x:v>1.7236075564462414</x:v>
      </x:c>
      <x:c r="J821" s="36" t="n">
        <x:f>IF(C821&lt;-F821,1,0)</x:f>
        <x:v>0</x:v>
      </x:c>
      <x:c r="K821" s="36" t="n">
        <x:f>IF(C821&lt;-G821,1,0)</x:f>
        <x:v>0</x:v>
      </x:c>
      <x:c r="L821" s="36" t="n">
        <x:f>IF(C821&lt;-H821,1,0)</x:f>
        <x:v>0</x:v>
      </x:c>
      <x:c r="M821" s="36" t="n">
        <x:f>IF(C821&lt;-I821,1,0)</x:f>
        <x:v>0</x:v>
      </x:c>
      <x:c r="N821" s="34" t="n">
        <x:f>-F821</x:f>
        <x:v>-1.087712168783767</x:v>
      </x:c>
      <x:c r="O821" s="34" t="n">
        <x:f>-H821</x:f>
        <x:v>-1.032161902959533</x:v>
      </x:c>
      <x:c r="P821" s="34" t="n">
        <x:f>-G821</x:f>
        <x:v>-1.5383720775861602</x:v>
      </x:c>
      <x:c r="Q821" s="34" t="n">
        <x:f>-I821</x:f>
        <x:v>-1.7236075564462414</x:v>
      </x:c>
      <x:c r="R821" s="36" t="n">
        <x:f>YEAR(A821)</x:f>
        <x:v>2024</x:v>
      </x:c>
    </x:row>
    <x:row r="822">
      <x:c r="A822" s="30" t="n">
        <x:v>45383</x:v>
      </x:c>
      <x:c r="B822" s="38" t="n">
        <x:v>5243.77</x:v>
      </x:c>
      <x:c r="C822" s="34" t="n">
        <x:f>(B822/B821-1)*100</x:f>
        <x:v>-0.20135697089078697</x:v>
      </x:c>
      <x:c r="D822" s="34" t="n">
        <x:f>Assumptions!$B$4*D821+(1-Assumptions!$B$4)*C821^2</x:f>
        <x:v>0.4118042643198185</x:v>
      </x:c>
      <x:c r="E822" s="34" t="n">
        <x:f>SQRT(D822)</x:f>
        <x:v>0.6417197708656158</x:v>
      </x:c>
      <x:c r="F822" s="34" t="n">
        <x:f>-Assumptions!$B$7*E822</x:f>
        <x:v>1.0555350925947762</x:v>
      </x:c>
      <x:c r="G822" s="34" t="n">
        <x:f>-Assumptions!$B$8*E822</x:f>
        <x:v>1.4928634246832007</x:v>
      </x:c>
      <x:c r="H822" s="34" t="n">
        <x:f>-Assumptions!$B$9*E822</x:f>
        <x:v>1.0016281338760824</x:v>
      </x:c>
      <x:c r="I822" s="34" t="n">
        <x:f>-Assumptions!$B$10*E822</x:f>
        <x:v>1.6726192037778103</x:v>
      </x:c>
      <x:c r="J822" s="36" t="n">
        <x:f>IF(C822&lt;-F822,1,0)</x:f>
        <x:v>0</x:v>
      </x:c>
      <x:c r="K822" s="36" t="n">
        <x:f>IF(C822&lt;-G822,1,0)</x:f>
        <x:v>0</x:v>
      </x:c>
      <x:c r="L822" s="36" t="n">
        <x:f>IF(C822&lt;-H822,1,0)</x:f>
        <x:v>0</x:v>
      </x:c>
      <x:c r="M822" s="36" t="n">
        <x:f>IF(C822&lt;-I822,1,0)</x:f>
        <x:v>0</x:v>
      </x:c>
      <x:c r="N822" s="34" t="n">
        <x:f>-F822</x:f>
        <x:v>-1.0555350925947762</x:v>
      </x:c>
      <x:c r="O822" s="34" t="n">
        <x:f>-H822</x:f>
        <x:v>-1.0016281338760824</x:v>
      </x:c>
      <x:c r="P822" s="34" t="n">
        <x:f>-G822</x:f>
        <x:v>-1.4928634246832007</x:v>
      </x:c>
      <x:c r="Q822" s="34" t="n">
        <x:f>-I822</x:f>
        <x:v>-1.6726192037778103</x:v>
      </x:c>
      <x:c r="R822" s="36" t="n">
        <x:f>YEAR(A822)</x:f>
        <x:v>2024</x:v>
      </x:c>
    </x:row>
    <x:row r="823">
      <x:c r="A823" s="30" t="n">
        <x:v>45384</x:v>
      </x:c>
      <x:c r="B823" s="38" t="n">
        <x:v>5205.81</x:v>
      </x:c>
      <x:c r="C823" s="34" t="n">
        <x:f>(B823/B822-1)*100</x:f>
        <x:v>-0.723906654944817</x:v>
      </x:c>
      <x:c r="D823" s="34" t="n">
        <x:f>Assumptions!$B$4*D822+(1-Assumptions!$B$4)*C822^2</x:f>
        <x:v>0.38952868624420817</x:v>
      </x:c>
      <x:c r="E823" s="34" t="n">
        <x:f>SQRT(D823)</x:f>
        <x:v>0.624122332755533</x:v>
      </x:c>
      <x:c r="F823" s="34" t="n">
        <x:f>-Assumptions!$B$7*E823</x:f>
        <x:v>1.0265898826943525</x:v>
      </x:c>
      <x:c r="G823" s="34" t="n">
        <x:f>-Assumptions!$B$8*E823</x:f>
        <x:v>1.451925661947244</x:v>
      </x:c>
      <x:c r="H823" s="34" t="n">
        <x:f>-Assumptions!$B$9*E823</x:f>
        <x:v>0.9741611772769017</x:v>
      </x:c>
      <x:c r="I823" s="34" t="n">
        <x:f>-Assumptions!$B$10*E823</x:f>
        <x:v>1.6267521224495962</x:v>
      </x:c>
      <x:c r="J823" s="36" t="n">
        <x:f>IF(C823&lt;-F823,1,0)</x:f>
        <x:v>0</x:v>
      </x:c>
      <x:c r="K823" s="36" t="n">
        <x:f>IF(C823&lt;-G823,1,0)</x:f>
        <x:v>0</x:v>
      </x:c>
      <x:c r="L823" s="36" t="n">
        <x:f>IF(C823&lt;-H823,1,0)</x:f>
        <x:v>0</x:v>
      </x:c>
      <x:c r="M823" s="36" t="n">
        <x:f>IF(C823&lt;-I823,1,0)</x:f>
        <x:v>0</x:v>
      </x:c>
      <x:c r="N823" s="34" t="n">
        <x:f>-F823</x:f>
        <x:v>-1.0265898826943525</x:v>
      </x:c>
      <x:c r="O823" s="34" t="n">
        <x:f>-H823</x:f>
        <x:v>-0.9741611772769017</x:v>
      </x:c>
      <x:c r="P823" s="34" t="n">
        <x:f>-G823</x:f>
        <x:v>-1.451925661947244</x:v>
      </x:c>
      <x:c r="Q823" s="34" t="n">
        <x:f>-I823</x:f>
        <x:v>-1.6267521224495962</x:v>
      </x:c>
      <x:c r="R823" s="36" t="n">
        <x:f>YEAR(A823)</x:f>
        <x:v>2024</x:v>
      </x:c>
    </x:row>
    <x:row r="824">
      <x:c r="A824" s="30" t="n">
        <x:v>45385</x:v>
      </x:c>
      <x:c r="B824" s="38" t="n">
        <x:v>5211.49</x:v>
      </x:c>
      <x:c r="C824" s="34" t="n">
        <x:f>(B824/B823-1)*100</x:f>
        <x:v>0.10910886106099138</x:v>
      </x:c>
      <x:c r="D824" s="34" t="n">
        <x:f>Assumptions!$B$4*D823+(1-Assumptions!$B$4)*C823^2</x:f>
        <x:v>0.3975994157739593</x:v>
      </x:c>
      <x:c r="E824" s="34" t="n">
        <x:f>SQRT(D824)</x:f>
        <x:v>0.6305548475540881</x:v>
      </x:c>
      <x:c r="F824" s="34" t="n">
        <x:f>-Assumptions!$B$7*E824</x:f>
        <x:v>1.0371704279911749</x:v>
      </x:c>
      <x:c r="G824" s="34" t="n">
        <x:f>-Assumptions!$B$8*E824</x:f>
        <x:v>1.466889929073599</x:v>
      </x:c>
      <x:c r="H824" s="34" t="n">
        <x:f>-Assumptions!$B$9*E824</x:f>
        <x:v>0.9842013662913621</x:v>
      </x:c>
      <x:c r="I824" s="34" t="n">
        <x:f>-Assumptions!$B$10*E824</x:f>
        <x:v>1.6435182379241673</x:v>
      </x:c>
      <x:c r="J824" s="36" t="n">
        <x:f>IF(C824&lt;-F824,1,0)</x:f>
        <x:v>0</x:v>
      </x:c>
      <x:c r="K824" s="36" t="n">
        <x:f>IF(C824&lt;-G824,1,0)</x:f>
        <x:v>0</x:v>
      </x:c>
      <x:c r="L824" s="36" t="n">
        <x:f>IF(C824&lt;-H824,1,0)</x:f>
        <x:v>0</x:v>
      </x:c>
      <x:c r="M824" s="36" t="n">
        <x:f>IF(C824&lt;-I824,1,0)</x:f>
        <x:v>0</x:v>
      </x:c>
      <x:c r="N824" s="34" t="n">
        <x:f>-F824</x:f>
        <x:v>-1.0371704279911749</x:v>
      </x:c>
      <x:c r="O824" s="34" t="n">
        <x:f>-H824</x:f>
        <x:v>-0.9842013662913621</x:v>
      </x:c>
      <x:c r="P824" s="34" t="n">
        <x:f>-G824</x:f>
        <x:v>-1.466889929073599</x:v>
      </x:c>
      <x:c r="Q824" s="34" t="n">
        <x:f>-I824</x:f>
        <x:v>-1.6435182379241673</x:v>
      </x:c>
      <x:c r="R824" s="36" t="n">
        <x:f>YEAR(A824)</x:f>
        <x:v>2024</x:v>
      </x:c>
    </x:row>
    <x:row r="825">
      <x:c r="A825" s="30" t="n">
        <x:v>45386</x:v>
      </x:c>
      <x:c r="B825" s="38" t="n">
        <x:v>5147.21</x:v>
      </x:c>
      <x:c r="C825" s="34" t="n">
        <x:f>(B825/B824-1)*100</x:f>
        <x:v>-1.2334284436888443</x:v>
      </x:c>
      <x:c r="D825" s="34" t="n">
        <x:f>Assumptions!$B$4*D824+(1-Assumptions!$B$4)*C824^2</x:f>
        <x:v>0.3744577354412433</x:v>
      </x:c>
      <x:c r="E825" s="34" t="n">
        <x:f>SQRT(D825)</x:f>
        <x:v>0.6119295183607695</x:v>
      </x:c>
      <x:c r="F825" s="34" t="n">
        <x:f>-Assumptions!$B$7*E825</x:f>
        <x:v>1.0065344877143796</x:v>
      </x:c>
      <x:c r="G825" s="34" t="n">
        <x:f>-Assumptions!$B$8*E825</x:f>
        <x:v>1.4235609341014115</x:v>
      </x:c>
      <x:c r="H825" s="34" t="n">
        <x:f>-Assumptions!$B$9*E825</x:f>
        <x:v>0.9551300261679827</x:v>
      </x:c>
      <x:c r="I825" s="34" t="n">
        <x:f>-Assumptions!$B$10*E825</x:f>
        <x:v>1.594971995935385</x:v>
      </x:c>
      <x:c r="J825" s="36" t="n">
        <x:f>IF(C825&lt;-F825,1,0)</x:f>
        <x:v>1</x:v>
      </x:c>
      <x:c r="K825" s="36" t="n">
        <x:f>IF(C825&lt;-G825,1,0)</x:f>
        <x:v>0</x:v>
      </x:c>
      <x:c r="L825" s="36" t="n">
        <x:f>IF(C825&lt;-H825,1,0)</x:f>
        <x:v>1</x:v>
      </x:c>
      <x:c r="M825" s="36" t="n">
        <x:f>IF(C825&lt;-I825,1,0)</x:f>
        <x:v>0</x:v>
      </x:c>
      <x:c r="N825" s="34" t="n">
        <x:f>-F825</x:f>
        <x:v>-1.0065344877143796</x:v>
      </x:c>
      <x:c r="O825" s="34" t="n">
        <x:f>-H825</x:f>
        <x:v>-0.9551300261679827</x:v>
      </x:c>
      <x:c r="P825" s="34" t="n">
        <x:f>-G825</x:f>
        <x:v>-1.4235609341014115</x:v>
      </x:c>
      <x:c r="Q825" s="34" t="n">
        <x:f>-I825</x:f>
        <x:v>-1.594971995935385</x:v>
      </x:c>
      <x:c r="R825" s="36" t="n">
        <x:f>YEAR(A825)</x:f>
        <x:v>2024</x:v>
      </x:c>
    </x:row>
    <x:row r="826">
      <x:c r="A826" s="30" t="n">
        <x:v>45387</x:v>
      </x:c>
      <x:c r="B826" s="38" t="n">
        <x:v>5204.34</x:v>
      </x:c>
      <x:c r="C826" s="34" t="n">
        <x:f>(B826/B825-1)*100</x:f>
        <x:v>1.1099216857287653</x:v>
      </x:c>
      <x:c r="D826" s="34" t="n">
        <x:f>Assumptions!$B$4*D825+(1-Assumptions!$B$4)*C825^2</x:f>
        <x:v>0.44327101485680986</x:v>
      </x:c>
      <x:c r="E826" s="34" t="n">
        <x:f>SQRT(D826)</x:f>
        <x:v>0.6657860128125326</x:v>
      </x:c>
      <x:c r="F826" s="34" t="n">
        <x:f>-Assumptions!$B$7*E826</x:f>
        <x:v>1.095120537948254</x:v>
      </x:c>
      <x:c r="G826" s="34" t="n">
        <x:f>-Assumptions!$B$8*E826</x:f>
        <x:v>1.5488498754725628</x:v>
      </x:c>
      <x:c r="H826" s="34" t="n">
        <x:f>-Assumptions!$B$9*E826</x:f>
        <x:v>1.0391919212254808</x:v>
      </x:c>
      <x:c r="I826" s="34" t="n">
        <x:f>-Assumptions!$B$10*E826</x:f>
        <x:v>1.7353469866367954</x:v>
      </x:c>
      <x:c r="J826" s="36" t="n">
        <x:f>IF(C826&lt;-F826,1,0)</x:f>
        <x:v>0</x:v>
      </x:c>
      <x:c r="K826" s="36" t="n">
        <x:f>IF(C826&lt;-G826,1,0)</x:f>
        <x:v>0</x:v>
      </x:c>
      <x:c r="L826" s="36" t="n">
        <x:f>IF(C826&lt;-H826,1,0)</x:f>
        <x:v>0</x:v>
      </x:c>
      <x:c r="M826" s="36" t="n">
        <x:f>IF(C826&lt;-I826,1,0)</x:f>
        <x:v>0</x:v>
      </x:c>
      <x:c r="N826" s="34" t="n">
        <x:f>-F826</x:f>
        <x:v>-1.095120537948254</x:v>
      </x:c>
      <x:c r="O826" s="34" t="n">
        <x:f>-H826</x:f>
        <x:v>-1.0391919212254808</x:v>
      </x:c>
      <x:c r="P826" s="34" t="n">
        <x:f>-G826</x:f>
        <x:v>-1.5488498754725628</x:v>
      </x:c>
      <x:c r="Q826" s="34" t="n">
        <x:f>-I826</x:f>
        <x:v>-1.7353469866367954</x:v>
      </x:c>
      <x:c r="R826" s="36" t="n">
        <x:f>YEAR(A826)</x:f>
        <x:v>2024</x:v>
      </x:c>
    </x:row>
    <x:row r="827">
      <x:c r="A827" s="30" t="n">
        <x:v>45390</x:v>
      </x:c>
      <x:c r="B827" s="38" t="n">
        <x:v>5202.39</x:v>
      </x:c>
      <x:c r="C827" s="34" t="n">
        <x:f>(B827/B826-1)*100</x:f>
        <x:v>-0.037468728023148934</x:v>
      </x:c>
      <x:c r="D827" s="34" t="n">
        <x:f>Assumptions!$B$4*D826+(1-Assumptions!$B$4)*C826^2</x:f>
        <x:v>0.4905903228724604</x:v>
      </x:c>
      <x:c r="E827" s="34" t="n">
        <x:f>SQRT(D827)</x:f>
        <x:v>0.7004215322735734</x:v>
      </x:c>
      <x:c r="F827" s="34" t="n">
        <x:f>-Assumptions!$B$7*E827</x:f>
        <x:v>1.1520908977550952</x:v>
      </x:c>
      <x:c r="G827" s="34" t="n">
        <x:f>-Assumptions!$B$8*E827</x:f>
        <x:v>1.6294241425370553</x:v>
      </x:c>
      <x:c r="H827" s="34" t="n">
        <x:f>-Assumptions!$B$9*E827</x:f>
        <x:v>1.0932527625749613</x:v>
      </x:c>
      <x:c r="I827" s="34" t="n">
        <x:f>-Assumptions!$B$10*E827</x:f>
        <x:v>1.825623206278918</x:v>
      </x:c>
      <x:c r="J827" s="36" t="n">
        <x:f>IF(C827&lt;-F827,1,0)</x:f>
        <x:v>0</x:v>
      </x:c>
      <x:c r="K827" s="36" t="n">
        <x:f>IF(C827&lt;-G827,1,0)</x:f>
        <x:v>0</x:v>
      </x:c>
      <x:c r="L827" s="36" t="n">
        <x:f>IF(C827&lt;-H827,1,0)</x:f>
        <x:v>0</x:v>
      </x:c>
      <x:c r="M827" s="36" t="n">
        <x:f>IF(C827&lt;-I827,1,0)</x:f>
        <x:v>0</x:v>
      </x:c>
      <x:c r="N827" s="34" t="n">
        <x:f>-F827</x:f>
        <x:v>-1.1520908977550952</x:v>
      </x:c>
      <x:c r="O827" s="34" t="n">
        <x:f>-H827</x:f>
        <x:v>-1.0932527625749613</x:v>
      </x:c>
      <x:c r="P827" s="34" t="n">
        <x:f>-G827</x:f>
        <x:v>-1.6294241425370553</x:v>
      </x:c>
      <x:c r="Q827" s="34" t="n">
        <x:f>-I827</x:f>
        <x:v>-1.825623206278918</x:v>
      </x:c>
      <x:c r="R827" s="36" t="n">
        <x:f>YEAR(A827)</x:f>
        <x:v>2024</x:v>
      </x:c>
    </x:row>
    <x:row r="828">
      <x:c r="A828" s="30" t="n">
        <x:v>45391</x:v>
      </x:c>
      <x:c r="B828" s="38" t="n">
        <x:v>5209.91</x:v>
      </x:c>
      <x:c r="C828" s="34" t="n">
        <x:f>(B828/B827-1)*100</x:f>
        <x:v>0.1445489476951778</x:v>
      </x:c>
      <x:c r="D828" s="34" t="n">
        <x:f>Assumptions!$B$4*D827+(1-Assumptions!$B$4)*C827^2</x:f>
        <x:v>0.4612391378348931</x:v>
      </x:c>
      <x:c r="E828" s="34" t="n">
        <x:f>SQRT(D828)</x:f>
        <x:v>0.6791458884767639</x:v>
      </x:c>
      <x:c r="F828" s="34" t="n">
        <x:f>-Assumptions!$B$7*E828</x:f>
        <x:v>1.1170955778901857</x:v>
      </x:c>
      <x:c r="G828" s="34" t="n">
        <x:f>-Assumptions!$B$8*E828</x:f>
        <x:v>1.5799295938214974</x:v>
      </x:c>
      <x:c r="H828" s="34" t="n">
        <x:f>-Assumptions!$B$9*E828</x:f>
        <x:v>1.0600446796068066</x:v>
      </x:c>
      <x:c r="I828" s="34" t="n">
        <x:f>-Assumptions!$B$10*E828</x:f>
        <x:v>1.7701690158317736</x:v>
      </x:c>
      <x:c r="J828" s="36" t="n">
        <x:f>IF(C828&lt;-F828,1,0)</x:f>
        <x:v>0</x:v>
      </x:c>
      <x:c r="K828" s="36" t="n">
        <x:f>IF(C828&lt;-G828,1,0)</x:f>
        <x:v>0</x:v>
      </x:c>
      <x:c r="L828" s="36" t="n">
        <x:f>IF(C828&lt;-H828,1,0)</x:f>
        <x:v>0</x:v>
      </x:c>
      <x:c r="M828" s="36" t="n">
        <x:f>IF(C828&lt;-I828,1,0)</x:f>
        <x:v>0</x:v>
      </x:c>
      <x:c r="N828" s="34" t="n">
        <x:f>-F828</x:f>
        <x:v>-1.1170955778901857</x:v>
      </x:c>
      <x:c r="O828" s="34" t="n">
        <x:f>-H828</x:f>
        <x:v>-1.0600446796068066</x:v>
      </x:c>
      <x:c r="P828" s="34" t="n">
        <x:f>-G828</x:f>
        <x:v>-1.5799295938214974</x:v>
      </x:c>
      <x:c r="Q828" s="34" t="n">
        <x:f>-I828</x:f>
        <x:v>-1.7701690158317736</x:v>
      </x:c>
      <x:c r="R828" s="36" t="n">
        <x:f>YEAR(A828)</x:f>
        <x:v>2024</x:v>
      </x:c>
    </x:row>
    <x:row r="829">
      <x:c r="A829" s="30" t="n">
        <x:v>45392</x:v>
      </x:c>
      <x:c r="B829" s="38" t="n">
        <x:v>5160.64</x:v>
      </x:c>
      <x:c r="C829" s="34" t="n">
        <x:f>(B829/B828-1)*100</x:f>
        <x:v>-0.9456977183866844</x:v>
      </x:c>
      <x:c r="D829" s="34" t="n">
        <x:f>Assumptions!$B$4*D828+(1-Assumptions!$B$4)*C828^2</x:f>
        <x:v>0.4348184534615865</x:v>
      </x:c>
      <x:c r="E829" s="34" t="n">
        <x:f>SQRT(D829)</x:f>
        <x:v>0.6594076534751371</x:v>
      </x:c>
      <x:c r="F829" s="34" t="n">
        <x:f>-Assumptions!$B$7*E829</x:f>
        <x:v>1.0846290704581392</x:v>
      </x:c>
      <x:c r="G829" s="34" t="n">
        <x:f>-Assumptions!$B$8*E829</x:f>
        <x:v>1.5340115927881444</x:v>
      </x:c>
      <x:c r="H829" s="34" t="n">
        <x:f>-Assumptions!$B$9*E829</x:f>
        <x:v>1.0292362607481842</x:v>
      </x:c>
      <x:c r="I829" s="34" t="n">
        <x:f>-Assumptions!$B$10*E829</x:f>
        <x:v>1.7187220253987578</x:v>
      </x:c>
      <x:c r="J829" s="36" t="n">
        <x:f>IF(C829&lt;-F829,1,0)</x:f>
        <x:v>0</x:v>
      </x:c>
      <x:c r="K829" s="36" t="n">
        <x:f>IF(C829&lt;-G829,1,0)</x:f>
        <x:v>0</x:v>
      </x:c>
      <x:c r="L829" s="36" t="n">
        <x:f>IF(C829&lt;-H829,1,0)</x:f>
        <x:v>0</x:v>
      </x:c>
      <x:c r="M829" s="36" t="n">
        <x:f>IF(C829&lt;-I829,1,0)</x:f>
        <x:v>0</x:v>
      </x:c>
      <x:c r="N829" s="34" t="n">
        <x:f>-F829</x:f>
        <x:v>-1.0846290704581392</x:v>
      </x:c>
      <x:c r="O829" s="34" t="n">
        <x:f>-H829</x:f>
        <x:v>-1.0292362607481842</x:v>
      </x:c>
      <x:c r="P829" s="34" t="n">
        <x:f>-G829</x:f>
        <x:v>-1.5340115927881444</x:v>
      </x:c>
      <x:c r="Q829" s="34" t="n">
        <x:f>-I829</x:f>
        <x:v>-1.7187220253987578</x:v>
      </x:c>
      <x:c r="R829" s="36" t="n">
        <x:f>YEAR(A829)</x:f>
        <x:v>2024</x:v>
      </x:c>
    </x:row>
    <x:row r="830">
      <x:c r="A830" s="30" t="n">
        <x:v>45393</x:v>
      </x:c>
      <x:c r="B830" s="38" t="n">
        <x:v>5199.06</x:v>
      </x:c>
      <x:c r="C830" s="34" t="n">
        <x:f>(B830/B829-1)*100</x:f>
        <x:v>0.7444813046443954</x:v>
      </x:c>
      <x:c r="D830" s="34" t="n">
        <x:f>Assumptions!$B$4*D829+(1-Assumptions!$B$4)*C829^2</x:f>
        <x:v>0.4623899967275982</x:v>
      </x:c>
      <x:c r="E830" s="34" t="n">
        <x:f>SQRT(D830)</x:f>
        <x:v>0.679992644612865</x:v>
      </x:c>
      <x:c r="F830" s="34" t="n">
        <x:f>-Assumptions!$B$7*E830</x:f>
        <x:v>1.118488367791795</x:v>
      </x:c>
      <x:c r="G830" s="34" t="n">
        <x:f>-Assumptions!$B$8*E830</x:f>
        <x:v>1.5818994431585471</x:v>
      </x:c>
      <x:c r="H830" s="34" t="n">
        <x:f>-Assumptions!$B$9*E830</x:f>
        <x:v>1.0613663386968906</x:v>
      </x:c>
      <x:c r="I830" s="34" t="n">
        <x:f>-Assumptions!$B$10*E830</x:f>
        <x:v>1.7723760548517011</x:v>
      </x:c>
      <x:c r="J830" s="36" t="n">
        <x:f>IF(C830&lt;-F830,1,0)</x:f>
        <x:v>0</x:v>
      </x:c>
      <x:c r="K830" s="36" t="n">
        <x:f>IF(C830&lt;-G830,1,0)</x:f>
        <x:v>0</x:v>
      </x:c>
      <x:c r="L830" s="36" t="n">
        <x:f>IF(C830&lt;-H830,1,0)</x:f>
        <x:v>0</x:v>
      </x:c>
      <x:c r="M830" s="36" t="n">
        <x:f>IF(C830&lt;-I830,1,0)</x:f>
        <x:v>0</x:v>
      </x:c>
      <x:c r="N830" s="34" t="n">
        <x:f>-F830</x:f>
        <x:v>-1.118488367791795</x:v>
      </x:c>
      <x:c r="O830" s="34" t="n">
        <x:f>-H830</x:f>
        <x:v>-1.0613663386968906</x:v>
      </x:c>
      <x:c r="P830" s="34" t="n">
        <x:f>-G830</x:f>
        <x:v>-1.5818994431585471</x:v>
      </x:c>
      <x:c r="Q830" s="34" t="n">
        <x:f>-I830</x:f>
        <x:v>-1.7723760548517011</x:v>
      </x:c>
      <x:c r="R830" s="36" t="n">
        <x:f>YEAR(A830)</x:f>
        <x:v>2024</x:v>
      </x:c>
    </x:row>
    <x:row r="831">
      <x:c r="A831" s="30" t="n">
        <x:v>45394</x:v>
      </x:c>
      <x:c r="B831" s="38" t="n">
        <x:v>5123.41</x:v>
      </x:c>
      <x:c r="C831" s="34" t="n">
        <x:f>(B831/B830-1)*100</x:f>
        <x:v>-1.4550707243232486</x:v>
      </x:c>
      <x:c r="D831" s="34" t="n">
        <x:f>Assumptions!$B$4*D830+(1-Assumptions!$B$4)*C830^2</x:f>
        <x:v>0.46790174170184357</x:v>
      </x:c>
      <x:c r="E831" s="34" t="n">
        <x:f>SQRT(D831)</x:f>
        <x:v>0.6840334360993208</x:v>
      </x:c>
      <x:c r="F831" s="34" t="n">
        <x:f>-Assumptions!$B$7*E831</x:f>
        <x:v>1.1251348783240462</x:v>
      </x:c>
      <x:c r="G831" s="34" t="n">
        <x:f>-Assumptions!$B$8*E831</x:f>
        <x:v>1.5912997298425058</x:v>
      </x:c>
      <x:c r="H831" s="34" t="n">
        <x:f>-Assumptions!$B$9*E831</x:f>
        <x:v>1.0676734070150469</x:v>
      </x:c>
      <x:c r="I831" s="34" t="n">
        <x:f>-Assumptions!$B$10*E831</x:f>
        <x:v>1.782908230647985</x:v>
      </x:c>
      <x:c r="J831" s="36" t="n">
        <x:f>IF(C831&lt;-F831,1,0)</x:f>
        <x:v>1</x:v>
      </x:c>
      <x:c r="K831" s="36" t="n">
        <x:f>IF(C831&lt;-G831,1,0)</x:f>
        <x:v>0</x:v>
      </x:c>
      <x:c r="L831" s="36" t="n">
        <x:f>IF(C831&lt;-H831,1,0)</x:f>
        <x:v>1</x:v>
      </x:c>
      <x:c r="M831" s="36" t="n">
        <x:f>IF(C831&lt;-I831,1,0)</x:f>
        <x:v>0</x:v>
      </x:c>
      <x:c r="N831" s="34" t="n">
        <x:f>-F831</x:f>
        <x:v>-1.1251348783240462</x:v>
      </x:c>
      <x:c r="O831" s="34" t="n">
        <x:f>-H831</x:f>
        <x:v>-1.0676734070150469</x:v>
      </x:c>
      <x:c r="P831" s="34" t="n">
        <x:f>-G831</x:f>
        <x:v>-1.5912997298425058</x:v>
      </x:c>
      <x:c r="Q831" s="34" t="n">
        <x:f>-I831</x:f>
        <x:v>-1.782908230647985</x:v>
      </x:c>
      <x:c r="R831" s="36" t="n">
        <x:f>YEAR(A831)</x:f>
        <x:v>2024</x:v>
      </x:c>
    </x:row>
    <x:row r="832">
      <x:c r="A832" s="30" t="n">
        <x:v>45397</x:v>
      </x:c>
      <x:c r="B832" s="38" t="n">
        <x:v>5061.82</x:v>
      </x:c>
      <x:c r="C832" s="34" t="n">
        <x:f>(B832/B831-1)*100</x:f>
        <x:v>-1.2021290507689297</x:v>
      </x:c>
      <x:c r="D832" s="34" t="n">
        <x:f>Assumptions!$B$4*D831+(1-Assumptions!$B$4)*C831^2</x:f>
        <x:v>0.5668614859666881</x:v>
      </x:c>
      <x:c r="E832" s="34" t="n">
        <x:f>SQRT(D832)</x:f>
        <x:v>0.7529020427430703</x:v>
      </x:c>
      <x:c r="F832" s="34" t="n">
        <x:f>-Assumptions!$B$7*E832</x:f>
        <x:v>1.238413655745112</x:v>
      </x:c>
      <x:c r="G832" s="34" t="n">
        <x:f>-Assumptions!$B$8*E832</x:f>
        <x:v>1.7515120664963475</x:v>
      </x:c>
      <x:c r="H832" s="34" t="n">
        <x:f>-Assumptions!$B$9*E832</x:f>
        <x:v>1.1751669533992835</x:v>
      </x:c>
      <x:c r="I832" s="34" t="n">
        <x:f>-Assumptions!$B$10*E832</x:f>
        <x:v>1.9624117448600755</x:v>
      </x:c>
      <x:c r="J832" s="36" t="n">
        <x:f>IF(C832&lt;-F832,1,0)</x:f>
        <x:v>0</x:v>
      </x:c>
      <x:c r="K832" s="36" t="n">
        <x:f>IF(C832&lt;-G832,1,0)</x:f>
        <x:v>0</x:v>
      </x:c>
      <x:c r="L832" s="36" t="n">
        <x:f>IF(C832&lt;-H832,1,0)</x:f>
        <x:v>1</x:v>
      </x:c>
      <x:c r="M832" s="36" t="n">
        <x:f>IF(C832&lt;-I832,1,0)</x:f>
        <x:v>0</x:v>
      </x:c>
      <x:c r="N832" s="34" t="n">
        <x:f>-F832</x:f>
        <x:v>-1.238413655745112</x:v>
      </x:c>
      <x:c r="O832" s="34" t="n">
        <x:f>-H832</x:f>
        <x:v>-1.1751669533992835</x:v>
      </x:c>
      <x:c r="P832" s="34" t="n">
        <x:f>-G832</x:f>
        <x:v>-1.7515120664963475</x:v>
      </x:c>
      <x:c r="Q832" s="34" t="n">
        <x:f>-I832</x:f>
        <x:v>-1.9624117448600755</x:v>
      </x:c>
      <x:c r="R832" s="36" t="n">
        <x:f>YEAR(A832)</x:f>
        <x:v>2024</x:v>
      </x:c>
    </x:row>
    <x:row r="833">
      <x:c r="A833" s="30" t="n">
        <x:v>45398</x:v>
      </x:c>
      <x:c r="B833" s="38" t="n">
        <x:v>5051.41</x:v>
      </x:c>
      <x:c r="C833" s="34" t="n">
        <x:f>(B833/B832-1)*100</x:f>
        <x:v>-0.2056572537150636</x:v>
      </x:c>
      <x:c r="D833" s="34" t="n">
        <x:f>Assumptions!$B$4*D832+(1-Assumptions!$B$4)*C832^2</x:f>
        <x:v>0.6195566520908433</x:v>
      </x:c>
      <x:c r="E833" s="34" t="n">
        <x:f>SQRT(D833)</x:f>
        <x:v>0.7871192108510904</x:v>
      </x:c>
      <x:c r="F833" s="34" t="n">
        <x:f>-Assumptions!$B$7*E833</x:f>
        <x:v>1.2946958888115971</x:v>
      </x:c>
      <x:c r="G833" s="34" t="n">
        <x:f>-Assumptions!$B$8*E833</x:f>
        <x:v>1.831113102780138</x:v>
      </x:c>
      <x:c r="H833" s="34" t="n">
        <x:f>-Assumptions!$B$9*E833</x:f>
        <x:v>1.228574811150541</x:v>
      </x:c>
      <x:c r="I833" s="34" t="n">
        <x:f>-Assumptions!$B$10*E833</x:f>
        <x:v>2.0515975469418275</x:v>
      </x:c>
      <x:c r="J833" s="36" t="n">
        <x:f>IF(C833&lt;-F833,1,0)</x:f>
        <x:v>0</x:v>
      </x:c>
      <x:c r="K833" s="36" t="n">
        <x:f>IF(C833&lt;-G833,1,0)</x:f>
        <x:v>0</x:v>
      </x:c>
      <x:c r="L833" s="36" t="n">
        <x:f>IF(C833&lt;-H833,1,0)</x:f>
        <x:v>0</x:v>
      </x:c>
      <x:c r="M833" s="36" t="n">
        <x:f>IF(C833&lt;-I833,1,0)</x:f>
        <x:v>0</x:v>
      </x:c>
      <x:c r="N833" s="34" t="n">
        <x:f>-F833</x:f>
        <x:v>-1.2946958888115971</x:v>
      </x:c>
      <x:c r="O833" s="34" t="n">
        <x:f>-H833</x:f>
        <x:v>-1.228574811150541</x:v>
      </x:c>
      <x:c r="P833" s="34" t="n">
        <x:f>-G833</x:f>
        <x:v>-1.831113102780138</x:v>
      </x:c>
      <x:c r="Q833" s="34" t="n">
        <x:f>-I833</x:f>
        <x:v>-2.0515975469418275</x:v>
      </x:c>
      <x:c r="R833" s="36" t="n">
        <x:f>YEAR(A833)</x:f>
        <x:v>2024</x:v>
      </x:c>
    </x:row>
    <x:row r="834">
      <x:c r="A834" s="30" t="n">
        <x:v>45399</x:v>
      </x:c>
      <x:c r="B834" s="38" t="n">
        <x:v>5022.21</x:v>
      </x:c>
      <x:c r="C834" s="34" t="n">
        <x:f>(B834/B833-1)*100</x:f>
        <x:v>-0.5780564238499708</x:v>
      </x:c>
      <x:c r="D834" s="34" t="n">
        <x:f>Assumptions!$B$4*D833+(1-Assumptions!$B$4)*C833^2</x:f>
        <x:v>0.5849209473257301</x:v>
      </x:c>
      <x:c r="E834" s="34" t="n">
        <x:f>SQRT(D834)</x:f>
        <x:v>0.7648012469431061</x:v>
      </x:c>
      <x:c r="F834" s="34" t="n">
        <x:f>-Assumptions!$B$7*E834</x:f>
        <x:v>1.2579861049313772</x:v>
      </x:c>
      <x:c r="G834" s="34" t="n">
        <x:f>-Assumptions!$B$8*E834</x:f>
        <x:v>1.7791937548898786</x:v>
      </x:c>
      <x:c r="H834" s="34" t="n">
        <x:f>-Assumptions!$B$9*E834</x:f>
        <x:v>1.1937398231137624</x:v>
      </x:c>
      <x:c r="I834" s="34" t="n">
        <x:f>-Assumptions!$B$10*E834</x:f>
        <x:v>1.9934265870984667</x:v>
      </x:c>
      <x:c r="J834" s="36" t="n">
        <x:f>IF(C834&lt;-F834,1,0)</x:f>
        <x:v>0</x:v>
      </x:c>
      <x:c r="K834" s="36" t="n">
        <x:f>IF(C834&lt;-G834,1,0)</x:f>
        <x:v>0</x:v>
      </x:c>
      <x:c r="L834" s="36" t="n">
        <x:f>IF(C834&lt;-H834,1,0)</x:f>
        <x:v>0</x:v>
      </x:c>
      <x:c r="M834" s="36" t="n">
        <x:f>IF(C834&lt;-I834,1,0)</x:f>
        <x:v>0</x:v>
      </x:c>
      <x:c r="N834" s="34" t="n">
        <x:f>-F834</x:f>
        <x:v>-1.2579861049313772</x:v>
      </x:c>
      <x:c r="O834" s="34" t="n">
        <x:f>-H834</x:f>
        <x:v>-1.1937398231137624</x:v>
      </x:c>
      <x:c r="P834" s="34" t="n">
        <x:f>-G834</x:f>
        <x:v>-1.7791937548898786</x:v>
      </x:c>
      <x:c r="Q834" s="34" t="n">
        <x:f>-I834</x:f>
        <x:v>-1.9934265870984667</x:v>
      </x:c>
      <x:c r="R834" s="36" t="n">
        <x:f>YEAR(A834)</x:f>
        <x:v>2024</x:v>
      </x:c>
    </x:row>
    <x:row r="835">
      <x:c r="A835" s="30" t="n">
        <x:v>45400</x:v>
      </x:c>
      <x:c r="B835" s="38" t="n">
        <x:v>5011.12</x:v>
      </x:c>
      <x:c r="C835" s="34" t="n">
        <x:f>(B835/B834-1)*100</x:f>
        <x:v>-0.22081912146246774</x:v>
      </x:c>
      <x:c r="D835" s="34" t="n">
        <x:f>Assumptions!$B$4*D834+(1-Assumptions!$B$4)*C834^2</x:f>
        <x:v>0.5698746442354393</x:v>
      </x:c>
      <x:c r="E835" s="34" t="n">
        <x:f>SQRT(D835)</x:f>
        <x:v>0.7549004200789925</x:v>
      </x:c>
      <x:c r="F835" s="34" t="n">
        <x:f>-Assumptions!$B$7*E835</x:f>
        <x:v>1.2417006939541213</x:v>
      </x:c>
      <x:c r="G835" s="34" t="n">
        <x:f>-Assumptions!$B$8*E835</x:f>
        <x:v>1.7561609873633015</x:v>
      </x:c>
      <x:c r="H835" s="34" t="n">
        <x:f>-Assumptions!$B$9*E835</x:f>
        <x:v>1.178286120133168</x:v>
      </x:c>
      <x:c r="I835" s="34" t="n">
        <x:f>-Assumptions!$B$10*E835</x:f>
        <x:v>1.9676204425817447</x:v>
      </x:c>
      <x:c r="J835" s="36" t="n">
        <x:f>IF(C835&lt;-F835,1,0)</x:f>
        <x:v>0</x:v>
      </x:c>
      <x:c r="K835" s="36" t="n">
        <x:f>IF(C835&lt;-G835,1,0)</x:f>
        <x:v>0</x:v>
      </x:c>
      <x:c r="L835" s="36" t="n">
        <x:f>IF(C835&lt;-H835,1,0)</x:f>
        <x:v>0</x:v>
      </x:c>
      <x:c r="M835" s="36" t="n">
        <x:f>IF(C835&lt;-I835,1,0)</x:f>
        <x:v>0</x:v>
      </x:c>
      <x:c r="N835" s="34" t="n">
        <x:f>-F835</x:f>
        <x:v>-1.2417006939541213</x:v>
      </x:c>
      <x:c r="O835" s="34" t="n">
        <x:f>-H835</x:f>
        <x:v>-1.178286120133168</x:v>
      </x:c>
      <x:c r="P835" s="34" t="n">
        <x:f>-G835</x:f>
        <x:v>-1.7561609873633015</x:v>
      </x:c>
      <x:c r="Q835" s="34" t="n">
        <x:f>-I835</x:f>
        <x:v>-1.9676204425817447</x:v>
      </x:c>
      <x:c r="R835" s="36" t="n">
        <x:f>YEAR(A835)</x:f>
        <x:v>2024</x:v>
      </x:c>
    </x:row>
    <x:row r="836">
      <x:c r="A836" s="30" t="n">
        <x:v>45401</x:v>
      </x:c>
      <x:c r="B836" s="38" t="n">
        <x:v>4967.23</x:v>
      </x:c>
      <x:c r="C836" s="34" t="n">
        <x:f>(B836/B835-1)*100</x:f>
        <x:v>-0.8758521049186729</x:v>
      </x:c>
      <x:c r="D836" s="34" t="n">
        <x:f>Assumptions!$B$4*D835+(1-Assumptions!$B$4)*C835^2</x:f>
        <x:v>0.5386078306455203</x:v>
      </x:c>
      <x:c r="E836" s="34" t="n">
        <x:f>SQRT(D836)</x:f>
        <x:v>0.7338990602565998</x:v>
      </x:c>
      <x:c r="F836" s="34" t="n">
        <x:f>-Assumptions!$B$7*E836</x:f>
        <x:v>1.2071565310793457</x:v>
      </x:c>
      <x:c r="G836" s="34" t="n">
        <x:f>-Assumptions!$B$8*E836</x:f>
        <x:v>1.7073045185885114</x:v>
      </x:c>
      <x:c r="H836" s="34" t="n">
        <x:f>-Assumptions!$B$9*E836</x:f>
        <x:v>1.1455061532336155</x:v>
      </x:c>
      <x:c r="I836" s="34" t="n">
        <x:f>-Assumptions!$B$10*E836</x:f>
        <x:v>1.9128811633212686</x:v>
      </x:c>
      <x:c r="J836" s="36" t="n">
        <x:f>IF(C836&lt;-F836,1,0)</x:f>
        <x:v>0</x:v>
      </x:c>
      <x:c r="K836" s="36" t="n">
        <x:f>IF(C836&lt;-G836,1,0)</x:f>
        <x:v>0</x:v>
      </x:c>
      <x:c r="L836" s="36" t="n">
        <x:f>IF(C836&lt;-H836,1,0)</x:f>
        <x:v>0</x:v>
      </x:c>
      <x:c r="M836" s="36" t="n">
        <x:f>IF(C836&lt;-I836,1,0)</x:f>
        <x:v>0</x:v>
      </x:c>
      <x:c r="N836" s="34" t="n">
        <x:f>-F836</x:f>
        <x:v>-1.2071565310793457</x:v>
      </x:c>
      <x:c r="O836" s="34" t="n">
        <x:f>-H836</x:f>
        <x:v>-1.1455061532336155</x:v>
      </x:c>
      <x:c r="P836" s="34" t="n">
        <x:f>-G836</x:f>
        <x:v>-1.7073045185885114</x:v>
      </x:c>
      <x:c r="Q836" s="34" t="n">
        <x:f>-I836</x:f>
        <x:v>-1.9128811633212686</x:v>
      </x:c>
      <x:c r="R836" s="36" t="n">
        <x:f>YEAR(A836)</x:f>
        <x:v>2024</x:v>
      </x:c>
    </x:row>
    <x:row r="837">
      <x:c r="A837" s="30" t="n">
        <x:v>45404</x:v>
      </x:c>
      <x:c r="B837" s="38" t="n">
        <x:v>5010.6</x:v>
      </x:c>
      <x:c r="C837" s="34" t="n">
        <x:f>(B837/B836-1)*100</x:f>
        <x:v>0.8731224445012842</x:v>
      </x:c>
      <x:c r="D837" s="34" t="n">
        <x:f>Assumptions!$B$4*D836+(1-Assumptions!$B$4)*C836^2</x:f>
        <x:v>0.5523183753882173</x:v>
      </x:c>
      <x:c r="E837" s="34" t="n">
        <x:f>SQRT(D837)</x:f>
        <x:v>0.7431812533885777</x:v>
      </x:c>
      <x:c r="F837" s="34" t="n">
        <x:f>-Assumptions!$B$7*E837</x:f>
        <x:v>1.2224243801185435</x:v>
      </x:c>
      <x:c r="G837" s="34" t="n">
        <x:f>-Assumptions!$B$8*E837</x:f>
        <x:v>1.7288981288475247</x:v>
      </x:c>
      <x:c r="H837" s="34" t="n">
        <x:f>-Assumptions!$B$9*E837</x:f>
        <x:v>1.1599942619177521</x:v>
      </x:c>
      <x:c r="I837" s="34" t="n">
        <x:f>-Assumptions!$B$10*E837</x:f>
        <x:v>1.9370748615530968</x:v>
      </x:c>
      <x:c r="J837" s="36" t="n">
        <x:f>IF(C837&lt;-F837,1,0)</x:f>
        <x:v>0</x:v>
      </x:c>
      <x:c r="K837" s="36" t="n">
        <x:f>IF(C837&lt;-G837,1,0)</x:f>
        <x:v>0</x:v>
      </x:c>
      <x:c r="L837" s="36" t="n">
        <x:f>IF(C837&lt;-H837,1,0)</x:f>
        <x:v>0</x:v>
      </x:c>
      <x:c r="M837" s="36" t="n">
        <x:f>IF(C837&lt;-I837,1,0)</x:f>
        <x:v>0</x:v>
      </x:c>
      <x:c r="N837" s="34" t="n">
        <x:f>-F837</x:f>
        <x:v>-1.2224243801185435</x:v>
      </x:c>
      <x:c r="O837" s="34" t="n">
        <x:f>-H837</x:f>
        <x:v>-1.1599942619177521</x:v>
      </x:c>
      <x:c r="P837" s="34" t="n">
        <x:f>-G837</x:f>
        <x:v>-1.7288981288475247</x:v>
      </x:c>
      <x:c r="Q837" s="34" t="n">
        <x:f>-I837</x:f>
        <x:v>-1.9370748615530968</x:v>
      </x:c>
      <x:c r="R837" s="36" t="n">
        <x:f>YEAR(A837)</x:f>
        <x:v>2024</x:v>
      </x:c>
    </x:row>
    <x:row r="838">
      <x:c r="A838" s="30" t="n">
        <x:v>45405</x:v>
      </x:c>
      <x:c r="B838" s="38" t="n">
        <x:v>5070.55</x:v>
      </x:c>
      <x:c r="C838" s="34" t="n">
        <x:f>(B838/B837-1)*100</x:f>
        <x:v>1.196463497385536</x:v>
      </x:c>
      <x:c r="D838" s="34" t="n">
        <x:f>Assumptions!$B$4*D837+(1-Assumptions!$B$4)*C837^2</x:f>
        <x:v>0.5649198410504381</x:v>
      </x:c>
      <x:c r="E838" s="34" t="n">
        <x:f>SQRT(D838)</x:f>
        <x:v>0.7516114960871993</x:v>
      </x:c>
      <x:c r="F838" s="34" t="n">
        <x:f>-Assumptions!$B$7*E838</x:f>
        <x:v>1.2362908953974525</x:v>
      </x:c>
      <x:c r="G838" s="34" t="n">
        <x:f>-Assumptions!$B$8*E838</x:f>
        <x:v>1.7485098060271116</x:v>
      </x:c>
      <x:c r="H838" s="34" t="n">
        <x:f>-Assumptions!$B$9*E838</x:f>
        <x:v>1.1731526039943143</x:v>
      </x:c>
      <x:c r="I838" s="34" t="n">
        <x:f>-Assumptions!$B$10*E838</x:f>
        <x:v>1.9590479820184394</x:v>
      </x:c>
      <x:c r="J838" s="36" t="n">
        <x:f>IF(C838&lt;-F838,1,0)</x:f>
        <x:v>0</x:v>
      </x:c>
      <x:c r="K838" s="36" t="n">
        <x:f>IF(C838&lt;-G838,1,0)</x:f>
        <x:v>0</x:v>
      </x:c>
      <x:c r="L838" s="36" t="n">
        <x:f>IF(C838&lt;-H838,1,0)</x:f>
        <x:v>0</x:v>
      </x:c>
      <x:c r="M838" s="36" t="n">
        <x:f>IF(C838&lt;-I838,1,0)</x:f>
        <x:v>0</x:v>
      </x:c>
      <x:c r="N838" s="34" t="n">
        <x:f>-F838</x:f>
        <x:v>-1.2362908953974525</x:v>
      </x:c>
      <x:c r="O838" s="34" t="n">
        <x:f>-H838</x:f>
        <x:v>-1.1731526039943143</x:v>
      </x:c>
      <x:c r="P838" s="34" t="n">
        <x:f>-G838</x:f>
        <x:v>-1.7485098060271116</x:v>
      </x:c>
      <x:c r="Q838" s="34" t="n">
        <x:f>-I838</x:f>
        <x:v>-1.9590479820184394</x:v>
      </x:c>
      <x:c r="R838" s="36" t="n">
        <x:f>YEAR(A838)</x:f>
        <x:v>2024</x:v>
      </x:c>
    </x:row>
    <x:row r="839">
      <x:c r="A839" s="30" t="n">
        <x:v>45406</x:v>
      </x:c>
      <x:c r="B839" s="38" t="n">
        <x:v>5071.63</x:v>
      </x:c>
      <x:c r="C839" s="34" t="n">
        <x:f>(B839/B838-1)*100</x:f>
        <x:v>0.02129946455513565</x:v>
      </x:c>
      <x:c r="D839" s="34" t="n">
        <x:f>Assumptions!$B$4*D838+(1-Assumptions!$B$4)*C838^2</x:f>
        <x:v>0.6169161446219735</x:v>
      </x:c>
      <x:c r="E839" s="34" t="n">
        <x:f>SQRT(D839)</x:f>
        <x:v>0.7854400961384475</x:v>
      </x:c>
      <x:c r="F839" s="34" t="n">
        <x:f>-Assumptions!$B$7*E839</x:f>
        <x:v>1.291933990886439</x:v>
      </x:c>
      <x:c r="G839" s="34" t="n">
        <x:f>-Assumptions!$B$8*E839</x:f>
        <x:v>1.8272068978381104</x:v>
      </x:c>
      <x:c r="H839" s="34" t="n">
        <x:f>-Assumptions!$B$9*E839</x:f>
        <x:v>1.2259539653973865</x:v>
      </x:c>
      <x:c r="I839" s="34" t="n">
        <x:f>-Assumptions!$B$10*E839</x:f>
        <x:v>2.0472209956164353</x:v>
      </x:c>
      <x:c r="J839" s="36" t="n">
        <x:f>IF(C839&lt;-F839,1,0)</x:f>
        <x:v>0</x:v>
      </x:c>
      <x:c r="K839" s="36" t="n">
        <x:f>IF(C839&lt;-G839,1,0)</x:f>
        <x:v>0</x:v>
      </x:c>
      <x:c r="L839" s="36" t="n">
        <x:f>IF(C839&lt;-H839,1,0)</x:f>
        <x:v>0</x:v>
      </x:c>
      <x:c r="M839" s="36" t="n">
        <x:f>IF(C839&lt;-I839,1,0)</x:f>
        <x:v>0</x:v>
      </x:c>
      <x:c r="N839" s="34" t="n">
        <x:f>-F839</x:f>
        <x:v>-1.291933990886439</x:v>
      </x:c>
      <x:c r="O839" s="34" t="n">
        <x:f>-H839</x:f>
        <x:v>-1.2259539653973865</x:v>
      </x:c>
      <x:c r="P839" s="34" t="n">
        <x:f>-G839</x:f>
        <x:v>-1.8272068978381104</x:v>
      </x:c>
      <x:c r="Q839" s="34" t="n">
        <x:f>-I839</x:f>
        <x:v>-2.0472209956164353</x:v>
      </x:c>
      <x:c r="R839" s="36" t="n">
        <x:f>YEAR(A839)</x:f>
        <x:v>2024</x:v>
      </x:c>
    </x:row>
    <x:row r="840">
      <x:c r="A840" s="30" t="n">
        <x:v>45407</x:v>
      </x:c>
      <x:c r="B840" s="38" t="n">
        <x:v>5048.42</x:v>
      </x:c>
      <x:c r="C840" s="34" t="n">
        <x:f>(B840/B839-1)*100</x:f>
        <x:v>-0.4576437949929346</x:v>
      </x:c>
      <x:c r="D840" s="34" t="n">
        <x:f>Assumptions!$B$4*D839+(1-Assumptions!$B$4)*C839^2</x:f>
        <x:v>0.5799283959760752</x:v>
      </x:c>
      <x:c r="E840" s="34" t="n">
        <x:f>SQRT(D840)</x:f>
        <x:v>0.7615302987905833</x:v>
      </x:c>
      <x:c r="F840" s="34" t="n">
        <x:f>-Assumptions!$B$7*E840</x:f>
        <x:v>1.2526058739991297</x:v>
      </x:c>
      <x:c r="G840" s="34" t="n">
        <x:f>-Assumptions!$B$8*E840</x:f>
        <x:v>1.7715843916091594</x:v>
      </x:c>
      <x:c r="H840" s="34" t="n">
        <x:f>-Assumptions!$B$9*E840</x:f>
        <x:v>1.1886343645588584</x:v>
      </x:c>
      <x:c r="I840" s="34" t="n">
        <x:f>-Assumptions!$B$10*E840</x:f>
        <x:v>1.9849009799053279</x:v>
      </x:c>
      <x:c r="J840" s="36" t="n">
        <x:f>IF(C840&lt;-F840,1,0)</x:f>
        <x:v>0</x:v>
      </x:c>
      <x:c r="K840" s="36" t="n">
        <x:f>IF(C840&lt;-G840,1,0)</x:f>
        <x:v>0</x:v>
      </x:c>
      <x:c r="L840" s="36" t="n">
        <x:f>IF(C840&lt;-H840,1,0)</x:f>
        <x:v>0</x:v>
      </x:c>
      <x:c r="M840" s="36" t="n">
        <x:f>IF(C840&lt;-I840,1,0)</x:f>
        <x:v>0</x:v>
      </x:c>
      <x:c r="N840" s="34" t="n">
        <x:f>-F840</x:f>
        <x:v>-1.2526058739991297</x:v>
      </x:c>
      <x:c r="O840" s="34" t="n">
        <x:f>-H840</x:f>
        <x:v>-1.1886343645588584</x:v>
      </x:c>
      <x:c r="P840" s="34" t="n">
        <x:f>-G840</x:f>
        <x:v>-1.7715843916091594</x:v>
      </x:c>
      <x:c r="Q840" s="34" t="n">
        <x:f>-I840</x:f>
        <x:v>-1.9849009799053279</x:v>
      </x:c>
      <x:c r="R840" s="36" t="n">
        <x:f>YEAR(A840)</x:f>
        <x:v>2024</x:v>
      </x:c>
    </x:row>
    <x:row r="841">
      <x:c r="A841" s="30" t="n">
        <x:v>45408</x:v>
      </x:c>
      <x:c r="B841" s="38" t="n">
        <x:v>5099.96</x:v>
      </x:c>
      <x:c r="C841" s="34" t="n">
        <x:f>(B841/B840-1)*100</x:f>
        <x:v>1.0209134739185721</x:v>
      </x:c>
      <x:c r="D841" s="34" t="n">
        <x:f>Assumptions!$B$4*D840+(1-Assumptions!$B$4)*C840^2</x:f>
        <x:v>0.5576989628032427</x:v>
      </x:c>
      <x:c r="E841" s="34" t="n">
        <x:f>SQRT(D841)</x:f>
        <x:v>0.7467924496158506</x:v>
      </x:c>
      <x:c r="F841" s="34" t="n">
        <x:f>-Assumptions!$B$7*E841</x:f>
        <x:v>1.228364269330607</x:v>
      </x:c>
      <x:c r="G841" s="34" t="n">
        <x:f>-Assumptions!$B$8*E841</x:f>
        <x:v>1.7372990275135853</x:v>
      </x:c>
      <x:c r="H841" s="34" t="n">
        <x:f>-Assumptions!$B$9*E841</x:f>
        <x:v>1.1656307965897392</x:v>
      </x:c>
      <x:c r="I841" s="34" t="n">
        <x:f>-Assumptions!$B$10*E841</x:f>
        <x:v>1.946487312957234</x:v>
      </x:c>
      <x:c r="J841" s="36" t="n">
        <x:f>IF(C841&lt;-F841,1,0)</x:f>
        <x:v>0</x:v>
      </x:c>
      <x:c r="K841" s="36" t="n">
        <x:f>IF(C841&lt;-G841,1,0)</x:f>
        <x:v>0</x:v>
      </x:c>
      <x:c r="L841" s="36" t="n">
        <x:f>IF(C841&lt;-H841,1,0)</x:f>
        <x:v>0</x:v>
      </x:c>
      <x:c r="M841" s="36" t="n">
        <x:f>IF(C841&lt;-I841,1,0)</x:f>
        <x:v>0</x:v>
      </x:c>
      <x:c r="N841" s="34" t="n">
        <x:f>-F841</x:f>
        <x:v>-1.228364269330607</x:v>
      </x:c>
      <x:c r="O841" s="34" t="n">
        <x:f>-H841</x:f>
        <x:v>-1.1656307965897392</x:v>
      </x:c>
      <x:c r="P841" s="34" t="n">
        <x:f>-G841</x:f>
        <x:v>-1.7372990275135853</x:v>
      </x:c>
      <x:c r="Q841" s="34" t="n">
        <x:f>-I841</x:f>
        <x:v>-1.946487312957234</x:v>
      </x:c>
      <x:c r="R841" s="36" t="n">
        <x:f>YEAR(A841)</x:f>
        <x:v>2024</x:v>
      </x:c>
    </x:row>
    <x:row r="842">
      <x:c r="A842" s="30" t="n">
        <x:v>45411</x:v>
      </x:c>
      <x:c r="B842" s="38" t="n">
        <x:v>5116.17</x:v>
      </x:c>
      <x:c r="C842" s="34" t="n">
        <x:f>(B842/B841-1)*100</x:f>
        <x:v>0.3178456301617949</x:v>
      </x:c>
      <x:c r="D842" s="34" t="n">
        <x:f>Assumptions!$B$4*D841+(1-Assumptions!$B$4)*C841^2</x:f>
        <x:v>0.5867728843087574</x:v>
      </x:c>
      <x:c r="E842" s="34" t="n">
        <x:f>SQRT(D842)</x:f>
        <x:v>0.7660110210099835</x:v>
      </x:c>
      <x:c r="F842" s="34" t="n">
        <x:f>-Assumptions!$B$7*E842</x:f>
        <x:v>1.2599760061930723</x:v>
      </x:c>
      <x:c r="G842" s="34" t="n">
        <x:f>-Assumptions!$B$8*E842</x:f>
        <x:v>1.7820081102184286</x:v>
      </x:c>
      <x:c r="H842" s="34" t="n">
        <x:f>-Assumptions!$B$9*E842</x:f>
        <x:v>1.195628098644659</x:v>
      </x:c>
      <x:c r="I842" s="34" t="n">
        <x:f>-Assumptions!$B$10*E842</x:f>
        <x:v>1.996579819129579</x:v>
      </x:c>
      <x:c r="J842" s="36" t="n">
        <x:f>IF(C842&lt;-F842,1,0)</x:f>
        <x:v>0</x:v>
      </x:c>
      <x:c r="K842" s="36" t="n">
        <x:f>IF(C842&lt;-G842,1,0)</x:f>
        <x:v>0</x:v>
      </x:c>
      <x:c r="L842" s="36" t="n">
        <x:f>IF(C842&lt;-H842,1,0)</x:f>
        <x:v>0</x:v>
      </x:c>
      <x:c r="M842" s="36" t="n">
        <x:f>IF(C842&lt;-I842,1,0)</x:f>
        <x:v>0</x:v>
      </x:c>
      <x:c r="N842" s="34" t="n">
        <x:f>-F842</x:f>
        <x:v>-1.2599760061930723</x:v>
      </x:c>
      <x:c r="O842" s="34" t="n">
        <x:f>-H842</x:f>
        <x:v>-1.195628098644659</x:v>
      </x:c>
      <x:c r="P842" s="34" t="n">
        <x:f>-G842</x:f>
        <x:v>-1.7820081102184286</x:v>
      </x:c>
      <x:c r="Q842" s="34" t="n">
        <x:f>-I842</x:f>
        <x:v>-1.996579819129579</x:v>
      </x:c>
      <x:c r="R842" s="36" t="n">
        <x:f>YEAR(A842)</x:f>
        <x:v>2024</x:v>
      </x:c>
    </x:row>
    <x:row r="843">
      <x:c r="A843" s="30" t="n">
        <x:v>45412</x:v>
      </x:c>
      <x:c r="B843" s="38" t="n">
        <x:v>5035.69</x:v>
      </x:c>
      <x:c r="C843" s="34" t="n">
        <x:f>(B843/B842-1)*100</x:f>
        <x:v>-1.5730517164206925</x:v>
      </x:c>
      <x:c r="D843" s="34" t="n">
        <x:f>Assumptions!$B$4*D842+(1-Assumptions!$B$4)*C842^2</x:f>
        <x:v>0.5576280619270089</x:v>
      </x:c>
      <x:c r="E843" s="34" t="n">
        <x:f>SQRT(D843)</x:f>
        <x:v>0.7467449778384913</x:v>
      </x:c>
      <x:c r="F843" s="34" t="n">
        <x:f>-Assumptions!$B$7*E843</x:f>
        <x:v>1.2282861852054396</x:v>
      </x:c>
      <x:c r="G843" s="34" t="n">
        <x:f>-Assumptions!$B$8*E843</x:f>
        <x:v>1.7371885916452485</x:v>
      </x:c>
      <x:c r="H843" s="34" t="n">
        <x:f>-Assumptions!$B$9*E843</x:f>
        <x:v>1.1655567002786593</x:v>
      </x:c>
      <x:c r="I843" s="34" t="n">
        <x:f>-Assumptions!$B$10*E843</x:f>
        <x:v>1.9463635794990275</x:v>
      </x:c>
      <x:c r="J843" s="36" t="n">
        <x:f>IF(C843&lt;-F843,1,0)</x:f>
        <x:v>1</x:v>
      </x:c>
      <x:c r="K843" s="36" t="n">
        <x:f>IF(C843&lt;-G843,1,0)</x:f>
        <x:v>0</x:v>
      </x:c>
      <x:c r="L843" s="36" t="n">
        <x:f>IF(C843&lt;-H843,1,0)</x:f>
        <x:v>1</x:v>
      </x:c>
      <x:c r="M843" s="36" t="n">
        <x:f>IF(C843&lt;-I843,1,0)</x:f>
        <x:v>0</x:v>
      </x:c>
      <x:c r="N843" s="34" t="n">
        <x:f>-F843</x:f>
        <x:v>-1.2282861852054396</x:v>
      </x:c>
      <x:c r="O843" s="34" t="n">
        <x:f>-H843</x:f>
        <x:v>-1.1655567002786593</x:v>
      </x:c>
      <x:c r="P843" s="34" t="n">
        <x:f>-G843</x:f>
        <x:v>-1.7371885916452485</x:v>
      </x:c>
      <x:c r="Q843" s="34" t="n">
        <x:f>-I843</x:f>
        <x:v>-1.9463635794990275</x:v>
      </x:c>
      <x:c r="R843" s="36" t="n">
        <x:f>YEAR(A843)</x:f>
        <x:v>2024</x:v>
      </x:c>
    </x:row>
    <x:row r="844">
      <x:c r="A844" s="30" t="n">
        <x:v>45413</x:v>
      </x:c>
      <x:c r="B844" s="38" t="n">
        <x:v>5018.39</x:v>
      </x:c>
      <x:c r="C844" s="34" t="n">
        <x:f>(B844/B843-1)*100</x:f>
        <x:v>-0.3435477561168243</x:v>
      </x:c>
      <x:c r="D844" s="34" t="n">
        <x:f>Assumptions!$B$4*D843+(1-Assumptions!$B$4)*C843^2</x:f>
        <x:v>0.6726398803634337</x:v>
      </x:c>
      <x:c r="E844" s="34" t="n">
        <x:f>SQRT(D844)</x:f>
        <x:v>0.8201462554712017</x:v>
      </x:c>
      <x:c r="F844" s="34" t="n">
        <x:f>-Assumptions!$B$7*E844</x:f>
        <x:v>1.3490205429424753</x:v>
      </x:c>
      <x:c r="G844" s="34" t="n">
        <x:f>-Assumptions!$B$8*E844</x:f>
        <x:v>1.907945497817986</x:v>
      </x:c>
      <x:c r="H844" s="34" t="n">
        <x:f>-Assumptions!$B$9*E844</x:f>
        <x:v>1.2801250649718647</x:v>
      </x:c>
      <x:c r="I844" s="34" t="n">
        <x:f>-Assumptions!$B$10*E844</x:f>
        <x:v>2.137681335510644</x:v>
      </x:c>
      <x:c r="J844" s="36" t="n">
        <x:f>IF(C844&lt;-F844,1,0)</x:f>
        <x:v>0</x:v>
      </x:c>
      <x:c r="K844" s="36" t="n">
        <x:f>IF(C844&lt;-G844,1,0)</x:f>
        <x:v>0</x:v>
      </x:c>
      <x:c r="L844" s="36" t="n">
        <x:f>IF(C844&lt;-H844,1,0)</x:f>
        <x:v>0</x:v>
      </x:c>
      <x:c r="M844" s="36" t="n">
        <x:f>IF(C844&lt;-I844,1,0)</x:f>
        <x:v>0</x:v>
      </x:c>
      <x:c r="N844" s="34" t="n">
        <x:f>-F844</x:f>
        <x:v>-1.3490205429424753</x:v>
      </x:c>
      <x:c r="O844" s="34" t="n">
        <x:f>-H844</x:f>
        <x:v>-1.2801250649718647</x:v>
      </x:c>
      <x:c r="P844" s="34" t="n">
        <x:f>-G844</x:f>
        <x:v>-1.907945497817986</x:v>
      </x:c>
      <x:c r="Q844" s="34" t="n">
        <x:f>-I844</x:f>
        <x:v>-2.137681335510644</x:v>
      </x:c>
      <x:c r="R844" s="36" t="n">
        <x:f>YEAR(A844)</x:f>
        <x:v>2024</x:v>
      </x:c>
    </x:row>
    <x:row r="845">
      <x:c r="A845" s="30" t="n">
        <x:v>45414</x:v>
      </x:c>
      <x:c r="B845" s="38" t="n">
        <x:v>5064.2</x:v>
      </x:c>
      <x:c r="C845" s="34" t="n">
        <x:f>(B845/B844-1)*100</x:f>
        <x:v>0.9128425650457572</x:v>
      </x:c>
      <x:c r="D845" s="34" t="n">
        <x:f>Assumptions!$B$4*D844+(1-Assumptions!$B$4)*C844^2</x:f>
        <x:v>0.6393629911856019</x:v>
      </x:c>
      <x:c r="E845" s="34" t="n">
        <x:f>SQRT(D845)</x:f>
        <x:v>0.7996017703742294</x:v>
      </x:c>
      <x:c r="F845" s="34" t="n">
        <x:f>-Assumptions!$B$7*E845</x:f>
        <x:v>1.31522787211687</x:v>
      </x:c>
      <x:c r="G845" s="34" t="n">
        <x:f>-Assumptions!$B$8*E845</x:f>
        <x:v>1.8601518785893807</x:v>
      </x:c>
      <x:c r="H845" s="34" t="n">
        <x:f>-Assumptions!$B$9*E845</x:f>
        <x:v>1.2480582108661111</x:v>
      </x:c>
      <x:c r="I845" s="34" t="n">
        <x:f>-Assumptions!$B$10*E845</x:f>
        <x:v>2.0841328835772237</x:v>
      </x:c>
      <x:c r="J845" s="36" t="n">
        <x:f>IF(C845&lt;-F845,1,0)</x:f>
        <x:v>0</x:v>
      </x:c>
      <x:c r="K845" s="36" t="n">
        <x:f>IF(C845&lt;-G845,1,0)</x:f>
        <x:v>0</x:v>
      </x:c>
      <x:c r="L845" s="36" t="n">
        <x:f>IF(C845&lt;-H845,1,0)</x:f>
        <x:v>0</x:v>
      </x:c>
      <x:c r="M845" s="36" t="n">
        <x:f>IF(C845&lt;-I845,1,0)</x:f>
        <x:v>0</x:v>
      </x:c>
      <x:c r="N845" s="34" t="n">
        <x:f>-F845</x:f>
        <x:v>-1.31522787211687</x:v>
      </x:c>
      <x:c r="O845" s="34" t="n">
        <x:f>-H845</x:f>
        <x:v>-1.2480582108661111</x:v>
      </x:c>
      <x:c r="P845" s="34" t="n">
        <x:f>-G845</x:f>
        <x:v>-1.8601518785893807</x:v>
      </x:c>
      <x:c r="Q845" s="34" t="n">
        <x:f>-I845</x:f>
        <x:v>-2.0841328835772237</x:v>
      </x:c>
      <x:c r="R845" s="36" t="n">
        <x:f>YEAR(A845)</x:f>
        <x:v>2024</x:v>
      </x:c>
    </x:row>
    <x:row r="846">
      <x:c r="A846" s="30" t="n">
        <x:v>45415</x:v>
      </x:c>
      <x:c r="B846" s="38" t="n">
        <x:v>5127.79</x:v>
      </x:c>
      <x:c r="C846" s="34" t="n">
        <x:f>(B846/B845-1)*100</x:f>
        <x:v>1.2556771059594851</x:v>
      </x:c>
      <x:c r="D846" s="34" t="n">
        <x:f>Assumptions!$B$4*D845+(1-Assumptions!$B$4)*C845^2</x:f>
        <x:v>0.6509981046280249</x:v>
      </x:c>
      <x:c r="E846" s="34" t="n">
        <x:f>SQRT(D846)</x:f>
        <x:v>0.8068445356002759</x:v>
      </x:c>
      <x:c r="F846" s="34" t="n">
        <x:f>-Assumptions!$B$7*E846</x:f>
        <x:v>1.3271411607680905</x:v>
      </x:c>
      <x:c r="G846" s="34" t="n">
        <x:f>-Assumptions!$B$8*E846</x:f>
        <x:v>1.877001070075171</x:v>
      </x:c>
      <x:c r="H846" s="34" t="n">
        <x:f>-Assumptions!$B$9*E846</x:f>
        <x:v>1.25936307904507</x:v>
      </x:c>
      <x:c r="I846" s="34" t="n">
        <x:f>-Assumptions!$B$10*E846</x:f>
        <x:v>2.103010887272198</x:v>
      </x:c>
      <x:c r="J846" s="36" t="n">
        <x:f>IF(C846&lt;-F846,1,0)</x:f>
        <x:v>0</x:v>
      </x:c>
      <x:c r="K846" s="36" t="n">
        <x:f>IF(C846&lt;-G846,1,0)</x:f>
        <x:v>0</x:v>
      </x:c>
      <x:c r="L846" s="36" t="n">
        <x:f>IF(C846&lt;-H846,1,0)</x:f>
        <x:v>0</x:v>
      </x:c>
      <x:c r="M846" s="36" t="n">
        <x:f>IF(C846&lt;-I846,1,0)</x:f>
        <x:v>0</x:v>
      </x:c>
      <x:c r="N846" s="34" t="n">
        <x:f>-F846</x:f>
        <x:v>-1.3271411607680905</x:v>
      </x:c>
      <x:c r="O846" s="34" t="n">
        <x:f>-H846</x:f>
        <x:v>-1.25936307904507</x:v>
      </x:c>
      <x:c r="P846" s="34" t="n">
        <x:f>-G846</x:f>
        <x:v>-1.877001070075171</x:v>
      </x:c>
      <x:c r="Q846" s="34" t="n">
        <x:f>-I846</x:f>
        <x:v>-2.103010887272198</x:v>
      </x:c>
      <x:c r="R846" s="36" t="n">
        <x:f>YEAR(A846)</x:f>
        <x:v>2024</x:v>
      </x:c>
    </x:row>
    <x:row r="847">
      <x:c r="A847" s="30" t="n">
        <x:v>45418</x:v>
      </x:c>
      <x:c r="B847" s="38" t="n">
        <x:v>5180.74</x:v>
      </x:c>
      <x:c r="C847" s="34" t="n">
        <x:f>(B847/B846-1)*100</x:f>
        <x:v>1.0326085896653403</x:v>
      </x:c>
      <x:c r="D847" s="34" t="n">
        <x:f>Assumptions!$B$4*D846+(1-Assumptions!$B$4)*C846^2</x:f>
        <x:v>0.7065417180161907</x:v>
      </x:c>
      <x:c r="E847" s="34" t="n">
        <x:f>SQRT(D847)</x:f>
        <x:v>0.8405603595317773</x:v>
      </x:c>
      <x:c r="F847" s="34" t="n">
        <x:f>-Assumptions!$B$7*E847</x:f>
        <x:v>1.382598756047478</x:v>
      </x:c>
      <x:c r="G847" s="34" t="n">
        <x:f>-Assumptions!$B$8*E847</x:f>
        <x:v>1.9554358053997545</x:v>
      </x:c>
      <x:c r="H847" s="34" t="n">
        <x:f>-Assumptions!$B$9*E847</x:f>
        <x:v>1.3119884138715956</x:v>
      </x:c>
      <x:c r="I847" s="34" t="n">
        <x:f>-Assumptions!$B$10*E847</x:f>
        <x:v>2.1908899540227074</x:v>
      </x:c>
      <x:c r="J847" s="36" t="n">
        <x:f>IF(C847&lt;-F847,1,0)</x:f>
        <x:v>0</x:v>
      </x:c>
      <x:c r="K847" s="36" t="n">
        <x:f>IF(C847&lt;-G847,1,0)</x:f>
        <x:v>0</x:v>
      </x:c>
      <x:c r="L847" s="36" t="n">
        <x:f>IF(C847&lt;-H847,1,0)</x:f>
        <x:v>0</x:v>
      </x:c>
      <x:c r="M847" s="36" t="n">
        <x:f>IF(C847&lt;-I847,1,0)</x:f>
        <x:v>0</x:v>
      </x:c>
      <x:c r="N847" s="34" t="n">
        <x:f>-F847</x:f>
        <x:v>-1.382598756047478</x:v>
      </x:c>
      <x:c r="O847" s="34" t="n">
        <x:f>-H847</x:f>
        <x:v>-1.3119884138715956</x:v>
      </x:c>
      <x:c r="P847" s="34" t="n">
        <x:f>-G847</x:f>
        <x:v>-1.9554358053997545</x:v>
      </x:c>
      <x:c r="Q847" s="34" t="n">
        <x:f>-I847</x:f>
        <x:v>-2.1908899540227074</x:v>
      </x:c>
      <x:c r="R847" s="36" t="n">
        <x:f>YEAR(A847)</x:f>
        <x:v>2024</x:v>
      </x:c>
    </x:row>
    <x:row r="848">
      <x:c r="A848" s="30" t="n">
        <x:v>45419</x:v>
      </x:c>
      <x:c r="B848" s="38" t="n">
        <x:v>5187.7</x:v>
      </x:c>
      <x:c r="C848" s="34" t="n">
        <x:f>(B848/B847-1)*100</x:f>
        <x:v>0.134343742399734</x:v>
      </x:c>
      <x:c r="D848" s="34" t="n">
        <x:f>Assumptions!$B$4*D847+(1-Assumptions!$B$4)*C847^2</x:f>
        <x:v>0.7281260449022579</x:v>
      </x:c>
      <x:c r="E848" s="34" t="n">
        <x:f>SQRT(D848)</x:f>
        <x:v>0.8533030205631865</x:v>
      </x:c>
      <x:c r="F848" s="34" t="n">
        <x:f>-Assumptions!$B$7*E848</x:f>
        <x:v>1.4035585682620046</x:v>
      </x:c>
      <x:c r="G848" s="34" t="n">
        <x:f>-Assumptions!$B$8*E848</x:f>
        <x:v>1.9850796677997964</x:v>
      </x:c>
      <x:c r="H848" s="34" t="n">
        <x:f>-Assumptions!$B$9*E848</x:f>
        <x:v>1.3318777929572505</x:v>
      </x:c>
      <x:c r="I848" s="34" t="n">
        <x:f>-Assumptions!$B$10*E848</x:f>
        <x:v>2.2241032357634523</x:v>
      </x:c>
      <x:c r="J848" s="36" t="n">
        <x:f>IF(C848&lt;-F848,1,0)</x:f>
        <x:v>0</x:v>
      </x:c>
      <x:c r="K848" s="36" t="n">
        <x:f>IF(C848&lt;-G848,1,0)</x:f>
        <x:v>0</x:v>
      </x:c>
      <x:c r="L848" s="36" t="n">
        <x:f>IF(C848&lt;-H848,1,0)</x:f>
        <x:v>0</x:v>
      </x:c>
      <x:c r="M848" s="36" t="n">
        <x:f>IF(C848&lt;-I848,1,0)</x:f>
        <x:v>0</x:v>
      </x:c>
      <x:c r="N848" s="34" t="n">
        <x:f>-F848</x:f>
        <x:v>-1.4035585682620046</x:v>
      </x:c>
      <x:c r="O848" s="34" t="n">
        <x:f>-H848</x:f>
        <x:v>-1.3318777929572505</x:v>
      </x:c>
      <x:c r="P848" s="34" t="n">
        <x:f>-G848</x:f>
        <x:v>-1.9850796677997964</x:v>
      </x:c>
      <x:c r="Q848" s="34" t="n">
        <x:f>-I848</x:f>
        <x:v>-2.2241032357634523</x:v>
      </x:c>
      <x:c r="R848" s="36" t="n">
        <x:f>YEAR(A848)</x:f>
        <x:v>2024</x:v>
      </x:c>
    </x:row>
    <x:row r="849">
      <x:c r="A849" s="30" t="n">
        <x:v>45420</x:v>
      </x:c>
      <x:c r="B849" s="38" t="n">
        <x:v>5187.67</x:v>
      </x:c>
      <x:c r="C849" s="34" t="n">
        <x:f>(B849/B848-1)*100</x:f>
        <x:v>-0.0005782909574536532</x:v>
      </x:c>
      <x:c r="D849" s="34" t="n">
        <x:f>Assumptions!$B$4*D848+(1-Assumptions!$B$4)*C848^2</x:f>
        <x:v>0.6855213766754403</x:v>
      </x:c>
      <x:c r="E849" s="34" t="n">
        <x:f>SQRT(D849)</x:f>
        <x:v>0.8279621831191569</x:v>
      </x:c>
      <x:c r="F849" s="34" t="n">
        <x:f>-Assumptions!$B$7*E849</x:f>
        <x:v>1.3618765998822049</x:v>
      </x:c>
      <x:c r="G849" s="34" t="n">
        <x:f>-Assumptions!$B$8*E849</x:f>
        <x:v>1.9261280644854637</x:v>
      </x:c>
      <x:c r="H849" s="34" t="n">
        <x:f>-Assumptions!$B$9*E849</x:f>
        <x:v>1.2923245535647934</x:v>
      </x:c>
      <x:c r="I849" s="34" t="n">
        <x:f>-Assumptions!$B$10*E849</x:f>
        <x:v>2.1580532661770055</x:v>
      </x:c>
      <x:c r="J849" s="36" t="n">
        <x:f>IF(C849&lt;-F849,1,0)</x:f>
        <x:v>0</x:v>
      </x:c>
      <x:c r="K849" s="36" t="n">
        <x:f>IF(C849&lt;-G849,1,0)</x:f>
        <x:v>0</x:v>
      </x:c>
      <x:c r="L849" s="36" t="n">
        <x:f>IF(C849&lt;-H849,1,0)</x:f>
        <x:v>0</x:v>
      </x:c>
      <x:c r="M849" s="36" t="n">
        <x:f>IF(C849&lt;-I849,1,0)</x:f>
        <x:v>0</x:v>
      </x:c>
      <x:c r="N849" s="34" t="n">
        <x:f>-F849</x:f>
        <x:v>-1.3618765998822049</x:v>
      </x:c>
      <x:c r="O849" s="34" t="n">
        <x:f>-H849</x:f>
        <x:v>-1.2923245535647934</x:v>
      </x:c>
      <x:c r="P849" s="34" t="n">
        <x:f>-G849</x:f>
        <x:v>-1.9261280644854637</x:v>
      </x:c>
      <x:c r="Q849" s="34" t="n">
        <x:f>-I849</x:f>
        <x:v>-2.1580532661770055</x:v>
      </x:c>
      <x:c r="R849" s="36" t="n">
        <x:f>YEAR(A849)</x:f>
        <x:v>2024</x:v>
      </x:c>
    </x:row>
    <x:row r="850">
      <x:c r="A850" s="30" t="n">
        <x:v>45421</x:v>
      </x:c>
      <x:c r="B850" s="38" t="n">
        <x:v>5214.08</x:v>
      </x:c>
      <x:c r="C850" s="34" t="n">
        <x:f>(B850/B849-1)*100</x:f>
        <x:v>0.5090917502462489</x:v>
      </x:c>
      <x:c r="D850" s="34" t="n">
        <x:f>Assumptions!$B$4*D849+(1-Assumptions!$B$4)*C849^2</x:f>
        <x:v>0.6443901141401398</x:v>
      </x:c>
      <x:c r="E850" s="34" t="n">
        <x:f>SQRT(D850)</x:f>
        <x:v>0.8027391320598117</x:v>
      </x:c>
      <x:c r="F850" s="34" t="n">
        <x:f>-Assumptions!$B$7*E850</x:f>
        <x:v>1.3203883728644588</x:v>
      </x:c>
      <x:c r="G850" s="34" t="n">
        <x:f>-Assumptions!$B$8*E850</x:f>
        <x:v>1.8674504732767323</x:v>
      </x:c>
      <x:c r="H850" s="34" t="n">
        <x:f>-Assumptions!$B$9*E850</x:f>
        <x:v>1.2529551610195795</x:v>
      </x:c>
      <x:c r="I850" s="34" t="n">
        <x:f>-Assumptions!$B$10*E850</x:f>
        <x:v>2.0923103025110725</x:v>
      </x:c>
      <x:c r="J850" s="36" t="n">
        <x:f>IF(C850&lt;-F850,1,0)</x:f>
        <x:v>0</x:v>
      </x:c>
      <x:c r="K850" s="36" t="n">
        <x:f>IF(C850&lt;-G850,1,0)</x:f>
        <x:v>0</x:v>
      </x:c>
      <x:c r="L850" s="36" t="n">
        <x:f>IF(C850&lt;-H850,1,0)</x:f>
        <x:v>0</x:v>
      </x:c>
      <x:c r="M850" s="36" t="n">
        <x:f>IF(C850&lt;-I850,1,0)</x:f>
        <x:v>0</x:v>
      </x:c>
      <x:c r="N850" s="34" t="n">
        <x:f>-F850</x:f>
        <x:v>-1.3203883728644588</x:v>
      </x:c>
      <x:c r="O850" s="34" t="n">
        <x:f>-H850</x:f>
        <x:v>-1.2529551610195795</x:v>
      </x:c>
      <x:c r="P850" s="34" t="n">
        <x:f>-G850</x:f>
        <x:v>-1.8674504732767323</x:v>
      </x:c>
      <x:c r="Q850" s="34" t="n">
        <x:f>-I850</x:f>
        <x:v>-2.0923103025110725</x:v>
      </x:c>
      <x:c r="R850" s="36" t="n">
        <x:f>YEAR(A850)</x:f>
        <x:v>2024</x:v>
      </x:c>
    </x:row>
    <x:row r="851">
      <x:c r="A851" s="30" t="n">
        <x:v>45422</x:v>
      </x:c>
      <x:c r="B851" s="38" t="n">
        <x:v>5222.68</x:v>
      </x:c>
      <x:c r="C851" s="34" t="n">
        <x:f>(B851/B850-1)*100</x:f>
        <x:v>0.164938013992888</x:v>
      </x:c>
      <x:c r="D851" s="34" t="n">
        <x:f>Assumptions!$B$4*D850+(1-Assumptions!$B$4)*C850^2</x:f>
        <x:v>0.6212771719018587</x:v>
      </x:c>
      <x:c r="E851" s="34" t="n">
        <x:f>SQRT(D851)</x:f>
        <x:v>0.788211375141122</x:v>
      </x:c>
      <x:c r="F851" s="34" t="n">
        <x:f>-Assumptions!$B$7*E851</x:f>
        <x:v>1.2964923392052825</x:v>
      </x:c>
      <x:c r="G851" s="34" t="n">
        <x:f>-Assumptions!$B$8*E851</x:f>
        <x:v>1.8336538568543566</x:v>
      </x:c>
      <x:c r="H851" s="34" t="n">
        <x:f>-Assumptions!$B$9*E851</x:f>
        <x:v>1.2302795154924921</x:v>
      </x:c>
      <x:c r="I851" s="34" t="n">
        <x:f>-Assumptions!$B$10*E851</x:f>
        <x:v>2.054444233374323</x:v>
      </x:c>
      <x:c r="J851" s="36" t="n">
        <x:f>IF(C851&lt;-F851,1,0)</x:f>
        <x:v>0</x:v>
      </x:c>
      <x:c r="K851" s="36" t="n">
        <x:f>IF(C851&lt;-G851,1,0)</x:f>
        <x:v>0</x:v>
      </x:c>
      <x:c r="L851" s="36" t="n">
        <x:f>IF(C851&lt;-H851,1,0)</x:f>
        <x:v>0</x:v>
      </x:c>
      <x:c r="M851" s="36" t="n">
        <x:f>IF(C851&lt;-I851,1,0)</x:f>
        <x:v>0</x:v>
      </x:c>
      <x:c r="N851" s="34" t="n">
        <x:f>-F851</x:f>
        <x:v>-1.2964923392052825</x:v>
      </x:c>
      <x:c r="O851" s="34" t="n">
        <x:f>-H851</x:f>
        <x:v>-1.2302795154924921</x:v>
      </x:c>
      <x:c r="P851" s="34" t="n">
        <x:f>-G851</x:f>
        <x:v>-1.8336538568543566</x:v>
      </x:c>
      <x:c r="Q851" s="34" t="n">
        <x:f>-I851</x:f>
        <x:v>-2.054444233374323</x:v>
      </x:c>
      <x:c r="R851" s="36" t="n">
        <x:f>YEAR(A851)</x:f>
        <x:v>2024</x:v>
      </x:c>
    </x:row>
    <x:row r="852">
      <x:c r="A852" s="30" t="n">
        <x:v>45425</x:v>
      </x:c>
      <x:c r="B852" s="38" t="n">
        <x:v>5221.42</x:v>
      </x:c>
      <x:c r="C852" s="34" t="n">
        <x:f>(B852/B851-1)*100</x:f>
        <x:v>-0.024125544739483917</x:v>
      </x:c>
      <x:c r="D852" s="34" t="n">
        <x:f>Assumptions!$B$4*D851+(1-Assumptions!$B$4)*C851^2</x:f>
        <x:v>0.5856328144953422</x:v>
      </x:c>
      <x:c r="E852" s="34" t="n">
        <x:f>SQRT(D852)</x:f>
        <x:v>0.7652664990023686</x:v>
      </x:c>
      <x:c r="F852" s="34" t="n">
        <x:f>-Assumptions!$B$7*E852</x:f>
        <x:v>1.2587513764685017</x:v>
      </x:c>
      <x:c r="G852" s="34" t="n">
        <x:f>-Assumptions!$B$8*E852</x:f>
        <x:v>1.780276093028837</x:v>
      </x:c>
      <x:c r="H852" s="34" t="n">
        <x:f>-Assumptions!$B$9*E852</x:f>
        <x:v>1.1944660116668633</x:v>
      </x:c>
      <x:c r="I852" s="34" t="n">
        <x:f>-Assumptions!$B$10*E852</x:f>
        <x:v>1.994639249640981</x:v>
      </x:c>
      <x:c r="J852" s="36" t="n">
        <x:f>IF(C852&lt;-F852,1,0)</x:f>
        <x:v>0</x:v>
      </x:c>
      <x:c r="K852" s="36" t="n">
        <x:f>IF(C852&lt;-G852,1,0)</x:f>
        <x:v>0</x:v>
      </x:c>
      <x:c r="L852" s="36" t="n">
        <x:f>IF(C852&lt;-H852,1,0)</x:f>
        <x:v>0</x:v>
      </x:c>
      <x:c r="M852" s="36" t="n">
        <x:f>IF(C852&lt;-I852,1,0)</x:f>
        <x:v>0</x:v>
      </x:c>
      <x:c r="N852" s="34" t="n">
        <x:f>-F852</x:f>
        <x:v>-1.2587513764685017</x:v>
      </x:c>
      <x:c r="O852" s="34" t="n">
        <x:f>-H852</x:f>
        <x:v>-1.1944660116668633</x:v>
      </x:c>
      <x:c r="P852" s="34" t="n">
        <x:f>-G852</x:f>
        <x:v>-1.780276093028837</x:v>
      </x:c>
      <x:c r="Q852" s="34" t="n">
        <x:f>-I852</x:f>
        <x:v>-1.994639249640981</x:v>
      </x:c>
      <x:c r="R852" s="36" t="n">
        <x:f>YEAR(A852)</x:f>
        <x:v>2024</x:v>
      </x:c>
    </x:row>
    <x:row r="853">
      <x:c r="A853" s="30" t="n">
        <x:v>45426</x:v>
      </x:c>
      <x:c r="B853" s="38" t="n">
        <x:v>5246.68</x:v>
      </x:c>
      <x:c r="C853" s="34" t="n">
        <x:f>(B853/B852-1)*100</x:f>
        <x:v>0.4837764439558523</x:v>
      </x:c>
      <x:c r="D853" s="34" t="n">
        <x:f>Assumptions!$B$4*D852+(1-Assumptions!$B$4)*C852^2</x:f>
        <x:v>0.5505297681401603</x:v>
      </x:c>
      <x:c r="E853" s="34" t="n">
        <x:f>SQRT(D853)</x:f>
        <x:v>0.7419769323504338</x:v>
      </x:c>
      <x:c r="F853" s="34" t="n">
        <x:f>-Assumptions!$B$7*E853</x:f>
        <x:v>1.2204434482909388</x:v>
      </x:c>
      <x:c r="G853" s="34" t="n">
        <x:f>-Assumptions!$B$8*E853</x:f>
        <x:v>1.7260964591607761</x:v>
      </x:c>
      <x:c r="H853" s="34" t="n">
        <x:f>-Assumptions!$B$9*E853</x:f>
        <x:v>1.1581144977453057</x:v>
      </x:c>
      <x:c r="I853" s="34" t="n">
        <x:f>-Assumptions!$B$10*E853</x:f>
        <x:v>1.9339358426427151</x:v>
      </x:c>
      <x:c r="J853" s="36" t="n">
        <x:f>IF(C853&lt;-F853,1,0)</x:f>
        <x:v>0</x:v>
      </x:c>
      <x:c r="K853" s="36" t="n">
        <x:f>IF(C853&lt;-G853,1,0)</x:f>
        <x:v>0</x:v>
      </x:c>
      <x:c r="L853" s="36" t="n">
        <x:f>IF(C853&lt;-H853,1,0)</x:f>
        <x:v>0</x:v>
      </x:c>
      <x:c r="M853" s="36" t="n">
        <x:f>IF(C853&lt;-I853,1,0)</x:f>
        <x:v>0</x:v>
      </x:c>
      <x:c r="N853" s="34" t="n">
        <x:f>-F853</x:f>
        <x:v>-1.2204434482909388</x:v>
      </x:c>
      <x:c r="O853" s="34" t="n">
        <x:f>-H853</x:f>
        <x:v>-1.1581144977453057</x:v>
      </x:c>
      <x:c r="P853" s="34" t="n">
        <x:f>-G853</x:f>
        <x:v>-1.7260964591607761</x:v>
      </x:c>
      <x:c r="Q853" s="34" t="n">
        <x:f>-I853</x:f>
        <x:v>-1.9339358426427151</x:v>
      </x:c>
      <x:c r="R853" s="36" t="n">
        <x:f>YEAR(A853)</x:f>
        <x:v>2024</x:v>
      </x:c>
    </x:row>
    <x:row r="854">
      <x:c r="A854" s="30" t="n">
        <x:v>45427</x:v>
      </x:c>
      <x:c r="B854" s="38" t="n">
        <x:v>5308.15</x:v>
      </x:c>
      <x:c r="C854" s="34" t="n">
        <x:f>(B854/B853-1)*100</x:f>
        <x:v>1.1715980391409309</x:v>
      </x:c>
      <x:c r="D854" s="34" t="n">
        <x:f>Assumptions!$B$4*D853+(1-Assumptions!$B$4)*C853^2</x:f>
        <x:v>0.5315403609153448</x:v>
      </x:c>
      <x:c r="E854" s="34" t="n">
        <x:f>SQRT(D854)</x:f>
        <x:v>0.7290681455908938</x:v>
      </x:c>
      <x:c r="F854" s="34" t="n">
        <x:f>-Assumptions!$B$7*E854</x:f>
        <x:v>1.1992103835699661</x:v>
      </x:c>
      <x:c r="G854" s="34" t="n">
        <x:f>-Assumptions!$B$8*E854</x:f>
        <x:v>1.6960661305262736</x:v>
      </x:c>
      <x:c r="H854" s="34" t="n">
        <x:f>-Assumptions!$B$9*E854</x:f>
        <x:v>1.1379658213610309</x:v>
      </x:c>
      <x:c r="I854" s="34" t="n">
        <x:f>-Assumptions!$B$10*E854</x:f>
        <x:v>1.9002895602438503</x:v>
      </x:c>
      <x:c r="J854" s="36" t="n">
        <x:f>IF(C854&lt;-F854,1,0)</x:f>
        <x:v>0</x:v>
      </x:c>
      <x:c r="K854" s="36" t="n">
        <x:f>IF(C854&lt;-G854,1,0)</x:f>
        <x:v>0</x:v>
      </x:c>
      <x:c r="L854" s="36" t="n">
        <x:f>IF(C854&lt;-H854,1,0)</x:f>
        <x:v>0</x:v>
      </x:c>
      <x:c r="M854" s="36" t="n">
        <x:f>IF(C854&lt;-I854,1,0)</x:f>
        <x:v>0</x:v>
      </x:c>
      <x:c r="N854" s="34" t="n">
        <x:f>-F854</x:f>
        <x:v>-1.1992103835699661</x:v>
      </x:c>
      <x:c r="O854" s="34" t="n">
        <x:f>-H854</x:f>
        <x:v>-1.1379658213610309</x:v>
      </x:c>
      <x:c r="P854" s="34" t="n">
        <x:f>-G854</x:f>
        <x:v>-1.6960661305262736</x:v>
      </x:c>
      <x:c r="Q854" s="34" t="n">
        <x:f>-I854</x:f>
        <x:v>-1.9002895602438503</x:v>
      </x:c>
      <x:c r="R854" s="36" t="n">
        <x:f>YEAR(A854)</x:f>
        <x:v>2024</x:v>
      </x:c>
    </x:row>
    <x:row r="855">
      <x:c r="A855" s="30" t="n">
        <x:v>45428</x:v>
      </x:c>
      <x:c r="B855" s="38" t="n">
        <x:v>5297.1</x:v>
      </x:c>
      <x:c r="C855" s="34" t="n">
        <x:f>(B855/B854-1)*100</x:f>
        <x:v>-0.20817045486656305</x:v>
      </x:c>
      <x:c r="D855" s="34" t="n">
        <x:f>Assumptions!$B$4*D854+(1-Assumptions!$B$4)*C854^2</x:f>
        <x:v>0.5820064571795567</x:v>
      </x:c>
      <x:c r="E855" s="34" t="n">
        <x:f>SQRT(D855)</x:f>
        <x:v>0.7628934769543889</x:v>
      </x:c>
      <x:c r="F855" s="34" t="n">
        <x:f>-Assumptions!$B$7*E855</x:f>
        <x:v>1.2548481025460465</x:v>
      </x:c>
      <x:c r="G855" s="34" t="n">
        <x:f>-Assumptions!$B$8*E855</x:f>
        <x:v>1.7747556182324675</x:v>
      </x:c>
      <x:c r="H855" s="34" t="n">
        <x:f>-Assumptions!$B$9*E855</x:f>
        <x:v>1.190762080833692</x:v>
      </x:c>
      <x:c r="I855" s="34" t="n">
        <x:f>-Assumptions!$B$10*E855</x:f>
        <x:v>1.9884540541263018</x:v>
      </x:c>
      <x:c r="J855" s="36" t="n">
        <x:f>IF(C855&lt;-F855,1,0)</x:f>
        <x:v>0</x:v>
      </x:c>
      <x:c r="K855" s="36" t="n">
        <x:f>IF(C855&lt;-G855,1,0)</x:f>
        <x:v>0</x:v>
      </x:c>
      <x:c r="L855" s="36" t="n">
        <x:f>IF(C855&lt;-H855,1,0)</x:f>
        <x:v>0</x:v>
      </x:c>
      <x:c r="M855" s="36" t="n">
        <x:f>IF(C855&lt;-I855,1,0)</x:f>
        <x:v>0</x:v>
      </x:c>
      <x:c r="N855" s="34" t="n">
        <x:f>-F855</x:f>
        <x:v>-1.2548481025460465</x:v>
      </x:c>
      <x:c r="O855" s="34" t="n">
        <x:f>-H855</x:f>
        <x:v>-1.190762080833692</x:v>
      </x:c>
      <x:c r="P855" s="34" t="n">
        <x:f>-G855</x:f>
        <x:v>-1.7747556182324675</x:v>
      </x:c>
      <x:c r="Q855" s="34" t="n">
        <x:f>-I855</x:f>
        <x:v>-1.9884540541263018</x:v>
      </x:c>
      <x:c r="R855" s="36" t="n">
        <x:f>YEAR(A855)</x:f>
        <x:v>2024</x:v>
      </x:c>
    </x:row>
    <x:row r="856">
      <x:c r="A856" s="30" t="n">
        <x:v>45429</x:v>
      </x:c>
      <x:c r="B856" s="38" t="n">
        <x:v>5303.27</x:v>
      </x:c>
      <x:c r="C856" s="34" t="n">
        <x:f>(B856/B855-1)*100</x:f>
        <x:v>0.11647882803798026</x:v>
      </x:c>
      <x:c r="D856" s="34" t="n">
        <x:f>Assumptions!$B$4*D855+(1-Assumptions!$B$4)*C855^2</x:f>
        <x:v>0.5496861660455443</x:v>
      </x:c>
      <x:c r="E856" s="34" t="n">
        <x:f>SQRT(D856)</x:f>
        <x:v>0.7414082317087829</x:v>
      </x:c>
      <x:c r="F856" s="34" t="n">
        <x:f>-Assumptions!$B$7*E856</x:f>
        <x:v>1.2195080189778695</x:v>
      </x:c>
      <x:c r="G856" s="34" t="n">
        <x:f>-Assumptions!$B$8*E856</x:f>
        <x:v>1.7247734636321057</x:v>
      </x:c>
      <x:c r="H856" s="34" t="n">
        <x:f>-Assumptions!$B$9*E856</x:f>
        <x:v>1.157226841499866</x:v>
      </x:c>
      <x:c r="I856" s="34" t="n">
        <x:f>-Assumptions!$B$10*E856</x:f>
        <x:v>1.9324535451390197</x:v>
      </x:c>
      <x:c r="J856" s="36" t="n">
        <x:f>IF(C856&lt;-F856,1,0)</x:f>
        <x:v>0</x:v>
      </x:c>
      <x:c r="K856" s="36" t="n">
        <x:f>IF(C856&lt;-G856,1,0)</x:f>
        <x:v>0</x:v>
      </x:c>
      <x:c r="L856" s="36" t="n">
        <x:f>IF(C856&lt;-H856,1,0)</x:f>
        <x:v>0</x:v>
      </x:c>
      <x:c r="M856" s="36" t="n">
        <x:f>IF(C856&lt;-I856,1,0)</x:f>
        <x:v>0</x:v>
      </x:c>
      <x:c r="N856" s="34" t="n">
        <x:f>-F856</x:f>
        <x:v>-1.2195080189778695</x:v>
      </x:c>
      <x:c r="O856" s="34" t="n">
        <x:f>-H856</x:f>
        <x:v>-1.157226841499866</x:v>
      </x:c>
      <x:c r="P856" s="34" t="n">
        <x:f>-G856</x:f>
        <x:v>-1.7247734636321057</x:v>
      </x:c>
      <x:c r="Q856" s="34" t="n">
        <x:f>-I856</x:f>
        <x:v>-1.9324535451390197</x:v>
      </x:c>
      <x:c r="R856" s="36" t="n">
        <x:f>YEAR(A856)</x:f>
        <x:v>2024</x:v>
      </x:c>
    </x:row>
    <x:row r="857">
      <x:c r="A857" s="30" t="n">
        <x:v>45432</x:v>
      </x:c>
      <x:c r="B857" s="38" t="n">
        <x:v>5308.13</x:v>
      </x:c>
      <x:c r="C857" s="34" t="n">
        <x:f>(B857/B856-1)*100</x:f>
        <x:v>0.09164157208665369</x:v>
      </x:c>
      <x:c r="D857" s="34" t="n">
        <x:f>Assumptions!$B$4*D856+(1-Assumptions!$B$4)*C856^2</x:f>
        <x:v>0.5175190351256777</x:v>
      </x:c>
      <x:c r="E857" s="34" t="n">
        <x:f>SQRT(D857)</x:f>
        <x:v>0.7193879587021718</x:v>
      </x:c>
      <x:c r="F857" s="34" t="n">
        <x:f>-Assumptions!$B$7*E857</x:f>
        <x:v>1.1832878930564836</x:v>
      </x:c>
      <x:c r="G857" s="34" t="n">
        <x:f>-Assumptions!$B$8*E857</x:f>
        <x:v>1.673546648337377</x:v>
      </x:c>
      <x:c r="H857" s="34" t="n">
        <x:f>-Assumptions!$B$9*E857</x:f>
        <x:v>1.122856504227411</x:v>
      </x:c>
      <x:c r="I857" s="34" t="n">
        <x:f>-Assumptions!$B$10*E857</x:f>
        <x:v>1.875058505784683</x:v>
      </x:c>
      <x:c r="J857" s="36" t="n">
        <x:f>IF(C857&lt;-F857,1,0)</x:f>
        <x:v>0</x:v>
      </x:c>
      <x:c r="K857" s="36" t="n">
        <x:f>IF(C857&lt;-G857,1,0)</x:f>
        <x:v>0</x:v>
      </x:c>
      <x:c r="L857" s="36" t="n">
        <x:f>IF(C857&lt;-H857,1,0)</x:f>
        <x:v>0</x:v>
      </x:c>
      <x:c r="M857" s="36" t="n">
        <x:f>IF(C857&lt;-I857,1,0)</x:f>
        <x:v>0</x:v>
      </x:c>
      <x:c r="N857" s="34" t="n">
        <x:f>-F857</x:f>
        <x:v>-1.1832878930564836</x:v>
      </x:c>
      <x:c r="O857" s="34" t="n">
        <x:f>-H857</x:f>
        <x:v>-1.122856504227411</x:v>
      </x:c>
      <x:c r="P857" s="34" t="n">
        <x:f>-G857</x:f>
        <x:v>-1.673546648337377</x:v>
      </x:c>
      <x:c r="Q857" s="34" t="n">
        <x:f>-I857</x:f>
        <x:v>-1.875058505784683</x:v>
      </x:c>
      <x:c r="R857" s="36" t="n">
        <x:f>YEAR(A857)</x:f>
        <x:v>2024</x:v>
      </x:c>
    </x:row>
    <x:row r="858">
      <x:c r="A858" s="30" t="n">
        <x:v>45433</x:v>
      </x:c>
      <x:c r="B858" s="38" t="n">
        <x:v>5321.41</x:v>
      </x:c>
      <x:c r="C858" s="34" t="n">
        <x:f>(B858/B857-1)*100</x:f>
        <x:v>0.25018226757822504</x:v>
      </x:c>
      <x:c r="D858" s="34" t="n">
        <x:f>Assumptions!$B$4*D857+(1-Assumptions!$B$4)*C857^2</x:f>
        <x:v>0.4869717836822078</x:v>
      </x:c>
      <x:c r="E858" s="34" t="n">
        <x:f>SQRT(D858)</x:f>
        <x:v>0.6978336361069218</x:v>
      </x:c>
      <x:c r="F858" s="34" t="n">
        <x:f>-Assumptions!$B$7*E858</x:f>
        <x:v>1.1478341873592046</x:v>
      </x:c>
      <x:c r="G858" s="34" t="n">
        <x:f>-Assumptions!$B$8*E858</x:f>
        <x:v>1.623403795791527</x:v>
      </x:c>
      <x:c r="H858" s="34" t="n">
        <x:f>-Assumptions!$B$9*E858</x:f>
        <x:v>1.0892134455307445</x:v>
      </x:c>
      <x:c r="I858" s="34" t="n">
        <x:f>-Assumptions!$B$10*E858</x:f>
        <x:v>1.8188779492021638</x:v>
      </x:c>
      <x:c r="J858" s="36" t="n">
        <x:f>IF(C858&lt;-F858,1,0)</x:f>
        <x:v>0</x:v>
      </x:c>
      <x:c r="K858" s="36" t="n">
        <x:f>IF(C858&lt;-G858,1,0)</x:f>
        <x:v>0</x:v>
      </x:c>
      <x:c r="L858" s="36" t="n">
        <x:f>IF(C858&lt;-H858,1,0)</x:f>
        <x:v>0</x:v>
      </x:c>
      <x:c r="M858" s="36" t="n">
        <x:f>IF(C858&lt;-I858,1,0)</x:f>
        <x:v>0</x:v>
      </x:c>
      <x:c r="N858" s="34" t="n">
        <x:f>-F858</x:f>
        <x:v>-1.1478341873592046</x:v>
      </x:c>
      <x:c r="O858" s="34" t="n">
        <x:f>-H858</x:f>
        <x:v>-1.0892134455307445</x:v>
      </x:c>
      <x:c r="P858" s="34" t="n">
        <x:f>-G858</x:f>
        <x:v>-1.623403795791527</x:v>
      </x:c>
      <x:c r="Q858" s="34" t="n">
        <x:f>-I858</x:f>
        <x:v>-1.8188779492021638</x:v>
      </x:c>
      <x:c r="R858" s="36" t="n">
        <x:f>YEAR(A858)</x:f>
        <x:v>2024</x:v>
      </x:c>
    </x:row>
    <x:row r="859">
      <x:c r="A859" s="30" t="n">
        <x:v>45434</x:v>
      </x:c>
      <x:c r="B859" s="38" t="n">
        <x:v>5307.01</x:v>
      </x:c>
      <x:c r="C859" s="34" t="n">
        <x:f>(B859/B858-1)*100</x:f>
        <x:v>-0.2706049712388192</x:v>
      </x:c>
      <x:c r="D859" s="34" t="n">
        <x:f>Assumptions!$B$4*D858+(1-Assumptions!$B$4)*C858^2</x:f>
        <x:v>0.4615089466819103</x:v>
      </x:c>
      <x:c r="E859" s="34" t="n">
        <x:f>SQRT(D859)</x:f>
        <x:v>0.6793444977932112</x:v>
      </x:c>
      <x:c r="F859" s="34" t="n">
        <x:f>-Assumptions!$B$7*E859</x:f>
        <x:v>1.1174222611446902</x:v>
      </x:c>
      <x:c r="G859" s="34" t="n">
        <x:f>-Assumptions!$B$8*E859</x:f>
        <x:v>1.5803916281825792</x:v>
      </x:c>
      <x:c r="H859" s="34" t="n">
        <x:f>-Assumptions!$B$9*E859</x:f>
        <x:v>1.0603546789056206</x:v>
      </x:c>
      <x:c r="I859" s="34" t="n">
        <x:f>-Assumptions!$B$10*E859</x:f>
        <x:v>1.7706866837794055</x:v>
      </x:c>
      <x:c r="J859" s="36" t="n">
        <x:f>IF(C859&lt;-F859,1,0)</x:f>
        <x:v>0</x:v>
      </x:c>
      <x:c r="K859" s="36" t="n">
        <x:f>IF(C859&lt;-G859,1,0)</x:f>
        <x:v>0</x:v>
      </x:c>
      <x:c r="L859" s="36" t="n">
        <x:f>IF(C859&lt;-H859,1,0)</x:f>
        <x:v>0</x:v>
      </x:c>
      <x:c r="M859" s="36" t="n">
        <x:f>IF(C859&lt;-I859,1,0)</x:f>
        <x:v>0</x:v>
      </x:c>
      <x:c r="N859" s="34" t="n">
        <x:f>-F859</x:f>
        <x:v>-1.1174222611446902</x:v>
      </x:c>
      <x:c r="O859" s="34" t="n">
        <x:f>-H859</x:f>
        <x:v>-1.0603546789056206</x:v>
      </x:c>
      <x:c r="P859" s="34" t="n">
        <x:f>-G859</x:f>
        <x:v>-1.5803916281825792</x:v>
      </x:c>
      <x:c r="Q859" s="34" t="n">
        <x:f>-I859</x:f>
        <x:v>-1.7706866837794055</x:v>
      </x:c>
      <x:c r="R859" s="36" t="n">
        <x:f>YEAR(A859)</x:f>
        <x:v>2024</x:v>
      </x:c>
    </x:row>
    <x:row r="860">
      <x:c r="A860" s="30" t="n">
        <x:v>45435</x:v>
      </x:c>
      <x:c r="B860" s="38" t="n">
        <x:v>5267.84</x:v>
      </x:c>
      <x:c r="C860" s="34" t="n">
        <x:f>(B860/B859-1)*100</x:f>
        <x:v>-0.7380803880150943</x:v>
      </x:c>
      <x:c r="D860" s="34" t="n">
        <x:f>Assumptions!$B$4*D859+(1-Assumptions!$B$4)*C859^2</x:f>
        <x:v>0.4382120329085454</x:v>
      </x:c>
      <x:c r="E860" s="34" t="n">
        <x:f>SQRT(D860)</x:f>
        <x:v>0.6619758552307972</x:v>
      </x:c>
      <x:c r="F860" s="34" t="n">
        <x:f>-Assumptions!$B$7*E860</x:f>
        <x:v>1.0888533864306797</x:v>
      </x:c>
      <x:c r="G860" s="34" t="n">
        <x:f>-Assumptions!$B$8*E860</x:f>
        <x:v>1.539986123482532</x:v>
      </x:c>
      <x:c r="H860" s="34" t="n">
        <x:f>-Assumptions!$B$9*E860</x:f>
        <x:v>1.0332448377762369</x:v>
      </x:c>
      <x:c r="I860" s="34" t="n">
        <x:f>-Assumptions!$B$10*E860</x:f>
        <x:v>1.7254159497107648</x:v>
      </x:c>
      <x:c r="J860" s="36" t="n">
        <x:f>IF(C860&lt;-F860,1,0)</x:f>
        <x:v>0</x:v>
      </x:c>
      <x:c r="K860" s="36" t="n">
        <x:f>IF(C860&lt;-G860,1,0)</x:f>
        <x:v>0</x:v>
      </x:c>
      <x:c r="L860" s="36" t="n">
        <x:f>IF(C860&lt;-H860,1,0)</x:f>
        <x:v>0</x:v>
      </x:c>
      <x:c r="M860" s="36" t="n">
        <x:f>IF(C860&lt;-I860,1,0)</x:f>
        <x:v>0</x:v>
      </x:c>
      <x:c r="N860" s="34" t="n">
        <x:f>-F860</x:f>
        <x:v>-1.0888533864306797</x:v>
      </x:c>
      <x:c r="O860" s="34" t="n">
        <x:f>-H860</x:f>
        <x:v>-1.0332448377762369</x:v>
      </x:c>
      <x:c r="P860" s="34" t="n">
        <x:f>-G860</x:f>
        <x:v>-1.539986123482532</x:v>
      </x:c>
      <x:c r="Q860" s="34" t="n">
        <x:f>-I860</x:f>
        <x:v>-1.7254159497107648</x:v>
      </x:c>
      <x:c r="R860" s="36" t="n">
        <x:f>YEAR(A860)</x:f>
        <x:v>2024</x:v>
      </x:c>
    </x:row>
    <x:row r="861">
      <x:c r="A861" s="30" t="n">
        <x:v>45436</x:v>
      </x:c>
      <x:c r="B861" s="38" t="n">
        <x:v>5304.72</x:v>
      </x:c>
      <x:c r="C861" s="34" t="n">
        <x:f>(B861/B860-1)*100</x:f>
        <x:v>0.7000971935366307</x:v>
      </x:c>
      <x:c r="D861" s="34" t="n">
        <x:f>Assumptions!$B$4*D860+(1-Assumptions!$B$4)*C860^2</x:f>
        <x:v>0.44460507048438336</x:v>
      </x:c>
      <x:c r="E861" s="34" t="n">
        <x:f>SQRT(D861)</x:f>
        <x:v>0.6667871253139066</x:v>
      </x:c>
      <x:c r="F861" s="34" t="n">
        <x:f>-Assumptions!$B$7*E861</x:f>
        <x:v>1.0967672214771256</x:v>
      </x:c>
      <x:c r="G861" s="34" t="n">
        <x:f>-Assumptions!$B$8*E861</x:f>
        <x:v>1.55117881141181</x:v>
      </x:c>
      <x:c r="H861" s="34" t="n">
        <x:f>-Assumptions!$B$9*E861</x:f>
        <x:v>1.0407545074072944</x:v>
      </x:c>
      <x:c r="I861" s="34" t="n">
        <x:f>-Assumptions!$B$10*E861</x:f>
        <x:v>1.737956349899332</x:v>
      </x:c>
      <x:c r="J861" s="36" t="n">
        <x:f>IF(C861&lt;-F861,1,0)</x:f>
        <x:v>0</x:v>
      </x:c>
      <x:c r="K861" s="36" t="n">
        <x:f>IF(C861&lt;-G861,1,0)</x:f>
        <x:v>0</x:v>
      </x:c>
      <x:c r="L861" s="36" t="n">
        <x:f>IF(C861&lt;-H861,1,0)</x:f>
        <x:v>0</x:v>
      </x:c>
      <x:c r="M861" s="36" t="n">
        <x:f>IF(C861&lt;-I861,1,0)</x:f>
        <x:v>0</x:v>
      </x:c>
      <x:c r="N861" s="34" t="n">
        <x:f>-F861</x:f>
        <x:v>-1.0967672214771256</x:v>
      </x:c>
      <x:c r="O861" s="34" t="n">
        <x:f>-H861</x:f>
        <x:v>-1.0407545074072944</x:v>
      </x:c>
      <x:c r="P861" s="34" t="n">
        <x:f>-G861</x:f>
        <x:v>-1.55117881141181</x:v>
      </x:c>
      <x:c r="Q861" s="34" t="n">
        <x:f>-I861</x:f>
        <x:v>-1.737956349899332</x:v>
      </x:c>
      <x:c r="R861" s="36" t="n">
        <x:f>YEAR(A861)</x:f>
        <x:v>2024</x:v>
      </x:c>
    </x:row>
    <x:row r="862">
      <x:c r="A862" s="30" t="n">
        <x:v>45440</x:v>
      </x:c>
      <x:c r="B862" s="38" t="n">
        <x:v>5306.04</x:v>
      </x:c>
      <x:c r="C862" s="34" t="n">
        <x:f>(B862/B861-1)*100</x:f>
        <x:v>0.024883499977379486</x:v>
      </x:c>
      <x:c r="D862" s="34" t="n">
        <x:f>Assumptions!$B$4*D861+(1-Assumptions!$B$4)*C861^2</x:f>
        <x:v>0.44733693107919237</x:v>
      </x:c>
      <x:c r="E862" s="34" t="n">
        <x:f>SQRT(D862)</x:f>
        <x:v>0.6688325134734349</x:v>
      </x:c>
      <x:c r="F862" s="34" t="n">
        <x:f>-Assumptions!$B$7*E862</x:f>
        <x:v>1.1001315856098492</x:v>
      </x:c>
      <x:c r="G862" s="34" t="n">
        <x:f>-Assumptions!$B$8*E862</x:f>
        <x:v>1.555937095808317</x:v>
      </x:c>
      <x:c r="H862" s="34" t="n">
        <x:f>-Assumptions!$B$9*E862</x:f>
        <x:v>1.0439470509727156</x:v>
      </x:c>
      <x:c r="I862" s="34" t="n">
        <x:f>-Assumptions!$B$10*E862</x:f>
        <x:v>1.7432875796200433</x:v>
      </x:c>
      <x:c r="J862" s="36" t="n">
        <x:f>IF(C862&lt;-F862,1,0)</x:f>
        <x:v>0</x:v>
      </x:c>
      <x:c r="K862" s="36" t="n">
        <x:f>IF(C862&lt;-G862,1,0)</x:f>
        <x:v>0</x:v>
      </x:c>
      <x:c r="L862" s="36" t="n">
        <x:f>IF(C862&lt;-H862,1,0)</x:f>
        <x:v>0</x:v>
      </x:c>
      <x:c r="M862" s="36" t="n">
        <x:f>IF(C862&lt;-I862,1,0)</x:f>
        <x:v>0</x:v>
      </x:c>
      <x:c r="N862" s="34" t="n">
        <x:f>-F862</x:f>
        <x:v>-1.1001315856098492</x:v>
      </x:c>
      <x:c r="O862" s="34" t="n">
        <x:f>-H862</x:f>
        <x:v>-1.0439470509727156</x:v>
      </x:c>
      <x:c r="P862" s="34" t="n">
        <x:f>-G862</x:f>
        <x:v>-1.555937095808317</x:v>
      </x:c>
      <x:c r="Q862" s="34" t="n">
        <x:f>-I862</x:f>
        <x:v>-1.7432875796200433</x:v>
      </x:c>
      <x:c r="R862" s="36" t="n">
        <x:f>YEAR(A862)</x:f>
        <x:v>2024</x:v>
      </x:c>
    </x:row>
    <x:row r="863">
      <x:c r="A863" s="30" t="n">
        <x:v>45441</x:v>
      </x:c>
      <x:c r="B863" s="38" t="n">
        <x:v>5266.95</x:v>
      </x:c>
      <x:c r="C863" s="34" t="n">
        <x:f>(B863/B862-1)*100</x:f>
        <x:v>-0.7367076011488782</x:v>
      </x:c>
      <x:c r="D863" s="34" t="n">
        <x:f>Assumptions!$B$4*D862+(1-Assumptions!$B$4)*C862^2</x:f>
        <x:v>0.4205338665287083</x:v>
      </x:c>
      <x:c r="E863" s="34" t="n">
        <x:f>SQRT(D863)</x:f>
        <x:v>0.6484858260044766</x:v>
      </x:c>
      <x:c r="F863" s="34" t="n">
        <x:f>-Assumptions!$B$7*E863</x:f>
        <x:v>1.066664262930085</x:v>
      </x:c>
      <x:c r="G863" s="34" t="n">
        <x:f>-Assumptions!$B$8*E863</x:f>
        <x:v>1.5086036226711323</x:v>
      </x:c>
      <x:c r="H863" s="34" t="n">
        <x:f>-Assumptions!$B$9*E863</x:f>
        <x:v>1.0121889292421005</x:v>
      </x:c>
      <x:c r="I863" s="34" t="n">
        <x:f>-Assumptions!$B$10*E863</x:f>
        <x:v>1.690254679997925</x:v>
      </x:c>
      <x:c r="J863" s="36" t="n">
        <x:f>IF(C863&lt;-F863,1,0)</x:f>
        <x:v>0</x:v>
      </x:c>
      <x:c r="K863" s="36" t="n">
        <x:f>IF(C863&lt;-G863,1,0)</x:f>
        <x:v>0</x:v>
      </x:c>
      <x:c r="L863" s="36" t="n">
        <x:f>IF(C863&lt;-H863,1,0)</x:f>
        <x:v>0</x:v>
      </x:c>
      <x:c r="M863" s="36" t="n">
        <x:f>IF(C863&lt;-I863,1,0)</x:f>
        <x:v>0</x:v>
      </x:c>
      <x:c r="N863" s="34" t="n">
        <x:f>-F863</x:f>
        <x:v>-1.066664262930085</x:v>
      </x:c>
      <x:c r="O863" s="34" t="n">
        <x:f>-H863</x:f>
        <x:v>-1.0121889292421005</x:v>
      </x:c>
      <x:c r="P863" s="34" t="n">
        <x:f>-G863</x:f>
        <x:v>-1.5086036226711323</x:v>
      </x:c>
      <x:c r="Q863" s="34" t="n">
        <x:f>-I863</x:f>
        <x:v>-1.690254679997925</x:v>
      </x:c>
      <x:c r="R863" s="36" t="n">
        <x:f>YEAR(A863)</x:f>
        <x:v>2024</x:v>
      </x:c>
    </x:row>
    <x:row r="864">
      <x:c r="A864" s="30" t="n">
        <x:v>45442</x:v>
      </x:c>
      <x:c r="B864" s="38" t="n">
        <x:v>5235.48</x:v>
      </x:c>
      <x:c r="C864" s="34" t="n">
        <x:f>(B864/B863-1)*100</x:f>
        <x:v>-0.5974995016091</x:v>
      </x:c>
      <x:c r="D864" s="34" t="n">
        <x:f>Assumptions!$B$4*D863+(1-Assumptions!$B$4)*C863^2</x:f>
        <x:v>0.42786611991241785</x:v>
      </x:c>
      <x:c r="E864" s="34" t="n">
        <x:f>SQRT(D864)</x:f>
        <x:v>0.6541147605064557</x:v>
      </x:c>
      <x:c r="F864" s="34" t="n">
        <x:f>-Assumptions!$B$7*E864</x:f>
        <x:v>1.0759230362615377</x:v>
      </x:c>
      <x:c r="G864" s="34" t="n">
        <x:f>-Assumptions!$B$8*E864</x:f>
        <x:v>1.5216984824829265</x:v>
      </x:c>
      <x:c r="H864" s="34" t="n">
        <x:f>-Assumptions!$B$9*E864</x:f>
        <x:v>1.0209748501641298</x:v>
      </x:c>
      <x:c r="I864" s="34" t="n">
        <x:f>-Assumptions!$B$10*E864</x:f>
        <x:v>1.7049262927053186</x:v>
      </x:c>
      <x:c r="J864" s="36" t="n">
        <x:f>IF(C864&lt;-F864,1,0)</x:f>
        <x:v>0</x:v>
      </x:c>
      <x:c r="K864" s="36" t="n">
        <x:f>IF(C864&lt;-G864,1,0)</x:f>
        <x:v>0</x:v>
      </x:c>
      <x:c r="L864" s="36" t="n">
        <x:f>IF(C864&lt;-H864,1,0)</x:f>
        <x:v>0</x:v>
      </x:c>
      <x:c r="M864" s="36" t="n">
        <x:f>IF(C864&lt;-I864,1,0)</x:f>
        <x:v>0</x:v>
      </x:c>
      <x:c r="N864" s="34" t="n">
        <x:f>-F864</x:f>
        <x:v>-1.0759230362615377</x:v>
      </x:c>
      <x:c r="O864" s="34" t="n">
        <x:f>-H864</x:f>
        <x:v>-1.0209748501641298</x:v>
      </x:c>
      <x:c r="P864" s="34" t="n">
        <x:f>-G864</x:f>
        <x:v>-1.5216984824829265</x:v>
      </x:c>
      <x:c r="Q864" s="34" t="n">
        <x:f>-I864</x:f>
        <x:v>-1.7049262927053186</x:v>
      </x:c>
      <x:c r="R864" s="36" t="n">
        <x:f>YEAR(A864)</x:f>
        <x:v>2024</x:v>
      </x:c>
    </x:row>
    <x:row r="865">
      <x:c r="A865" s="30" t="n">
        <x:v>45443</x:v>
      </x:c>
      <x:c r="B865" s="38" t="n">
        <x:v>5277.51</x:v>
      </x:c>
      <x:c r="C865" s="34" t="n">
        <x:f>(B865/B864-1)*100</x:f>
        <x:v>0.8027917211029578</x:v>
      </x:c>
      <x:c r="D865" s="34" t="n">
        <x:f>Assumptions!$B$4*D864+(1-Assumptions!$B$4)*C864^2</x:f>
        <x:v>0.42361449198306017</x:v>
      </x:c>
      <x:c r="E865" s="34" t="n">
        <x:f>SQRT(D865)</x:f>
        <x:v>0.6508567369114805</x:v>
      </x:c>
      <x:c r="F865" s="34" t="n">
        <x:f>-Assumptions!$B$7*E865</x:f>
        <x:v>1.0705640643346492</x:v>
      </x:c>
      <x:c r="G865" s="34" t="n">
        <x:f>-Assumptions!$B$8*E865</x:f>
        <x:v>1.5141191862191812</x:v>
      </x:c>
      <x:c r="H865" s="34" t="n">
        <x:f>-Assumptions!$B$9*E865</x:f>
        <x:v>1.0158895649014406</x:v>
      </x:c>
      <x:c r="I865" s="34" t="n">
        <x:f>-Assumptions!$B$10*E865</x:f>
        <x:v>1.6964343729005633</x:v>
      </x:c>
      <x:c r="J865" s="36" t="n">
        <x:f>IF(C865&lt;-F865,1,0)</x:f>
        <x:v>0</x:v>
      </x:c>
      <x:c r="K865" s="36" t="n">
        <x:f>IF(C865&lt;-G865,1,0)</x:f>
        <x:v>0</x:v>
      </x:c>
      <x:c r="L865" s="36" t="n">
        <x:f>IF(C865&lt;-H865,1,0)</x:f>
        <x:v>0</x:v>
      </x:c>
      <x:c r="M865" s="36" t="n">
        <x:f>IF(C865&lt;-I865,1,0)</x:f>
        <x:v>0</x:v>
      </x:c>
      <x:c r="N865" s="34" t="n">
        <x:f>-F865</x:f>
        <x:v>-1.0705640643346492</x:v>
      </x:c>
      <x:c r="O865" s="34" t="n">
        <x:f>-H865</x:f>
        <x:v>-1.0158895649014406</x:v>
      </x:c>
      <x:c r="P865" s="34" t="n">
        <x:f>-G865</x:f>
        <x:v>-1.5141191862191812</x:v>
      </x:c>
      <x:c r="Q865" s="34" t="n">
        <x:f>-I865</x:f>
        <x:v>-1.6964343729005633</x:v>
      </x:c>
      <x:c r="R865" s="36" t="n">
        <x:f>YEAR(A865)</x:f>
        <x:v>2024</x:v>
      </x:c>
    </x:row>
    <x:row r="866">
      <x:c r="A866" s="30" t="n">
        <x:v>45446</x:v>
      </x:c>
      <x:c r="B866" s="38" t="n">
        <x:v>5283.4</x:v>
      </x:c>
      <x:c r="C866" s="34" t="n">
        <x:f>(B866/B865-1)*100</x:f>
        <x:v>0.1116056625188655</x:v>
      </x:c>
      <x:c r="D866" s="34" t="n">
        <x:f>Assumptions!$B$4*D865+(1-Assumptions!$B$4)*C865^2</x:f>
        <x:v>0.43686609531236353</x:v>
      </x:c>
      <x:c r="E866" s="34" t="n">
        <x:f>SQRT(D866)</x:f>
        <x:v>0.6609584671614122</x:v>
      </x:c>
      <x:c r="F866" s="34" t="n">
        <x:f>-Assumptions!$B$7*E866</x:f>
        <x:v>1.0871799319747348</x:v>
      </x:c>
      <x:c r="G866" s="34" t="n">
        <x:f>-Assumptions!$B$8*E866</x:f>
        <x:v>1.5376193249102437</x:v>
      </x:c>
      <x:c r="H866" s="34" t="n">
        <x:f>-Assumptions!$B$9*E866</x:f>
        <x:v>1.031656847878417</x:v>
      </x:c>
      <x:c r="I866" s="34" t="n">
        <x:f>-Assumptions!$B$10*E866</x:f>
        <x:v>1.722764164773155</x:v>
      </x:c>
      <x:c r="J866" s="36" t="n">
        <x:f>IF(C866&lt;-F866,1,0)</x:f>
        <x:v>0</x:v>
      </x:c>
      <x:c r="K866" s="36" t="n">
        <x:f>IF(C866&lt;-G866,1,0)</x:f>
        <x:v>0</x:v>
      </x:c>
      <x:c r="L866" s="36" t="n">
        <x:f>IF(C866&lt;-H866,1,0)</x:f>
        <x:v>0</x:v>
      </x:c>
      <x:c r="M866" s="36" t="n">
        <x:f>IF(C866&lt;-I866,1,0)</x:f>
        <x:v>0</x:v>
      </x:c>
      <x:c r="N866" s="34" t="n">
        <x:f>-F866</x:f>
        <x:v>-1.0871799319747348</x:v>
      </x:c>
      <x:c r="O866" s="34" t="n">
        <x:f>-H866</x:f>
        <x:v>-1.031656847878417</x:v>
      </x:c>
      <x:c r="P866" s="34" t="n">
        <x:f>-G866</x:f>
        <x:v>-1.5376193249102437</x:v>
      </x:c>
      <x:c r="Q866" s="34" t="n">
        <x:f>-I866</x:f>
        <x:v>-1.722764164773155</x:v>
      </x:c>
      <x:c r="R866" s="36" t="n">
        <x:f>YEAR(A866)</x:f>
        <x:v>2024</x:v>
      </x:c>
    </x:row>
    <x:row r="867">
      <x:c r="A867" s="30" t="n">
        <x:v>45447</x:v>
      </x:c>
      <x:c r="B867" s="38" t="n">
        <x:v>5291.34</x:v>
      </x:c>
      <x:c r="C867" s="34" t="n">
        <x:f>(B867/B866-1)*100</x:f>
        <x:v>0.15028201536890773</x:v>
      </x:c>
      <x:c r="D867" s="34" t="n">
        <x:f>Assumptions!$B$4*D866+(1-Assumptions!$B$4)*C866^2</x:f>
        <x:v>0.4114014790279982</x:v>
      </x:c>
      <x:c r="E867" s="34" t="n">
        <x:f>SQRT(D867)</x:f>
        <x:v>0.6414058613919881</x:v>
      </x:c>
      <x:c r="F867" s="34" t="n">
        <x:f>-Assumptions!$B$7*E867</x:f>
        <x:v>1.0550187574585452</x:v>
      </x:c>
      <x:c r="G867" s="34" t="n">
        <x:f>-Assumptions!$B$8*E867</x:f>
        <x:v>1.4921331620465854</x:v>
      </x:c>
      <x:c r="H867" s="34" t="n">
        <x:f>-Assumptions!$B$9*E867</x:f>
        <x:v>1.001138168357564</x:v>
      </x:c>
      <x:c r="I867" s="34" t="n">
        <x:f>-Assumptions!$B$10*E867</x:f>
        <x:v>1.6718010101710754</x:v>
      </x:c>
      <x:c r="J867" s="36" t="n">
        <x:f>IF(C867&lt;-F867,1,0)</x:f>
        <x:v>0</x:v>
      </x:c>
      <x:c r="K867" s="36" t="n">
        <x:f>IF(C867&lt;-G867,1,0)</x:f>
        <x:v>0</x:v>
      </x:c>
      <x:c r="L867" s="36" t="n">
        <x:f>IF(C867&lt;-H867,1,0)</x:f>
        <x:v>0</x:v>
      </x:c>
      <x:c r="M867" s="36" t="n">
        <x:f>IF(C867&lt;-I867,1,0)</x:f>
        <x:v>0</x:v>
      </x:c>
      <x:c r="N867" s="34" t="n">
        <x:f>-F867</x:f>
        <x:v>-1.0550187574585452</x:v>
      </x:c>
      <x:c r="O867" s="34" t="n">
        <x:f>-H867</x:f>
        <x:v>-1.001138168357564</x:v>
      </x:c>
      <x:c r="P867" s="34" t="n">
        <x:f>-G867</x:f>
        <x:v>-1.4921331620465854</x:v>
      </x:c>
      <x:c r="Q867" s="34" t="n">
        <x:f>-I867</x:f>
        <x:v>-1.6718010101710754</x:v>
      </x:c>
      <x:c r="R867" s="36" t="n">
        <x:f>YEAR(A867)</x:f>
        <x:v>2024</x:v>
      </x:c>
    </x:row>
    <x:row r="868">
      <x:c r="A868" s="30" t="n">
        <x:v>45448</x:v>
      </x:c>
      <x:c r="B868" s="38" t="n">
        <x:v>5354.03</x:v>
      </x:c>
      <x:c r="C868" s="34" t="n">
        <x:f>(B868/B867-1)*100</x:f>
        <x:v>1.1847660516995706</x:v>
      </x:c>
      <x:c r="D868" s="34" t="n">
        <x:f>Assumptions!$B$4*D867+(1-Assumptions!$B$4)*C867^2</x:f>
        <x:v>0.3880724713349187</x:v>
      </x:c>
      <x:c r="E868" s="34" t="n">
        <x:f>SQRT(D868)</x:f>
        <x:v>0.6229546302379642</x:v>
      </x:c>
      <x:c r="F868" s="34" t="n">
        <x:f>-Assumptions!$B$7*E868</x:f>
        <x:v>1.024669182973129</x:v>
      </x:c>
      <x:c r="G868" s="34" t="n">
        <x:f>-Assumptions!$B$8*E868</x:f>
        <x:v>1.4492091796779858</x:v>
      </x:c>
      <x:c r="H868" s="34" t="n">
        <x:f>-Assumptions!$B$9*E868</x:f>
        <x:v>0.9723385691125667</x:v>
      </x:c>
      <x:c r="I868" s="34" t="n">
        <x:f>-Assumptions!$B$10*E868</x:f>
        <x:v>1.623708548379016</x:v>
      </x:c>
      <x:c r="J868" s="36" t="n">
        <x:f>IF(C868&lt;-F868,1,0)</x:f>
        <x:v>0</x:v>
      </x:c>
      <x:c r="K868" s="36" t="n">
        <x:f>IF(C868&lt;-G868,1,0)</x:f>
        <x:v>0</x:v>
      </x:c>
      <x:c r="L868" s="36" t="n">
        <x:f>IF(C868&lt;-H868,1,0)</x:f>
        <x:v>0</x:v>
      </x:c>
      <x:c r="M868" s="36" t="n">
        <x:f>IF(C868&lt;-I868,1,0)</x:f>
        <x:v>0</x:v>
      </x:c>
      <x:c r="N868" s="34" t="n">
        <x:f>-F868</x:f>
        <x:v>-1.024669182973129</x:v>
      </x:c>
      <x:c r="O868" s="34" t="n">
        <x:f>-H868</x:f>
        <x:v>-0.9723385691125667</x:v>
      </x:c>
      <x:c r="P868" s="34" t="n">
        <x:f>-G868</x:f>
        <x:v>-1.4492091796779858</x:v>
      </x:c>
      <x:c r="Q868" s="34" t="n">
        <x:f>-I868</x:f>
        <x:v>-1.623708548379016</x:v>
      </x:c>
      <x:c r="R868" s="36" t="n">
        <x:f>YEAR(A868)</x:f>
        <x:v>2024</x:v>
      </x:c>
    </x:row>
    <x:row r="869">
      <x:c r="A869" s="30" t="n">
        <x:v>45449</x:v>
      </x:c>
      <x:c r="B869" s="38" t="n">
        <x:v>5352.96</x:v>
      </x:c>
      <x:c r="C869" s="34" t="n">
        <x:f>(B869/B868-1)*100</x:f>
        <x:v>-0.01998494591923805</x:v>
      </x:c>
      <x:c r="D869" s="34" t="n">
        <x:f>Assumptions!$B$4*D868+(1-Assumptions!$B$4)*C868^2</x:f>
        <x:v>0.449008358890411</x:v>
      </x:c>
      <x:c r="E869" s="34" t="n">
        <x:f>SQRT(D869)</x:f>
        <x:v>0.6700808599642367</x:v>
      </x:c>
      <x:c r="F869" s="34" t="n">
        <x:f>-Assumptions!$B$7*E869</x:f>
        <x:v>1.1021849328629367</x:v>
      </x:c>
      <x:c r="G869" s="34" t="n">
        <x:f>-Assumptions!$B$8*E869</x:f>
        <x:v>1.55884118401326</x:v>
      </x:c>
      <x:c r="H869" s="34" t="n">
        <x:f>-Assumptions!$B$9*E869</x:f>
        <x:v>1.0458955322612473</x:v>
      </x:c>
      <x:c r="I869" s="34" t="n">
        <x:f>-Assumptions!$B$10*E869</x:f>
        <x:v>1.7465413492688533</x:v>
      </x:c>
      <x:c r="J869" s="36" t="n">
        <x:f>IF(C869&lt;-F869,1,0)</x:f>
        <x:v>0</x:v>
      </x:c>
      <x:c r="K869" s="36" t="n">
        <x:f>IF(C869&lt;-G869,1,0)</x:f>
        <x:v>0</x:v>
      </x:c>
      <x:c r="L869" s="36" t="n">
        <x:f>IF(C869&lt;-H869,1,0)</x:f>
        <x:v>0</x:v>
      </x:c>
      <x:c r="M869" s="36" t="n">
        <x:f>IF(C869&lt;-I869,1,0)</x:f>
        <x:v>0</x:v>
      </x:c>
      <x:c r="N869" s="34" t="n">
        <x:f>-F869</x:f>
        <x:v>-1.1021849328629367</x:v>
      </x:c>
      <x:c r="O869" s="34" t="n">
        <x:f>-H869</x:f>
        <x:v>-1.0458955322612473</x:v>
      </x:c>
      <x:c r="P869" s="34" t="n">
        <x:f>-G869</x:f>
        <x:v>-1.55884118401326</x:v>
      </x:c>
      <x:c r="Q869" s="34" t="n">
        <x:f>-I869</x:f>
        <x:v>-1.7465413492688533</x:v>
      </x:c>
      <x:c r="R869" s="36" t="n">
        <x:f>YEAR(A869)</x:f>
        <x:v>2024</x:v>
      </x:c>
    </x:row>
    <x:row r="870">
      <x:c r="A870" s="30" t="n">
        <x:v>45450</x:v>
      </x:c>
      <x:c r="B870" s="38" t="n">
        <x:v>5346.99</x:v>
      </x:c>
      <x:c r="C870" s="34" t="n">
        <x:f>(B870/B869-1)*100</x:f>
        <x:v>-0.11152708034434244</x:v>
      </x:c>
      <x:c r="D870" s="34" t="n">
        <x:f>Assumptions!$B$4*D869+(1-Assumptions!$B$4)*C869^2</x:f>
        <x:v>0.42209182124079003</x:v>
      </x:c>
      <x:c r="E870" s="34" t="n">
        <x:f>SQRT(D870)</x:f>
        <x:v>0.6496859404672307</x:v>
      </x:c>
      <x:c r="F870" s="34" t="n">
        <x:f>-Assumptions!$B$7*E870</x:f>
        <x:v>1.068638275556903</x:v>
      </x:c>
      <x:c r="G870" s="34" t="n">
        <x:f>-Assumptions!$B$8*E870</x:f>
        <x:v>1.511395506400166</x:v>
      </x:c>
      <x:c r="H870" s="34" t="n">
        <x:f>-Assumptions!$B$9*E870</x:f>
        <x:v>1.0140621275824675</x:v>
      </x:c>
      <x:c r="I870" s="34" t="n">
        <x:f>-Assumptions!$B$10*E870</x:f>
        <x:v>1.6933827346228063</x:v>
      </x:c>
      <x:c r="J870" s="36" t="n">
        <x:f>IF(C870&lt;-F870,1,0)</x:f>
        <x:v>0</x:v>
      </x:c>
      <x:c r="K870" s="36" t="n">
        <x:f>IF(C870&lt;-G870,1,0)</x:f>
        <x:v>0</x:v>
      </x:c>
      <x:c r="L870" s="36" t="n">
        <x:f>IF(C870&lt;-H870,1,0)</x:f>
        <x:v>0</x:v>
      </x:c>
      <x:c r="M870" s="36" t="n">
        <x:f>IF(C870&lt;-I870,1,0)</x:f>
        <x:v>0</x:v>
      </x:c>
      <x:c r="N870" s="34" t="n">
        <x:f>-F870</x:f>
        <x:v>-1.068638275556903</x:v>
      </x:c>
      <x:c r="O870" s="34" t="n">
        <x:f>-H870</x:f>
        <x:v>-1.0140621275824675</x:v>
      </x:c>
      <x:c r="P870" s="34" t="n">
        <x:f>-G870</x:f>
        <x:v>-1.511395506400166</x:v>
      </x:c>
      <x:c r="Q870" s="34" t="n">
        <x:f>-I870</x:f>
        <x:v>-1.6933827346228063</x:v>
      </x:c>
      <x:c r="R870" s="36" t="n">
        <x:f>YEAR(A870)</x:f>
        <x:v>2024</x:v>
      </x:c>
    </x:row>
    <x:row r="871">
      <x:c r="A871" s="30" t="n">
        <x:v>45453</x:v>
      </x:c>
      <x:c r="B871" s="38" t="n">
        <x:v>5360.79</x:v>
      </x:c>
      <x:c r="C871" s="34" t="n">
        <x:f>(B871/B870-1)*100</x:f>
        <x:v>0.25808913052016713</x:v>
      </x:c>
      <x:c r="D871" s="34" t="n">
        <x:f>Assumptions!$B$4*D870+(1-Assumptions!$B$4)*C870^2</x:f>
        <x:v>0.3975126093453506</x:v>
      </x:c>
      <x:c r="E871" s="34" t="n">
        <x:f>SQRT(D871)</x:f>
        <x:v>0.630486010427948</x:v>
      </x:c>
      <x:c r="F871" s="34" t="n">
        <x:f>-Assumptions!$B$7*E871</x:f>
        <x:v>1.0370572009945744</x:v>
      </x:c>
      <x:c r="G871" s="34" t="n">
        <x:f>-Assumptions!$B$8*E871</x:f>
        <x:v>1.4667297899715481</x:v>
      </x:c>
      <x:c r="H871" s="34" t="n">
        <x:f>-Assumptions!$B$9*E871</x:f>
        <x:v>0.9840939218813137</x:v>
      </x:c>
      <x:c r="I871" s="34" t="n">
        <x:f>-Assumptions!$B$10*E871</x:f>
        <x:v>1.6433388164627412</x:v>
      </x:c>
      <x:c r="J871" s="36" t="n">
        <x:f>IF(C871&lt;-F871,1,0)</x:f>
        <x:v>0</x:v>
      </x:c>
      <x:c r="K871" s="36" t="n">
        <x:f>IF(C871&lt;-G871,1,0)</x:f>
        <x:v>0</x:v>
      </x:c>
      <x:c r="L871" s="36" t="n">
        <x:f>IF(C871&lt;-H871,1,0)</x:f>
        <x:v>0</x:v>
      </x:c>
      <x:c r="M871" s="36" t="n">
        <x:f>IF(C871&lt;-I871,1,0)</x:f>
        <x:v>0</x:v>
      </x:c>
      <x:c r="N871" s="34" t="n">
        <x:f>-F871</x:f>
        <x:v>-1.0370572009945744</x:v>
      </x:c>
      <x:c r="O871" s="34" t="n">
        <x:f>-H871</x:f>
        <x:v>-0.9840939218813137</x:v>
      </x:c>
      <x:c r="P871" s="34" t="n">
        <x:f>-G871</x:f>
        <x:v>-1.4667297899715481</x:v>
      </x:c>
      <x:c r="Q871" s="34" t="n">
        <x:f>-I871</x:f>
        <x:v>-1.6433388164627412</x:v>
      </x:c>
      <x:c r="R871" s="36" t="n">
        <x:f>YEAR(A871)</x:f>
        <x:v>2024</x:v>
      </x:c>
    </x:row>
    <x:row r="872">
      <x:c r="A872" s="30" t="n">
        <x:v>45454</x:v>
      </x:c>
      <x:c r="B872" s="38" t="n">
        <x:v>5375.32</x:v>
      </x:c>
      <x:c r="C872" s="34" t="n">
        <x:f>(B872/B871-1)*100</x:f>
        <x:v>0.271042141176947</x:v>
      </x:c>
      <x:c r="D872" s="34" t="n">
        <x:f>Assumptions!$B$4*D871+(1-Assumptions!$B$4)*C871^2</x:f>
        <x:v>0.3776584527421889</x:v>
      </x:c>
      <x:c r="E872" s="34" t="n">
        <x:f>SQRT(D872)</x:f>
        <x:v>0.6145392198567874</x:v>
      </x:c>
      <x:c r="F872" s="34" t="n">
        <x:f>-Assumptions!$B$7*E872</x:f>
        <x:v>1.0108270646853654</x:v>
      </x:c>
      <x:c r="G872" s="34" t="n">
        <x:f>-Assumptions!$B$8*E872</x:f>
        <x:v>1.4296320076285538</x:v>
      </x:c>
      <x:c r="H872" s="34" t="n">
        <x:f>-Assumptions!$B$9*E872</x:f>
        <x:v>0.959203378054748</x:v>
      </x:c>
      <x:c r="I872" s="34" t="n">
        <x:f>-Assumptions!$B$10*E872</x:f>
        <x:v>1.6017740878087259</x:v>
      </x:c>
      <x:c r="J872" s="36" t="n">
        <x:f>IF(C872&lt;-F872,1,0)</x:f>
        <x:v>0</x:v>
      </x:c>
      <x:c r="K872" s="36" t="n">
        <x:f>IF(C872&lt;-G872,1,0)</x:f>
        <x:v>0</x:v>
      </x:c>
      <x:c r="L872" s="36" t="n">
        <x:f>IF(C872&lt;-H872,1,0)</x:f>
        <x:v>0</x:v>
      </x:c>
      <x:c r="M872" s="36" t="n">
        <x:f>IF(C872&lt;-I872,1,0)</x:f>
        <x:v>0</x:v>
      </x:c>
      <x:c r="N872" s="34" t="n">
        <x:f>-F872</x:f>
        <x:v>-1.0108270646853654</x:v>
      </x:c>
      <x:c r="O872" s="34" t="n">
        <x:f>-H872</x:f>
        <x:v>-0.959203378054748</x:v>
      </x:c>
      <x:c r="P872" s="34" t="n">
        <x:f>-G872</x:f>
        <x:v>-1.4296320076285538</x:v>
      </x:c>
      <x:c r="Q872" s="34" t="n">
        <x:f>-I872</x:f>
        <x:v>-1.6017740878087259</x:v>
      </x:c>
      <x:c r="R872" s="36" t="n">
        <x:f>YEAR(A872)</x:f>
        <x:v>2024</x:v>
      </x:c>
    </x:row>
    <x:row r="873">
      <x:c r="A873" s="30" t="n">
        <x:v>45455</x:v>
      </x:c>
      <x:c r="B873" s="38" t="n">
        <x:v>5421.03</x:v>
      </x:c>
      <x:c r="C873" s="34" t="n">
        <x:f>(B873/B872-1)*100</x:f>
        <x:v>0.8503679780924589</x:v>
      </x:c>
      <x:c r="D873" s="34" t="n">
        <x:f>Assumptions!$B$4*D872+(1-Assumptions!$B$4)*C872^2</x:f>
        <x:v>0.3594067761152846</x:v>
      </x:c>
      <x:c r="E873" s="34" t="n">
        <x:f>SQRT(D873)</x:f>
        <x:v>0.5995054429404996</x:v>
      </x:c>
      <x:c r="F873" s="34" t="n">
        <x:f>-Assumptions!$B$7*E873</x:f>
        <x:v>0.98609870219783</x:v>
      </x:c>
      <x:c r="G873" s="34" t="n">
        <x:f>-Assumptions!$B$8*E873</x:f>
        <x:v>1.3946582126605436</x:v>
      </x:c>
      <x:c r="H873" s="34" t="n">
        <x:f>-Assumptions!$B$9*E873</x:f>
        <x:v>0.9357379113488389</x:v>
      </x:c>
      <x:c r="I873" s="34" t="n">
        <x:f>-Assumptions!$B$10*E873</x:f>
        <x:v>1.5625890959834383</x:v>
      </x:c>
      <x:c r="J873" s="36" t="n">
        <x:f>IF(C873&lt;-F873,1,0)</x:f>
        <x:v>0</x:v>
      </x:c>
      <x:c r="K873" s="36" t="n">
        <x:f>IF(C873&lt;-G873,1,0)</x:f>
        <x:v>0</x:v>
      </x:c>
      <x:c r="L873" s="36" t="n">
        <x:f>IF(C873&lt;-H873,1,0)</x:f>
        <x:v>0</x:v>
      </x:c>
      <x:c r="M873" s="36" t="n">
        <x:f>IF(C873&lt;-I873,1,0)</x:f>
        <x:v>0</x:v>
      </x:c>
      <x:c r="N873" s="34" t="n">
        <x:f>-F873</x:f>
        <x:v>-0.98609870219783</x:v>
      </x:c>
      <x:c r="O873" s="34" t="n">
        <x:f>-H873</x:f>
        <x:v>-0.9357379113488389</x:v>
      </x:c>
      <x:c r="P873" s="34" t="n">
        <x:f>-G873</x:f>
        <x:v>-1.3946582126605436</x:v>
      </x:c>
      <x:c r="Q873" s="34" t="n">
        <x:f>-I873</x:f>
        <x:v>-1.5625890959834383</x:v>
      </x:c>
      <x:c r="R873" s="36" t="n">
        <x:f>YEAR(A873)</x:f>
        <x:v>2024</x:v>
      </x:c>
    </x:row>
    <x:row r="874">
      <x:c r="A874" s="30" t="n">
        <x:v>45456</x:v>
      </x:c>
      <x:c r="B874" s="38" t="n">
        <x:v>5433.74</x:v>
      </x:c>
      <x:c r="C874" s="34" t="n">
        <x:f>(B874/B873-1)*100</x:f>
        <x:v>0.23445728948188194</x:v>
      </x:c>
      <x:c r="D874" s="34" t="n">
        <x:f>Assumptions!$B$4*D873+(1-Assumptions!$B$4)*C873^2</x:f>
        <x:v>0.38122991143827095</x:v>
      </x:c>
      <x:c r="E874" s="34" t="n">
        <x:f>SQRT(D874)</x:f>
        <x:v>0.6174381843053367</x:v>
      </x:c>
      <x:c r="F874" s="34" t="n">
        <x:f>-Assumptions!$B$7*E874</x:f>
        <x:v>1.015595436872965</x:v>
      </x:c>
      <x:c r="G874" s="34" t="n">
        <x:f>-Assumptions!$B$8*E874</x:f>
        <x:v>1.4363760074103566</x:v>
      </x:c>
      <x:c r="H874" s="34" t="n">
        <x:f>-Assumptions!$B$9*E874</x:f>
        <x:v>0.9637282259441262</x:v>
      </x:c>
      <x:c r="I874" s="34" t="n">
        <x:f>-Assumptions!$B$10*E874</x:f>
        <x:v>1.6093301330294802</x:v>
      </x:c>
      <x:c r="J874" s="36" t="n">
        <x:f>IF(C874&lt;-F874,1,0)</x:f>
        <x:v>0</x:v>
      </x:c>
      <x:c r="K874" s="36" t="n">
        <x:f>IF(C874&lt;-G874,1,0)</x:f>
        <x:v>0</x:v>
      </x:c>
      <x:c r="L874" s="36" t="n">
        <x:f>IF(C874&lt;-H874,1,0)</x:f>
        <x:v>0</x:v>
      </x:c>
      <x:c r="M874" s="36" t="n">
        <x:f>IF(C874&lt;-I874,1,0)</x:f>
        <x:v>0</x:v>
      </x:c>
      <x:c r="N874" s="34" t="n">
        <x:f>-F874</x:f>
        <x:v>-1.015595436872965</x:v>
      </x:c>
      <x:c r="O874" s="34" t="n">
        <x:f>-H874</x:f>
        <x:v>-0.9637282259441262</x:v>
      </x:c>
      <x:c r="P874" s="34" t="n">
        <x:f>-G874</x:f>
        <x:v>-1.4363760074103566</x:v>
      </x:c>
      <x:c r="Q874" s="34" t="n">
        <x:f>-I874</x:f>
        <x:v>-1.6093301330294802</x:v>
      </x:c>
      <x:c r="R874" s="36" t="n">
        <x:f>YEAR(A874)</x:f>
        <x:v>2024</x:v>
      </x:c>
    </x:row>
    <x:row r="875">
      <x:c r="A875" s="30" t="n">
        <x:v>45457</x:v>
      </x:c>
      <x:c r="B875" s="38" t="n">
        <x:v>5431.6</x:v>
      </x:c>
      <x:c r="C875" s="34" t="n">
        <x:f>(B875/B874-1)*100</x:f>
        <x:v>-0.0393835553412436</x:v>
      </x:c>
      <x:c r="D875" s="34" t="n">
        <x:f>Assumptions!$B$4*D874+(1-Assumptions!$B$4)*C874^2</x:f>
        <x:v>0.3616543299874461</x:v>
      </x:c>
      <x:c r="E875" s="34" t="n">
        <x:f>SQRT(D875)</x:f>
        <x:v>0.6013770281507651</x:v>
      </x:c>
      <x:c r="F875" s="34" t="n">
        <x:f>-Assumptions!$B$7*E875</x:f>
        <x:v>0.989177185919084</x:v>
      </x:c>
      <x:c r="G875" s="34" t="n">
        <x:f>-Assumptions!$B$8*E875</x:f>
        <x:v>1.399012170935531</x:v>
      </x:c>
      <x:c r="H875" s="34" t="n">
        <x:f>-Assumptions!$B$9*E875</x:f>
        <x:v>0.9386591746270758</x:v>
      </x:c>
      <x:c r="I875" s="34" t="n">
        <x:f>-Assumptions!$B$10*E875</x:f>
        <x:v>1.5674673146488443</x:v>
      </x:c>
      <x:c r="J875" s="36" t="n">
        <x:f>IF(C875&lt;-F875,1,0)</x:f>
        <x:v>0</x:v>
      </x:c>
      <x:c r="K875" s="36" t="n">
        <x:f>IF(C875&lt;-G875,1,0)</x:f>
        <x:v>0</x:v>
      </x:c>
      <x:c r="L875" s="36" t="n">
        <x:f>IF(C875&lt;-H875,1,0)</x:f>
        <x:v>0</x:v>
      </x:c>
      <x:c r="M875" s="36" t="n">
        <x:f>IF(C875&lt;-I875,1,0)</x:f>
        <x:v>0</x:v>
      </x:c>
      <x:c r="N875" s="34" t="n">
        <x:f>-F875</x:f>
        <x:v>-0.989177185919084</x:v>
      </x:c>
      <x:c r="O875" s="34" t="n">
        <x:f>-H875</x:f>
        <x:v>-0.9386591746270758</x:v>
      </x:c>
      <x:c r="P875" s="34" t="n">
        <x:f>-G875</x:f>
        <x:v>-1.399012170935531</x:v>
      </x:c>
      <x:c r="Q875" s="34" t="n">
        <x:f>-I875</x:f>
        <x:v>-1.5674673146488443</x:v>
      </x:c>
      <x:c r="R875" s="36" t="n">
        <x:f>YEAR(A875)</x:f>
        <x:v>2024</x:v>
      </x:c>
    </x:row>
    <x:row r="876">
      <x:c r="A876" s="30" t="n">
        <x:v>45460</x:v>
      </x:c>
      <x:c r="B876" s="38" t="n">
        <x:v>5473.23</x:v>
      </x:c>
      <x:c r="C876" s="34" t="n">
        <x:f>(B876/B875-1)*100</x:f>
        <x:v>0.7664408277487045</x:v>
      </x:c>
      <x:c r="D876" s="34" t="n">
        <x:f>Assumptions!$B$4*D875+(1-Assumptions!$B$4)*C875^2</x:f>
        <x:v>0.3400481340540783</x:v>
      </x:c>
      <x:c r="E876" s="34" t="n">
        <x:f>SQRT(D876)</x:f>
        <x:v>0.5831364626346721</x:v>
      </x:c>
      <x:c r="F876" s="34" t="n">
        <x:f>-Assumptions!$B$7*E876</x:f>
        <x:v>0.9591741255722924</x:v>
      </x:c>
      <x:c r="G876" s="34" t="n">
        <x:f>-Assumptions!$B$8*E876</x:f>
        <x:v>1.3565782701258653</x:v>
      </x:c>
      <x:c r="H876" s="34" t="n">
        <x:f>-Assumptions!$B$9*E876</x:f>
        <x:v>0.9101883927870775</x:v>
      </x:c>
      <x:c r="I876" s="34" t="n">
        <x:f>-Assumptions!$B$10*E876</x:f>
        <x:v>1.519923945167131</x:v>
      </x:c>
      <x:c r="J876" s="36" t="n">
        <x:f>IF(C876&lt;-F876,1,0)</x:f>
        <x:v>0</x:v>
      </x:c>
      <x:c r="K876" s="36" t="n">
        <x:f>IF(C876&lt;-G876,1,0)</x:f>
        <x:v>0</x:v>
      </x:c>
      <x:c r="L876" s="36" t="n">
        <x:f>IF(C876&lt;-H876,1,0)</x:f>
        <x:v>0</x:v>
      </x:c>
      <x:c r="M876" s="36" t="n">
        <x:f>IF(C876&lt;-I876,1,0)</x:f>
        <x:v>0</x:v>
      </x:c>
      <x:c r="N876" s="34" t="n">
        <x:f>-F876</x:f>
        <x:v>-0.9591741255722924</x:v>
      </x:c>
      <x:c r="O876" s="34" t="n">
        <x:f>-H876</x:f>
        <x:v>-0.9101883927870775</x:v>
      </x:c>
      <x:c r="P876" s="34" t="n">
        <x:f>-G876</x:f>
        <x:v>-1.3565782701258653</x:v>
      </x:c>
      <x:c r="Q876" s="34" t="n">
        <x:f>-I876</x:f>
        <x:v>-1.519923945167131</x:v>
      </x:c>
      <x:c r="R876" s="36" t="n">
        <x:f>YEAR(A876)</x:f>
        <x:v>2024</x:v>
      </x:c>
    </x:row>
    <x:row r="877">
      <x:c r="A877" s="30" t="n">
        <x:v>45461</x:v>
      </x:c>
      <x:c r="B877" s="38" t="n">
        <x:v>5487.03</x:v>
      </x:c>
      <x:c r="C877" s="34" t="n">
        <x:f>(B877/B876-1)*100</x:f>
        <x:v>0.2521363070800975</x:v>
      </x:c>
      <x:c r="D877" s="34" t="n">
        <x:f>Assumptions!$B$4*D876+(1-Assumptions!$B$4)*C876^2</x:f>
        <x:v>0.3548911385572408</x:v>
      </x:c>
      <x:c r="E877" s="34" t="n">
        <x:f>SQRT(D877)</x:f>
        <x:v>0.595727402892666</x:v>
      </x:c>
      <x:c r="F877" s="34" t="n">
        <x:f>-Assumptions!$B$7*E877</x:f>
        <x:v>0.979884379322383</x:v>
      </x:c>
      <x:c r="G877" s="34" t="n">
        <x:f>-Assumptions!$B$8*E877</x:f>
        <x:v>1.3858691772272247</x:v>
      </x:c>
      <x:c r="H877" s="34" t="n">
        <x:f>-Assumptions!$B$9*E877</x:f>
        <x:v>0.9298409585438534</x:v>
      </x:c>
      <x:c r="I877" s="34" t="n">
        <x:f>-Assumptions!$B$10*E877</x:f>
        <x:v>1.5527417722394246</x:v>
      </x:c>
      <x:c r="J877" s="36" t="n">
        <x:f>IF(C877&lt;-F877,1,0)</x:f>
        <x:v>0</x:v>
      </x:c>
      <x:c r="K877" s="36" t="n">
        <x:f>IF(C877&lt;-G877,1,0)</x:f>
        <x:v>0</x:v>
      </x:c>
      <x:c r="L877" s="36" t="n">
        <x:f>IF(C877&lt;-H877,1,0)</x:f>
        <x:v>0</x:v>
      </x:c>
      <x:c r="M877" s="36" t="n">
        <x:f>IF(C877&lt;-I877,1,0)</x:f>
        <x:v>0</x:v>
      </x:c>
      <x:c r="N877" s="34" t="n">
        <x:f>-F877</x:f>
        <x:v>-0.979884379322383</x:v>
      </x:c>
      <x:c r="O877" s="34" t="n">
        <x:f>-H877</x:f>
        <x:v>-0.9298409585438534</x:v>
      </x:c>
      <x:c r="P877" s="34" t="n">
        <x:f>-G877</x:f>
        <x:v>-1.3858691772272247</x:v>
      </x:c>
      <x:c r="Q877" s="34" t="n">
        <x:f>-I877</x:f>
        <x:v>-1.5527417722394246</x:v>
      </x:c>
      <x:c r="R877" s="36" t="n">
        <x:f>YEAR(A877)</x:f>
        <x:v>2024</x:v>
      </x:c>
    </x:row>
    <x:row r="878">
      <x:c r="A878" s="30" t="n">
        <x:v>45463</x:v>
      </x:c>
      <x:c r="B878" s="38" t="n">
        <x:v>5473.17</x:v>
      </x:c>
      <x:c r="C878" s="34" t="n">
        <x:f>(B878/B877-1)*100</x:f>
        <x:v>-0.25259566650810417</x:v>
      </x:c>
      <x:c r="D878" s="34" t="n">
        <x:f>Assumptions!$B$4*D877+(1-Assumptions!$B$4)*C877^2</x:f>
        <x:v>0.33741203328468566</x:v>
      </x:c>
      <x:c r="E878" s="34" t="n">
        <x:f>SQRT(D878)</x:f>
        <x:v>0.5808717873030895</x:v>
      </x:c>
      <x:c r="F878" s="34" t="n">
        <x:f>-Assumptions!$B$7*E878</x:f>
        <x:v>0.9554490661392713</x:v>
      </x:c>
      <x:c r="G878" s="34" t="n">
        <x:f>-Assumptions!$B$8*E878</x:f>
        <x:v>1.3513098474828455</x:v>
      </x:c>
      <x:c r="H878" s="34" t="n">
        <x:f>-Assumptions!$B$9*E878</x:f>
        <x:v>0.9066535748974114</x:v>
      </x:c>
      <x:c r="I878" s="34" t="n">
        <x:f>-Assumptions!$B$10*E878</x:f>
        <x:v>1.5140211514214788</x:v>
      </x:c>
      <x:c r="J878" s="36" t="n">
        <x:f>IF(C878&lt;-F878,1,0)</x:f>
        <x:v>0</x:v>
      </x:c>
      <x:c r="K878" s="36" t="n">
        <x:f>IF(C878&lt;-G878,1,0)</x:f>
        <x:v>0</x:v>
      </x:c>
      <x:c r="L878" s="36" t="n">
        <x:f>IF(C878&lt;-H878,1,0)</x:f>
        <x:v>0</x:v>
      </x:c>
      <x:c r="M878" s="36" t="n">
        <x:f>IF(C878&lt;-I878,1,0)</x:f>
        <x:v>0</x:v>
      </x:c>
      <x:c r="N878" s="34" t="n">
        <x:f>-F878</x:f>
        <x:v>-0.9554490661392713</x:v>
      </x:c>
      <x:c r="O878" s="34" t="n">
        <x:f>-H878</x:f>
        <x:v>-0.9066535748974114</x:v>
      </x:c>
      <x:c r="P878" s="34" t="n">
        <x:f>-G878</x:f>
        <x:v>-1.3513098474828455</x:v>
      </x:c>
      <x:c r="Q878" s="34" t="n">
        <x:f>-I878</x:f>
        <x:v>-1.5140211514214788</x:v>
      </x:c>
      <x:c r="R878" s="36" t="n">
        <x:f>YEAR(A878)</x:f>
        <x:v>2024</x:v>
      </x:c>
    </x:row>
    <x:row r="879">
      <x:c r="A879" s="30" t="n">
        <x:v>45464</x:v>
      </x:c>
      <x:c r="B879" s="38" t="n">
        <x:v>5464.62</x:v>
      </x:c>
      <x:c r="C879" s="34" t="n">
        <x:f>(B879/B878-1)*100</x:f>
        <x:v>-0.1562165984246855</x:v>
      </x:c>
      <x:c r="D879" s="34" t="n">
        <x:f>Assumptions!$B$4*D878+(1-Assumptions!$B$4)*C878^2</x:f>
        <x:v>0.3209955855319249</x:v>
      </x:c>
      <x:c r="E879" s="34" t="n">
        <x:f>SQRT(D879)</x:f>
        <x:v>0.566564723162257</x:v>
      </x:c>
      <x:c r="F879" s="34" t="n">
        <x:f>-Assumptions!$B$7*E879</x:f>
        <x:v>0.9319160397961956</x:v>
      </x:c>
      <x:c r="G879" s="34" t="n">
        <x:f>-Assumptions!$B$8*E879</x:f>
        <x:v>1.318026639235054</x:v>
      </x:c>
      <x:c r="H879" s="34" t="n">
        <x:f>-Assumptions!$B$9*E879</x:f>
        <x:v>0.884322397634013</x:v>
      </x:c>
      <x:c r="I879" s="34" t="n">
        <x:f>-Assumptions!$B$10*E879</x:f>
        <x:v>1.4767303099699869</x:v>
      </x:c>
      <x:c r="J879" s="36" t="n">
        <x:f>IF(C879&lt;-F879,1,0)</x:f>
        <x:v>0</x:v>
      </x:c>
      <x:c r="K879" s="36" t="n">
        <x:f>IF(C879&lt;-G879,1,0)</x:f>
        <x:v>0</x:v>
      </x:c>
      <x:c r="L879" s="36" t="n">
        <x:f>IF(C879&lt;-H879,1,0)</x:f>
        <x:v>0</x:v>
      </x:c>
      <x:c r="M879" s="36" t="n">
        <x:f>IF(C879&lt;-I879,1,0)</x:f>
        <x:v>0</x:v>
      </x:c>
      <x:c r="N879" s="34" t="n">
        <x:f>-F879</x:f>
        <x:v>-0.9319160397961956</x:v>
      </x:c>
      <x:c r="O879" s="34" t="n">
        <x:f>-H879</x:f>
        <x:v>-0.884322397634013</x:v>
      </x:c>
      <x:c r="P879" s="34" t="n">
        <x:f>-G879</x:f>
        <x:v>-1.318026639235054</x:v>
      </x:c>
      <x:c r="Q879" s="34" t="n">
        <x:f>-I879</x:f>
        <x:v>-1.4767303099699869</x:v>
      </x:c>
      <x:c r="R879" s="36" t="n">
        <x:f>YEAR(A879)</x:f>
        <x:v>2024</x:v>
      </x:c>
    </x:row>
    <x:row r="880">
      <x:c r="A880" s="30" t="n">
        <x:v>45467</x:v>
      </x:c>
      <x:c r="B880" s="38" t="n">
        <x:v>5447.87</x:v>
      </x:c>
      <x:c r="C880" s="34" t="n">
        <x:f>(B880/B879-1)*100</x:f>
        <x:v>-0.30651719607218686</x:v>
      </x:c>
      <x:c r="D880" s="34" t="n">
        <x:f>Assumptions!$B$4*D879+(1-Assumptions!$B$4)*C879^2</x:f>
        <x:v>0.30320006793741217</x:v>
      </x:c>
      <x:c r="E880" s="34" t="n">
        <x:f>SQRT(D880)</x:f>
        <x:v>0.550636057607393</x:v>
      </x:c>
      <x:c r="F880" s="34" t="n">
        <x:f>-Assumptions!$B$7*E880</x:f>
        <x:v>0.9057157164857805</x:v>
      </x:c>
      <x:c r="G880" s="34" t="n">
        <x:f>-Assumptions!$B$8*E880</x:f>
        <x:v>1.2809710219851884</x:v>
      </x:c>
      <x:c r="H880" s="34" t="n">
        <x:f>-Assumptions!$B$9*E880</x:f>
        <x:v>0.8594601442343187</x:v>
      </x:c>
      <x:c r="I880" s="34" t="n">
        <x:f>-Assumptions!$B$10*E880</x:f>
        <x:v>1.4352128235106223</x:v>
      </x:c>
      <x:c r="J880" s="36" t="n">
        <x:f>IF(C880&lt;-F880,1,0)</x:f>
        <x:v>0</x:v>
      </x:c>
      <x:c r="K880" s="36" t="n">
        <x:f>IF(C880&lt;-G880,1,0)</x:f>
        <x:v>0</x:v>
      </x:c>
      <x:c r="L880" s="36" t="n">
        <x:f>IF(C880&lt;-H880,1,0)</x:f>
        <x:v>0</x:v>
      </x:c>
      <x:c r="M880" s="36" t="n">
        <x:f>IF(C880&lt;-I880,1,0)</x:f>
        <x:v>0</x:v>
      </x:c>
      <x:c r="N880" s="34" t="n">
        <x:f>-F880</x:f>
        <x:v>-0.9057157164857805</x:v>
      </x:c>
      <x:c r="O880" s="34" t="n">
        <x:f>-H880</x:f>
        <x:v>-0.8594601442343187</x:v>
      </x:c>
      <x:c r="P880" s="34" t="n">
        <x:f>-G880</x:f>
        <x:v>-1.2809710219851884</x:v>
      </x:c>
      <x:c r="Q880" s="34" t="n">
        <x:f>-I880</x:f>
        <x:v>-1.4352128235106223</x:v>
      </x:c>
      <x:c r="R880" s="36" t="n">
        <x:f>YEAR(A880)</x:f>
        <x:v>2024</x:v>
      </x:c>
    </x:row>
    <x:row r="881">
      <x:c r="A881" s="30" t="n">
        <x:v>45468</x:v>
      </x:c>
      <x:c r="B881" s="38" t="n">
        <x:v>5469.3</x:v>
      </x:c>
      <x:c r="C881" s="34" t="n">
        <x:f>(B881/B880-1)*100</x:f>
        <x:v>0.39336474622191364</x:v>
      </x:c>
      <x:c r="D881" s="34" t="n">
        <x:f>Assumptions!$B$4*D880+(1-Assumptions!$B$4)*C880^2</x:f>
        <x:v>0.29064523135044473</x:v>
      </x:c>
      <x:c r="E881" s="34" t="n">
        <x:f>SQRT(D881)</x:f>
        <x:v>0.539115230122879</x:v>
      </x:c>
      <x:c r="F881" s="34" t="n">
        <x:f>-Assumptions!$B$7*E881</x:f>
        <x:v>0.8867656416123955</x:v>
      </x:c>
      <x:c r="G881" s="34" t="n">
        <x:f>-Assumptions!$B$8*E881</x:f>
        <x:v>1.254169569459398</x:v>
      </x:c>
      <x:c r="H881" s="34" t="n">
        <x:f>-Assumptions!$B$9*E881</x:f>
        <x:v>0.8414778637157423</x:v>
      </x:c>
      <x:c r="I881" s="34" t="n">
        <x:f>-Assumptions!$B$10*E881</x:f>
        <x:v>1.4051842063963076</x:v>
      </x:c>
      <x:c r="J881" s="36" t="n">
        <x:f>IF(C881&lt;-F881,1,0)</x:f>
        <x:v>0</x:v>
      </x:c>
      <x:c r="K881" s="36" t="n">
        <x:f>IF(C881&lt;-G881,1,0)</x:f>
        <x:v>0</x:v>
      </x:c>
      <x:c r="L881" s="36" t="n">
        <x:f>IF(C881&lt;-H881,1,0)</x:f>
        <x:v>0</x:v>
      </x:c>
      <x:c r="M881" s="36" t="n">
        <x:f>IF(C881&lt;-I881,1,0)</x:f>
        <x:v>0</x:v>
      </x:c>
      <x:c r="N881" s="34" t="n">
        <x:f>-F881</x:f>
        <x:v>-0.8867656416123955</x:v>
      </x:c>
      <x:c r="O881" s="34" t="n">
        <x:f>-H881</x:f>
        <x:v>-0.8414778637157423</x:v>
      </x:c>
      <x:c r="P881" s="34" t="n">
        <x:f>-G881</x:f>
        <x:v>-1.254169569459398</x:v>
      </x:c>
      <x:c r="Q881" s="34" t="n">
        <x:f>-I881</x:f>
        <x:v>-1.4051842063963076</x:v>
      </x:c>
      <x:c r="R881" s="36" t="n">
        <x:f>YEAR(A881)</x:f>
        <x:v>2024</x:v>
      </x:c>
    </x:row>
    <x:row r="882">
      <x:c r="A882" s="30" t="n">
        <x:v>45469</x:v>
      </x:c>
      <x:c r="B882" s="38" t="n">
        <x:v>5477.9</x:v>
      </x:c>
      <x:c r="C882" s="34" t="n">
        <x:f>(B882/B881-1)*100</x:f>
        <x:v>0.15724132887204867</x:v>
      </x:c>
      <x:c r="D882" s="34" t="n">
        <x:f>Assumptions!$B$4*D881+(1-Assumptions!$B$4)*C881^2</x:f>
        <x:v>0.2824906668836319</x:v>
      </x:c>
      <x:c r="E882" s="34" t="n">
        <x:f>SQRT(D882)</x:f>
        <x:v>0.5314985107068805</x:v>
      </x:c>
      <x:c r="F882" s="34" t="n">
        <x:f>-Assumptions!$B$7*E882</x:f>
        <x:v>0.8742372530555186</x:v>
      </x:c>
      <x:c r="G882" s="34" t="n">
        <x:f>-Assumptions!$B$8*E882</x:f>
        <x:v>1.2364504304388242</x:v>
      </x:c>
      <x:c r="H882" s="34" t="n">
        <x:f>-Assumptions!$B$9*E882</x:f>
        <x:v>0.8295893092387415</x:v>
      </x:c>
      <x:c r="I882" s="34" t="n">
        <x:f>-Assumptions!$B$10*E882</x:f>
        <x:v>1.3853315047290338</x:v>
      </x:c>
      <x:c r="J882" s="36" t="n">
        <x:f>IF(C882&lt;-F882,1,0)</x:f>
        <x:v>0</x:v>
      </x:c>
      <x:c r="K882" s="36" t="n">
        <x:f>IF(C882&lt;-G882,1,0)</x:f>
        <x:v>0</x:v>
      </x:c>
      <x:c r="L882" s="36" t="n">
        <x:f>IF(C882&lt;-H882,1,0)</x:f>
        <x:v>0</x:v>
      </x:c>
      <x:c r="M882" s="36" t="n">
        <x:f>IF(C882&lt;-I882,1,0)</x:f>
        <x:v>0</x:v>
      </x:c>
      <x:c r="N882" s="34" t="n">
        <x:f>-F882</x:f>
        <x:v>-0.8742372530555186</x:v>
      </x:c>
      <x:c r="O882" s="34" t="n">
        <x:f>-H882</x:f>
        <x:v>-0.8295893092387415</x:v>
      </x:c>
      <x:c r="P882" s="34" t="n">
        <x:f>-G882</x:f>
        <x:v>-1.2364504304388242</x:v>
      </x:c>
      <x:c r="Q882" s="34" t="n">
        <x:f>-I882</x:f>
        <x:v>-1.3853315047290338</x:v>
      </x:c>
      <x:c r="R882" s="36" t="n">
        <x:f>YEAR(A882)</x:f>
        <x:v>2024</x:v>
      </x:c>
    </x:row>
    <x:row r="883">
      <x:c r="A883" s="30" t="n">
        <x:v>45470</x:v>
      </x:c>
      <x:c r="B883" s="38" t="n">
        <x:v>5482.87</x:v>
      </x:c>
      <x:c r="C883" s="34" t="n">
        <x:f>(B883/B882-1)*100</x:f>
        <x:v>0.09072819876230209</x:v>
      </x:c>
      <x:c r="D883" s="34" t="n">
        <x:f>Assumptions!$B$4*D882+(1-Assumptions!$B$4)*C882^2</x:f>
        <x:v>0.2670247170009409</x:v>
      </x:c>
      <x:c r="E883" s="34" t="n">
        <x:f>SQRT(D883)</x:f>
        <x:v>0.5167443439467343</x:v>
      </x:c>
      <x:c r="F883" s="34" t="n">
        <x:f>-Assumptions!$B$7*E883</x:f>
        <x:v>0.8499688083474453</x:v>
      </x:c>
      <x:c r="G883" s="34" t="n">
        <x:f>-Assumptions!$B$8*E883</x:f>
        <x:v>1.202127105963114</x:v>
      </x:c>
      <x:c r="H883" s="34" t="n">
        <x:f>-Assumptions!$B$9*E883</x:f>
        <x:v>0.8065602719707649</x:v>
      </x:c>
      <x:c r="I883" s="34" t="n">
        <x:f>-Assumptions!$B$10*E883</x:f>
        <x:v>1.3468753065890382</x:v>
      </x:c>
      <x:c r="J883" s="36" t="n">
        <x:f>IF(C883&lt;-F883,1,0)</x:f>
        <x:v>0</x:v>
      </x:c>
      <x:c r="K883" s="36" t="n">
        <x:f>IF(C883&lt;-G883,1,0)</x:f>
        <x:v>0</x:v>
      </x:c>
      <x:c r="L883" s="36" t="n">
        <x:f>IF(C883&lt;-H883,1,0)</x:f>
        <x:v>0</x:v>
      </x:c>
      <x:c r="M883" s="36" t="n">
        <x:f>IF(C883&lt;-I883,1,0)</x:f>
        <x:v>0</x:v>
      </x:c>
      <x:c r="N883" s="34" t="n">
        <x:f>-F883</x:f>
        <x:v>-0.8499688083474453</x:v>
      </x:c>
      <x:c r="O883" s="34" t="n">
        <x:f>-H883</x:f>
        <x:v>-0.8065602719707649</x:v>
      </x:c>
      <x:c r="P883" s="34" t="n">
        <x:f>-G883</x:f>
        <x:v>-1.202127105963114</x:v>
      </x:c>
      <x:c r="Q883" s="34" t="n">
        <x:f>-I883</x:f>
        <x:v>-1.3468753065890382</x:v>
      </x:c>
      <x:c r="R883" s="36" t="n">
        <x:f>YEAR(A883)</x:f>
        <x:v>2024</x:v>
      </x:c>
    </x:row>
    <x:row r="884">
      <x:c r="A884" s="30" t="n">
        <x:v>45471</x:v>
      </x:c>
      <x:c r="B884" s="38" t="n">
        <x:v>5460.48</x:v>
      </x:c>
      <x:c r="C884" s="34" t="n">
        <x:f>(B884/B883-1)*100</x:f>
        <x:v>-0.40836277351096184</x:v>
      </x:c>
      <x:c r="D884" s="34" t="n">
        <x:f>Assumptions!$B$4*D883+(1-Assumptions!$B$4)*C883^2</x:f>
        <x:v>0.2514971303439235</x:v>
      </x:c>
      <x:c r="E884" s="34" t="n">
        <x:f>SQRT(D884)</x:f>
        <x:v>0.501494895630976</x:v>
      </x:c>
      <x:c r="F884" s="34" t="n">
        <x:f>-Assumptions!$B$7*E884</x:f>
        <x:v>0.8248856979762613</x:v>
      </x:c>
      <x:c r="G884" s="34" t="n">
        <x:f>-Assumptions!$B$8*E884</x:f>
        <x:v>1.1666515842934542</x:v>
      </x:c>
      <x:c r="H884" s="34" t="n">
        <x:f>-Assumptions!$B$9*E884</x:f>
        <x:v>0.7827581746182877</x:v>
      </x:c>
      <x:c r="I884" s="34" t="n">
        <x:f>-Assumptions!$B$10*E884</x:f>
        <x:v>1.3071281751183206</x:v>
      </x:c>
      <x:c r="J884" s="36" t="n">
        <x:f>IF(C884&lt;-F884,1,0)</x:f>
        <x:v>0</x:v>
      </x:c>
      <x:c r="K884" s="36" t="n">
        <x:f>IF(C884&lt;-G884,1,0)</x:f>
        <x:v>0</x:v>
      </x:c>
      <x:c r="L884" s="36" t="n">
        <x:f>IF(C884&lt;-H884,1,0)</x:f>
        <x:v>0</x:v>
      </x:c>
      <x:c r="M884" s="36" t="n">
        <x:f>IF(C884&lt;-I884,1,0)</x:f>
        <x:v>0</x:v>
      </x:c>
      <x:c r="N884" s="34" t="n">
        <x:f>-F884</x:f>
        <x:v>-0.8248856979762613</x:v>
      </x:c>
      <x:c r="O884" s="34" t="n">
        <x:f>-H884</x:f>
        <x:v>-0.7827581746182877</x:v>
      </x:c>
      <x:c r="P884" s="34" t="n">
        <x:f>-G884</x:f>
        <x:v>-1.1666515842934542</x:v>
      </x:c>
      <x:c r="Q884" s="34" t="n">
        <x:f>-I884</x:f>
        <x:v>-1.3071281751183206</x:v>
      </x:c>
      <x:c r="R884" s="36" t="n">
        <x:f>YEAR(A884)</x:f>
        <x:v>2024</x:v>
      </x:c>
    </x:row>
    <x:row r="885">
      <x:c r="A885" s="30" t="n">
        <x:v>45474</x:v>
      </x:c>
      <x:c r="B885" s="38" t="n">
        <x:v>5475.09</x:v>
      </x:c>
      <x:c r="C885" s="34" t="n">
        <x:f>(B885/B884-1)*100</x:f>
        <x:v>0.2675588959212494</x:v>
      </x:c>
      <x:c r="D885" s="34" t="n">
        <x:f>Assumptions!$B$4*D884+(1-Assumptions!$B$4)*C884^2</x:f>
        <x:v>0.24641291181066202</x:v>
      </x:c>
      <x:c r="E885" s="34" t="n">
        <x:f>SQRT(D885)</x:f>
        <x:v>0.49639995146118016</x:v>
      </x:c>
      <x:c r="F885" s="34" t="n">
        <x:f>-Assumptions!$B$7*E885</x:f>
        <x:v>0.8165052605794573</x:v>
      </x:c>
      <x:c r="G885" s="34" t="n">
        <x:f>-Assumptions!$B$8*E885</x:f>
        <x:v>1.1547989717556928</x:v>
      </x:c>
      <x:c r="H885" s="34" t="n">
        <x:f>-Assumptions!$B$9*E885</x:f>
        <x:v>0.7748057323643865</x:v>
      </x:c>
      <x:c r="I885" s="34" t="n">
        <x:f>-Assumptions!$B$10*E885</x:f>
        <x:v>1.2938483887575525</x:v>
      </x:c>
      <x:c r="J885" s="36" t="n">
        <x:f>IF(C885&lt;-F885,1,0)</x:f>
        <x:v>0</x:v>
      </x:c>
      <x:c r="K885" s="36" t="n">
        <x:f>IF(C885&lt;-G885,1,0)</x:f>
        <x:v>0</x:v>
      </x:c>
      <x:c r="L885" s="36" t="n">
        <x:f>IF(C885&lt;-H885,1,0)</x:f>
        <x:v>0</x:v>
      </x:c>
      <x:c r="M885" s="36" t="n">
        <x:f>IF(C885&lt;-I885,1,0)</x:f>
        <x:v>0</x:v>
      </x:c>
      <x:c r="N885" s="34" t="n">
        <x:f>-F885</x:f>
        <x:v>-0.8165052605794573</x:v>
      </x:c>
      <x:c r="O885" s="34" t="n">
        <x:f>-H885</x:f>
        <x:v>-0.7748057323643865</x:v>
      </x:c>
      <x:c r="P885" s="34" t="n">
        <x:f>-G885</x:f>
        <x:v>-1.1547989717556928</x:v>
      </x:c>
      <x:c r="Q885" s="34" t="n">
        <x:f>-I885</x:f>
        <x:v>-1.2938483887575525</x:v>
      </x:c>
      <x:c r="R885" s="36" t="n">
        <x:f>YEAR(A885)</x:f>
        <x:v>2024</x:v>
      </x:c>
    </x:row>
    <x:row r="886">
      <x:c r="A886" s="30" t="n">
        <x:v>45475</x:v>
      </x:c>
      <x:c r="B886" s="38" t="n">
        <x:v>5509.01</x:v>
      </x:c>
      <x:c r="C886" s="34" t="n">
        <x:f>(B886/B885-1)*100</x:f>
        <x:v>0.6195331948881222</x:v>
      </x:c>
      <x:c r="D886" s="34" t="n">
        <x:f>Assumptions!$B$4*D885+(1-Assumptions!$B$4)*C885^2</x:f>
        <x:v>0.23592340286921817</x:v>
      </x:c>
      <x:c r="E886" s="34" t="n">
        <x:f>SQRT(D886)</x:f>
        <x:v>0.4857194693125016</x:v>
      </x:c>
      <x:c r="F886" s="34" t="n">
        <x:f>-Assumptions!$B$7*E886</x:f>
        <x:v>0.7989374307796129</x:v>
      </x:c>
      <x:c r="G886" s="34" t="n">
        <x:f>-Assumptions!$B$8*E886</x:f>
        <x:v>1.1299524548153832</x:v>
      </x:c>
      <x:c r="H886" s="34" t="n">
        <x:f>-Assumptions!$B$9*E886</x:f>
        <x:v>0.7581351046400026</x:v>
      </x:c>
      <x:c r="I886" s="34" t="n">
        <x:f>-Assumptions!$B$10*E886</x:f>
        <x:v>1.2660101011458298</x:v>
      </x:c>
      <x:c r="J886" s="36" t="n">
        <x:f>IF(C886&lt;-F886,1,0)</x:f>
        <x:v>0</x:v>
      </x:c>
      <x:c r="K886" s="36" t="n">
        <x:f>IF(C886&lt;-G886,1,0)</x:f>
        <x:v>0</x:v>
      </x:c>
      <x:c r="L886" s="36" t="n">
        <x:f>IF(C886&lt;-H886,1,0)</x:f>
        <x:v>0</x:v>
      </x:c>
      <x:c r="M886" s="36" t="n">
        <x:f>IF(C886&lt;-I886,1,0)</x:f>
        <x:v>0</x:v>
      </x:c>
      <x:c r="N886" s="34" t="n">
        <x:f>-F886</x:f>
        <x:v>-0.7989374307796129</x:v>
      </x:c>
      <x:c r="O886" s="34" t="n">
        <x:f>-H886</x:f>
        <x:v>-0.7581351046400026</x:v>
      </x:c>
      <x:c r="P886" s="34" t="n">
        <x:f>-G886</x:f>
        <x:v>-1.1299524548153832</x:v>
      </x:c>
      <x:c r="Q886" s="34" t="n">
        <x:f>-I886</x:f>
        <x:v>-1.2660101011458298</x:v>
      </x:c>
      <x:c r="R886" s="36" t="n">
        <x:f>YEAR(A886)</x:f>
        <x:v>2024</x:v>
      </x:c>
    </x:row>
    <x:row r="887">
      <x:c r="A887" s="30" t="n">
        <x:v>45476</x:v>
      </x:c>
      <x:c r="B887" s="38" t="n">
        <x:v>5537.02</x:v>
      </x:c>
      <x:c r="C887" s="34" t="n">
        <x:f>(B887/B886-1)*100</x:f>
        <x:v>0.5084398104196586</x:v>
      </x:c>
      <x:c r="D887" s="34" t="n">
        <x:f>Assumptions!$B$4*D886+(1-Assumptions!$B$4)*C886^2</x:f>
        <x:v>0.24479728147116211</x:v>
      </x:c>
      <x:c r="E887" s="34" t="n">
        <x:f>SQRT(D887)</x:f>
        <x:v>0.49476992781611345</x:v>
      </x:c>
      <x:c r="F887" s="34" t="n">
        <x:f>-Assumptions!$B$7*E887</x:f>
        <x:v>0.8138241102748527</x:v>
      </x:c>
      <x:c r="G887" s="34" t="n">
        <x:f>-Assumptions!$B$8*E887</x:f>
        <x:v>1.1510069697143555</x:v>
      </x:c>
      <x:c r="H887" s="34" t="n">
        <x:f>-Assumptions!$B$9*E887</x:f>
        <x:v>0.7722615103910169</x:v>
      </x:c>
      <x:c r="I887" s="34" t="n">
        <x:f>-Assumptions!$B$10*E887</x:f>
        <x:v>1.2895997915113233</x:v>
      </x:c>
      <x:c r="J887" s="36" t="n">
        <x:f>IF(C887&lt;-F887,1,0)</x:f>
        <x:v>0</x:v>
      </x:c>
      <x:c r="K887" s="36" t="n">
        <x:f>IF(C887&lt;-G887,1,0)</x:f>
        <x:v>0</x:v>
      </x:c>
      <x:c r="L887" s="36" t="n">
        <x:f>IF(C887&lt;-H887,1,0)</x:f>
        <x:v>0</x:v>
      </x:c>
      <x:c r="M887" s="36" t="n">
        <x:f>IF(C887&lt;-I887,1,0)</x:f>
        <x:v>0</x:v>
      </x:c>
      <x:c r="N887" s="34" t="n">
        <x:f>-F887</x:f>
        <x:v>-0.8138241102748527</x:v>
      </x:c>
      <x:c r="O887" s="34" t="n">
        <x:f>-H887</x:f>
        <x:v>-0.7722615103910169</x:v>
      </x:c>
      <x:c r="P887" s="34" t="n">
        <x:f>-G887</x:f>
        <x:v>-1.1510069697143555</x:v>
      </x:c>
      <x:c r="Q887" s="34" t="n">
        <x:f>-I887</x:f>
        <x:v>-1.2895997915113233</x:v>
      </x:c>
      <x:c r="R887" s="36" t="n">
        <x:f>YEAR(A887)</x:f>
        <x:v>2024</x:v>
      </x:c>
    </x:row>
    <x:row r="888">
      <x:c r="A888" s="30" t="n">
        <x:v>45478</x:v>
      </x:c>
      <x:c r="B888" s="38" t="n">
        <x:v>5567.19</x:v>
      </x:c>
      <x:c r="C888" s="34" t="n">
        <x:f>(B888/B887-1)*100</x:f>
        <x:v>0.5448779307280605</x:v>
      </x:c>
      <x:c r="D888" s="34" t="n">
        <x:f>Assumptions!$B$4*D887+(1-Assumptions!$B$4)*C887^2</x:f>
        <x:v>0.24562010703206708</x:v>
      </x:c>
      <x:c r="E888" s="34" t="n">
        <x:f>SQRT(D888)</x:f>
        <x:v>0.49560075366373996</x:v>
      </x:c>
      <x:c r="F888" s="34" t="n">
        <x:f>-Assumptions!$B$7*E888</x:f>
        <x:v>0.8151906971836861</x:v>
      </x:c>
      <x:c r="G888" s="34" t="n">
        <x:f>-Assumptions!$B$8*E888</x:f>
        <x:v>1.1529397596586797</x:v>
      </x:c>
      <x:c r="H888" s="34" t="n">
        <x:f>-Assumptions!$B$9*E888</x:f>
        <x:v>0.7735583046945672</x:v>
      </x:c>
      <x:c r="I888" s="34" t="n">
        <x:f>-Assumptions!$B$10*E888</x:f>
        <x:v>1.2917653088147103</x:v>
      </x:c>
      <x:c r="J888" s="36" t="n">
        <x:f>IF(C888&lt;-F888,1,0)</x:f>
        <x:v>0</x:v>
      </x:c>
      <x:c r="K888" s="36" t="n">
        <x:f>IF(C888&lt;-G888,1,0)</x:f>
        <x:v>0</x:v>
      </x:c>
      <x:c r="L888" s="36" t="n">
        <x:f>IF(C888&lt;-H888,1,0)</x:f>
        <x:v>0</x:v>
      </x:c>
      <x:c r="M888" s="36" t="n">
        <x:f>IF(C888&lt;-I888,1,0)</x:f>
        <x:v>0</x:v>
      </x:c>
      <x:c r="N888" s="34" t="n">
        <x:f>-F888</x:f>
        <x:v>-0.8151906971836861</x:v>
      </x:c>
      <x:c r="O888" s="34" t="n">
        <x:f>-H888</x:f>
        <x:v>-0.7735583046945672</x:v>
      </x:c>
      <x:c r="P888" s="34" t="n">
        <x:f>-G888</x:f>
        <x:v>-1.1529397596586797</x:v>
      </x:c>
      <x:c r="Q888" s="34" t="n">
        <x:f>-I888</x:f>
        <x:v>-1.2917653088147103</x:v>
      </x:c>
      <x:c r="R888" s="36" t="n">
        <x:f>YEAR(A888)</x:f>
        <x:v>2024</x:v>
      </x:c>
    </x:row>
    <x:row r="889">
      <x:c r="A889" s="30" t="n">
        <x:v>45481</x:v>
      </x:c>
      <x:c r="B889" s="38" t="n">
        <x:v>5572.85</x:v>
      </x:c>
      <x:c r="C889" s="34" t="n">
        <x:f>(B889/B888-1)*100</x:f>
        <x:v>0.10166708878267539</x:v>
      </x:c>
      <x:c r="D889" s="34" t="n">
        <x:f>Assumptions!$B$4*D888+(1-Assumptions!$B$4)*C888^2</x:f>
        <x:v>0.24869641817381266</x:v>
      </x:c>
      <x:c r="E889" s="34" t="n">
        <x:f>SQRT(D889)</x:f>
        <x:v>0.49869471440332375</x:v>
      </x:c>
      <x:c r="F889" s="34" t="n">
        <x:f>-Assumptions!$B$7*E889</x:f>
        <x:v>0.820279809727836</x:v>
      </x:c>
      <x:c r="G889" s="34" t="n">
        <x:f>-Assumptions!$B$8*E889</x:f>
        <x:v>1.1601373886475763</x:v>
      </x:c>
      <x:c r="H889" s="34" t="n">
        <x:f>-Assumptions!$B$9*E889</x:f>
        <x:v>0.7783875124930039</x:v>
      </x:c>
      <x:c r="I889" s="34" t="n">
        <x:f>-Assumptions!$B$10*E889</x:f>
        <x:v>1.2998296047639872</x:v>
      </x:c>
      <x:c r="J889" s="36" t="n">
        <x:f>IF(C889&lt;-F889,1,0)</x:f>
        <x:v>0</x:v>
      </x:c>
      <x:c r="K889" s="36" t="n">
        <x:f>IF(C889&lt;-G889,1,0)</x:f>
        <x:v>0</x:v>
      </x:c>
      <x:c r="L889" s="36" t="n">
        <x:f>IF(C889&lt;-H889,1,0)</x:f>
        <x:v>0</x:v>
      </x:c>
      <x:c r="M889" s="36" t="n">
        <x:f>IF(C889&lt;-I889,1,0)</x:f>
        <x:v>0</x:v>
      </x:c>
      <x:c r="N889" s="34" t="n">
        <x:f>-F889</x:f>
        <x:v>-0.820279809727836</x:v>
      </x:c>
      <x:c r="O889" s="34" t="n">
        <x:f>-H889</x:f>
        <x:v>-0.7783875124930039</x:v>
      </x:c>
      <x:c r="P889" s="34" t="n">
        <x:f>-G889</x:f>
        <x:v>-1.1601373886475763</x:v>
      </x:c>
      <x:c r="Q889" s="34" t="n">
        <x:f>-I889</x:f>
        <x:v>-1.2998296047639872</x:v>
      </x:c>
      <x:c r="R889" s="36" t="n">
        <x:f>YEAR(A889)</x:f>
        <x:v>2024</x:v>
      </x:c>
    </x:row>
    <x:row r="890">
      <x:c r="A890" s="30" t="n">
        <x:v>45482</x:v>
      </x:c>
      <x:c r="B890" s="38" t="n">
        <x:v>5576.98</x:v>
      </x:c>
      <x:c r="C890" s="34" t="n">
        <x:f>(B890/B889-1)*100</x:f>
        <x:v>0.07410929775606423</x:v>
      </x:c>
      <x:c r="D890" s="34" t="n">
        <x:f>Assumptions!$B$4*D889+(1-Assumptions!$B$4)*C889^2</x:f>
        <x:v>0.23439480489987655</x:v>
      </x:c>
      <x:c r="E890" s="34" t="n">
        <x:f>SQRT(D890)</x:f>
        <x:v>0.48414337225647996</x:v>
      </x:c>
      <x:c r="F890" s="34" t="n">
        <x:f>-Assumptions!$B$7*E890</x:f>
        <x:v>0.7963449818205881</x:v>
      </x:c>
      <x:c r="G890" s="34" t="n">
        <x:f>-Assumptions!$B$8*E890</x:f>
        <x:v>1.1262859047798253</x:v>
      </x:c>
      <x:c r="H890" s="34" t="n">
        <x:f>-Assumptions!$B$9*E890</x:f>
        <x:v>0.7556750539688177</x:v>
      </x:c>
      <x:c r="I890" s="34" t="n">
        <x:f>-Assumptions!$B$10*E890</x:f>
        <x:v>1.2619020615893057</x:v>
      </x:c>
      <x:c r="J890" s="36" t="n">
        <x:f>IF(C890&lt;-F890,1,0)</x:f>
        <x:v>0</x:v>
      </x:c>
      <x:c r="K890" s="36" t="n">
        <x:f>IF(C890&lt;-G890,1,0)</x:f>
        <x:v>0</x:v>
      </x:c>
      <x:c r="L890" s="36" t="n">
        <x:f>IF(C890&lt;-H890,1,0)</x:f>
        <x:v>0</x:v>
      </x:c>
      <x:c r="M890" s="36" t="n">
        <x:f>IF(C890&lt;-I890,1,0)</x:f>
        <x:v>0</x:v>
      </x:c>
      <x:c r="N890" s="34" t="n">
        <x:f>-F890</x:f>
        <x:v>-0.7963449818205881</x:v>
      </x:c>
      <x:c r="O890" s="34" t="n">
        <x:f>-H890</x:f>
        <x:v>-0.7556750539688177</x:v>
      </x:c>
      <x:c r="P890" s="34" t="n">
        <x:f>-G890</x:f>
        <x:v>-1.1262859047798253</x:v>
      </x:c>
      <x:c r="Q890" s="34" t="n">
        <x:f>-I890</x:f>
        <x:v>-1.2619020615893057</x:v>
      </x:c>
      <x:c r="R890" s="36" t="n">
        <x:f>YEAR(A890)</x:f>
        <x:v>2024</x:v>
      </x:c>
    </x:row>
    <x:row r="891">
      <x:c r="A891" s="30" t="n">
        <x:v>45483</x:v>
      </x:c>
      <x:c r="B891" s="38" t="n">
        <x:v>5633.91</x:v>
      </x:c>
      <x:c r="C891" s="34" t="n">
        <x:f>(B891/B890-1)*100</x:f>
        <x:v>1.0208033738690059</x:v>
      </x:c>
      <x:c r="D891" s="34" t="n">
        <x:f>Assumptions!$B$4*D890+(1-Assumptions!$B$4)*C890^2</x:f>
        <x:v>0.22066064788671777</x:v>
      </x:c>
      <x:c r="E891" s="34" t="n">
        <x:f>SQRT(D891)</x:f>
        <x:v>0.4697453010799765</x:v>
      </x:c>
      <x:c r="F891" s="34" t="n">
        <x:f>-Assumptions!$B$7*E891</x:f>
        <x:v>0.7726622622248109</x:v>
      </x:c>
      <x:c r="G891" s="34" t="n">
        <x:f>-Assumptions!$B$8*E891</x:f>
        <x:v>1.0927909825080777</x:v>
      </x:c>
      <x:c r="H891" s="34" t="n">
        <x:f>-Assumptions!$B$9*E891</x:f>
        <x:v>0.7332018283979692</x:v>
      </x:c>
      <x:c r="I891" s="34" t="n">
        <x:f>-Assumptions!$B$10*E891</x:f>
        <x:v>1.2243740136148844</x:v>
      </x:c>
      <x:c r="J891" s="36" t="n">
        <x:f>IF(C891&lt;-F891,1,0)</x:f>
        <x:v>0</x:v>
      </x:c>
      <x:c r="K891" s="36" t="n">
        <x:f>IF(C891&lt;-G891,1,0)</x:f>
        <x:v>0</x:v>
      </x:c>
      <x:c r="L891" s="36" t="n">
        <x:f>IF(C891&lt;-H891,1,0)</x:f>
        <x:v>0</x:v>
      </x:c>
      <x:c r="M891" s="36" t="n">
        <x:f>IF(C891&lt;-I891,1,0)</x:f>
        <x:v>0</x:v>
      </x:c>
      <x:c r="N891" s="34" t="n">
        <x:f>-F891</x:f>
        <x:v>-0.7726622622248109</x:v>
      </x:c>
      <x:c r="O891" s="34" t="n">
        <x:f>-H891</x:f>
        <x:v>-0.7332018283979692</x:v>
      </x:c>
      <x:c r="P891" s="34" t="n">
        <x:f>-G891</x:f>
        <x:v>-1.0927909825080777</x:v>
      </x:c>
      <x:c r="Q891" s="34" t="n">
        <x:f>-I891</x:f>
        <x:v>-1.2243740136148844</x:v>
      </x:c>
      <x:c r="R891" s="36" t="n">
        <x:f>YEAR(A891)</x:f>
        <x:v>2024</x:v>
      </x:c>
    </x:row>
    <x:row r="892">
      <x:c r="A892" s="30" t="n">
        <x:v>45484</x:v>
      </x:c>
      <x:c r="B892" s="38" t="n">
        <x:v>5584.54</x:v>
      </x:c>
      <x:c r="C892" s="34" t="n">
        <x:f>(B892/B891-1)*100</x:f>
        <x:v>-0.8763008283767415</x:v>
      </x:c>
      <x:c r="D892" s="34" t="n">
        <x:f>Assumptions!$B$4*D891+(1-Assumptions!$B$4)*C891^2</x:f>
        <x:v>0.26994338069965546</x:v>
      </x:c>
      <x:c r="E892" s="34" t="n">
        <x:f>SQRT(D892)</x:f>
        <x:v>0.5195607574669737</x:v>
      </x:c>
      <x:c r="F892" s="34" t="n">
        <x:f>-Assumptions!$B$7*E892</x:f>
        <x:v>0.8546013963412062</x:v>
      </x:c>
      <x:c r="G892" s="34" t="n">
        <x:f>-Assumptions!$B$8*E892</x:f>
        <x:v>1.2086790635683429</x:v>
      </x:c>
      <x:c r="H892" s="34" t="n">
        <x:f>-Assumptions!$B$9*E892</x:f>
        <x:v>0.8109562702656211</x:v>
      </x:c>
      <x:c r="I892" s="34" t="n">
        <x:f>-Assumptions!$B$10*E892</x:f>
        <x:v>1.3542161858226287</x:v>
      </x:c>
      <x:c r="J892" s="36" t="n">
        <x:f>IF(C892&lt;-F892,1,0)</x:f>
        <x:v>1</x:v>
      </x:c>
      <x:c r="K892" s="36" t="n">
        <x:f>IF(C892&lt;-G892,1,0)</x:f>
        <x:v>0</x:v>
      </x:c>
      <x:c r="L892" s="36" t="n">
        <x:f>IF(C892&lt;-H892,1,0)</x:f>
        <x:v>1</x:v>
      </x:c>
      <x:c r="M892" s="36" t="n">
        <x:f>IF(C892&lt;-I892,1,0)</x:f>
        <x:v>0</x:v>
      </x:c>
      <x:c r="N892" s="34" t="n">
        <x:f>-F892</x:f>
        <x:v>-0.8546013963412062</x:v>
      </x:c>
      <x:c r="O892" s="34" t="n">
        <x:f>-H892</x:f>
        <x:v>-0.8109562702656211</x:v>
      </x:c>
      <x:c r="P892" s="34" t="n">
        <x:f>-G892</x:f>
        <x:v>-1.2086790635683429</x:v>
      </x:c>
      <x:c r="Q892" s="34" t="n">
        <x:f>-I892</x:f>
        <x:v>-1.3542161858226287</x:v>
      </x:c>
      <x:c r="R892" s="36" t="n">
        <x:f>YEAR(A892)</x:f>
        <x:v>2024</x:v>
      </x:c>
    </x:row>
    <x:row r="893">
      <x:c r="A893" s="30" t="n">
        <x:v>45485</x:v>
      </x:c>
      <x:c r="B893" s="38" t="n">
        <x:v>5615.35</x:v>
      </x:c>
      <x:c r="C893" s="34" t="n">
        <x:f>(B893/B892-1)*100</x:f>
        <x:v>0.5517016620885551</x:v>
      </x:c>
      <x:c r="D893" s="34" t="n">
        <x:f>Assumptions!$B$4*D892+(1-Assumptions!$B$4)*C892^2</x:f>
        <x:v>0.29982096636650196</x:v>
      </x:c>
      <x:c r="E893" s="34" t="n">
        <x:f>SQRT(D893)</x:f>
        <x:v>0.5475590985149474</x:v>
      </x:c>
      <x:c r="F893" s="34" t="n">
        <x:f>-Assumptions!$B$7*E893</x:f>
        <x:v>0.9006545691625901</x:v>
      </x:c>
      <x:c r="G893" s="34" t="n">
        <x:f>-Assumptions!$B$8*E893</x:f>
        <x:v>1.273812944741967</x:v>
      </x:c>
      <x:c r="H893" s="34" t="n">
        <x:f>-Assumptions!$B$9*E893</x:f>
        <x:v>0.8546574734523011</x:v>
      </x:c>
      <x:c r="I893" s="34" t="n">
        <x:f>-Assumptions!$B$10*E893</x:f>
        <x:v>1.4271928417352113</x:v>
      </x:c>
      <x:c r="J893" s="36" t="n">
        <x:f>IF(C893&lt;-F893,1,0)</x:f>
        <x:v>0</x:v>
      </x:c>
      <x:c r="K893" s="36" t="n">
        <x:f>IF(C893&lt;-G893,1,0)</x:f>
        <x:v>0</x:v>
      </x:c>
      <x:c r="L893" s="36" t="n">
        <x:f>IF(C893&lt;-H893,1,0)</x:f>
        <x:v>0</x:v>
      </x:c>
      <x:c r="M893" s="36" t="n">
        <x:f>IF(C893&lt;-I893,1,0)</x:f>
        <x:v>0</x:v>
      </x:c>
      <x:c r="N893" s="34" t="n">
        <x:f>-F893</x:f>
        <x:v>-0.9006545691625901</x:v>
      </x:c>
      <x:c r="O893" s="34" t="n">
        <x:f>-H893</x:f>
        <x:v>-0.8546574734523011</x:v>
      </x:c>
      <x:c r="P893" s="34" t="n">
        <x:f>-G893</x:f>
        <x:v>-1.273812944741967</x:v>
      </x:c>
      <x:c r="Q893" s="34" t="n">
        <x:f>-I893</x:f>
        <x:v>-1.4271928417352113</x:v>
      </x:c>
      <x:c r="R893" s="36" t="n">
        <x:f>YEAR(A893)</x:f>
        <x:v>2024</x:v>
      </x:c>
    </x:row>
    <x:row r="894">
      <x:c r="A894" s="30" t="n">
        <x:v>45488</x:v>
      </x:c>
      <x:c r="B894" s="38" t="n">
        <x:v>5631.22</x:v>
      </x:c>
      <x:c r="C894" s="34" t="n">
        <x:f>(B894/B893-1)*100</x:f>
        <x:v>0.2826181805230199</x:v>
      </x:c>
      <x:c r="D894" s="34" t="n">
        <x:f>Assumptions!$B$4*D893+(1-Assumptions!$B$4)*C893^2</x:f>
        <x:v>0.3000941918215883</x:v>
      </x:c>
      <x:c r="E894" s="34" t="n">
        <x:f>SQRT(D894)</x:f>
        <x:v>0.547808535732685</x:v>
      </x:c>
      <x:c r="F894" s="34" t="n">
        <x:f>-Assumptions!$B$7*E894</x:f>
        <x:v>0.9010648568748824</x:v>
      </x:c>
      <x:c r="G894" s="34" t="n">
        <x:f>-Assumptions!$B$8*E894</x:f>
        <x:v>1.2743932224831573</x:v>
      </x:c>
      <x:c r="H894" s="34" t="n">
        <x:f>-Assumptions!$B$9*E894</x:f>
        <x:v>0.8550468074673412</x:v>
      </x:c>
      <x:c r="I894" s="34" t="n">
        <x:f>-Assumptions!$B$10*E894</x:f>
        <x:v>1.4278429907558063</x:v>
      </x:c>
      <x:c r="J894" s="36" t="n">
        <x:f>IF(C894&lt;-F894,1,0)</x:f>
        <x:v>0</x:v>
      </x:c>
      <x:c r="K894" s="36" t="n">
        <x:f>IF(C894&lt;-G894,1,0)</x:f>
        <x:v>0</x:v>
      </x:c>
      <x:c r="L894" s="36" t="n">
        <x:f>IF(C894&lt;-H894,1,0)</x:f>
        <x:v>0</x:v>
      </x:c>
      <x:c r="M894" s="36" t="n">
        <x:f>IF(C894&lt;-I894,1,0)</x:f>
        <x:v>0</x:v>
      </x:c>
      <x:c r="N894" s="34" t="n">
        <x:f>-F894</x:f>
        <x:v>-0.9010648568748824</x:v>
      </x:c>
      <x:c r="O894" s="34" t="n">
        <x:f>-H894</x:f>
        <x:v>-0.8550468074673412</x:v>
      </x:c>
      <x:c r="P894" s="34" t="n">
        <x:f>-G894</x:f>
        <x:v>-1.2743932224831573</x:v>
      </x:c>
      <x:c r="Q894" s="34" t="n">
        <x:f>-I894</x:f>
        <x:v>-1.4278429907558063</x:v>
      </x:c>
      <x:c r="R894" s="36" t="n">
        <x:f>YEAR(A894)</x:f>
        <x:v>2024</x:v>
      </x:c>
    </x:row>
    <x:row r="895">
      <x:c r="A895" s="30" t="n">
        <x:v>45489</x:v>
      </x:c>
      <x:c r="B895" s="38" t="n">
        <x:v>5667.2</x:v>
      </x:c>
      <x:c r="C895" s="34" t="n">
        <x:f>(B895/B894-1)*100</x:f>
        <x:v>0.6389379210899104</x:v>
      </x:c>
      <x:c r="D895" s="34" t="n">
        <x:f>Assumptions!$B$4*D894+(1-Assumptions!$B$4)*C894^2</x:f>
        <x:v>0.2868809224700215</x:v>
      </x:c>
      <x:c r="E895" s="34" t="n">
        <x:f>SQRT(D895)</x:f>
        <x:v>0.5356126608567253</x:v>
      </x:c>
      <x:c r="F895" s="34" t="n">
        <x:f>-Assumptions!$B$7*E895</x:f>
        <x:v>0.8810044278513138</x:v>
      </x:c>
      <x:c r="G895" s="34" t="n">
        <x:f>-Assumptions!$B$8*E895</x:f>
        <x:v>1.2460213748934006</x:v>
      </x:c>
      <x:c r="H895" s="34" t="n">
        <x:f>-Assumptions!$B$9*E895</x:f>
        <x:v>0.8360108794071602</x:v>
      </x:c>
      <x:c r="I895" s="34" t="n">
        <x:f>-Assumptions!$B$10*E895</x:f>
        <x:v>1.396054887208856</x:v>
      </x:c>
      <x:c r="J895" s="36" t="n">
        <x:f>IF(C895&lt;-F895,1,0)</x:f>
        <x:v>0</x:v>
      </x:c>
      <x:c r="K895" s="36" t="n">
        <x:f>IF(C895&lt;-G895,1,0)</x:f>
        <x:v>0</x:v>
      </x:c>
      <x:c r="L895" s="36" t="n">
        <x:f>IF(C895&lt;-H895,1,0)</x:f>
        <x:v>0</x:v>
      </x:c>
      <x:c r="M895" s="36" t="n">
        <x:f>IF(C895&lt;-I895,1,0)</x:f>
        <x:v>0</x:v>
      </x:c>
      <x:c r="N895" s="34" t="n">
        <x:f>-F895</x:f>
        <x:v>-0.8810044278513138</x:v>
      </x:c>
      <x:c r="O895" s="34" t="n">
        <x:f>-H895</x:f>
        <x:v>-0.8360108794071602</x:v>
      </x:c>
      <x:c r="P895" s="34" t="n">
        <x:f>-G895</x:f>
        <x:v>-1.2460213748934006</x:v>
      </x:c>
      <x:c r="Q895" s="34" t="n">
        <x:f>-I895</x:f>
        <x:v>-1.396054887208856</x:v>
      </x:c>
      <x:c r="R895" s="36" t="n">
        <x:f>YEAR(A895)</x:f>
        <x:v>2024</x:v>
      </x:c>
    </x:row>
    <x:row r="896">
      <x:c r="A896" s="30" t="n">
        <x:v>45490</x:v>
      </x:c>
      <x:c r="B896" s="38" t="n">
        <x:v>5588.27</x:v>
      </x:c>
      <x:c r="C896" s="34" t="n">
        <x:f>(B896/B895-1)*100</x:f>
        <x:v>-1.3927512704686507</x:v>
      </x:c>
      <x:c r="D896" s="34" t="n">
        <x:f>Assumptions!$B$4*D895+(1-Assumptions!$B$4)*C895^2</x:f>
        <x:v>0.294162567142222</x:v>
      </x:c>
      <x:c r="E896" s="34" t="n">
        <x:f>SQRT(D896)</x:f>
        <x:v>0.5423675572360703</x:v>
      </x:c>
      <x:c r="F896" s="34" t="n">
        <x:f>-Assumptions!$B$7*E896</x:f>
        <x:v>0.8921152436605608</x:v>
      </x:c>
      <x:c r="G896" s="34" t="n">
        <x:f>-Assumptions!$B$8*E896</x:f>
        <x:v>1.261735613724856</x:v>
      </x:c>
      <x:c r="H896" s="34" t="n">
        <x:f>-Assumptions!$B$9*E896</x:f>
        <x:v>0.8465542576263526</x:v>
      </x:c>
      <x:c r="I896" s="34" t="n">
        <x:f>-Assumptions!$B$10*E896</x:f>
        <x:v>1.4136612785288263</x:v>
      </x:c>
      <x:c r="J896" s="36" t="n">
        <x:f>IF(C896&lt;-F896,1,0)</x:f>
        <x:v>1</x:v>
      </x:c>
      <x:c r="K896" s="36" t="n">
        <x:f>IF(C896&lt;-G896,1,0)</x:f>
        <x:v>1</x:v>
      </x:c>
      <x:c r="L896" s="36" t="n">
        <x:f>IF(C896&lt;-H896,1,0)</x:f>
        <x:v>1</x:v>
      </x:c>
      <x:c r="M896" s="36" t="n">
        <x:f>IF(C896&lt;-I896,1,0)</x:f>
        <x:v>0</x:v>
      </x:c>
      <x:c r="N896" s="34" t="n">
        <x:f>-F896</x:f>
        <x:v>-0.8921152436605608</x:v>
      </x:c>
      <x:c r="O896" s="34" t="n">
        <x:f>-H896</x:f>
        <x:v>-0.8465542576263526</x:v>
      </x:c>
      <x:c r="P896" s="34" t="n">
        <x:f>-G896</x:f>
        <x:v>-1.261735613724856</x:v>
      </x:c>
      <x:c r="Q896" s="34" t="n">
        <x:f>-I896</x:f>
        <x:v>-1.4136612785288263</x:v>
      </x:c>
      <x:c r="R896" s="36" t="n">
        <x:f>YEAR(A896)</x:f>
        <x:v>2024</x:v>
      </x:c>
    </x:row>
    <x:row r="897">
      <x:c r="A897" s="30" t="n">
        <x:v>45491</x:v>
      </x:c>
      <x:c r="B897" s="38" t="n">
        <x:v>5544.59</x:v>
      </x:c>
      <x:c r="C897" s="34" t="n">
        <x:f>(B897/B896-1)*100</x:f>
        <x:v>-0.7816372508844482</x:v>
      </x:c>
      <x:c r="D897" s="34" t="n">
        <x:f>Assumptions!$B$4*D896+(1-Assumptions!$B$4)*C896^2</x:f>
        <x:v>0.39289817919721115</x:v>
      </x:c>
      <x:c r="E897" s="34" t="n">
        <x:f>SQRT(D897)</x:f>
        <x:v>0.6268159053479827</x:v>
      </x:c>
      <x:c r="F897" s="34" t="n">
        <x:f>-Assumptions!$B$7*E897</x:f>
        <x:v>1.0310204153425004</x:v>
      </x:c>
      <x:c r="G897" s="34" t="n">
        <x:f>-Assumptions!$B$8*E897</x:f>
        <x:v>1.4581918488212642</x:v>
      </x:c>
      <x:c r="H897" s="34" t="n">
        <x:f>-Assumptions!$B$9*E897</x:f>
        <x:v>0.9783654393422513</x:v>
      </x:c>
      <x:c r="I897" s="34" t="n">
        <x:f>-Assumptions!$B$10*E897</x:f>
        <x:v>1.6337728212802147</x:v>
      </x:c>
      <x:c r="J897" s="36" t="n">
        <x:f>IF(C897&lt;-F897,1,0)</x:f>
        <x:v>0</x:v>
      </x:c>
      <x:c r="K897" s="36" t="n">
        <x:f>IF(C897&lt;-G897,1,0)</x:f>
        <x:v>0</x:v>
      </x:c>
      <x:c r="L897" s="36" t="n">
        <x:f>IF(C897&lt;-H897,1,0)</x:f>
        <x:v>0</x:v>
      </x:c>
      <x:c r="M897" s="36" t="n">
        <x:f>IF(C897&lt;-I897,1,0)</x:f>
        <x:v>0</x:v>
      </x:c>
      <x:c r="N897" s="34" t="n">
        <x:f>-F897</x:f>
        <x:v>-1.0310204153425004</x:v>
      </x:c>
      <x:c r="O897" s="34" t="n">
        <x:f>-H897</x:f>
        <x:v>-0.9783654393422513</x:v>
      </x:c>
      <x:c r="P897" s="34" t="n">
        <x:f>-G897</x:f>
        <x:v>-1.4581918488212642</x:v>
      </x:c>
      <x:c r="Q897" s="34" t="n">
        <x:f>-I897</x:f>
        <x:v>-1.6337728212802147</x:v>
      </x:c>
      <x:c r="R897" s="36" t="n">
        <x:f>YEAR(A897)</x:f>
        <x:v>2024</x:v>
      </x:c>
    </x:row>
    <x:row r="898">
      <x:c r="A898" s="30" t="n">
        <x:v>45492</x:v>
      </x:c>
      <x:c r="B898" s="38" t="n">
        <x:v>5505</x:v>
      </x:c>
      <x:c r="C898" s="34" t="n">
        <x:f>(B898/B897-1)*100</x:f>
        <x:v>-0.7140293511332718</x:v>
      </x:c>
      <x:c r="D898" s="34" t="n">
        <x:f>Assumptions!$B$4*D897+(1-Assumptions!$B$4)*C897^2</x:f>
        <x:v>0.40598169596359035</x:v>
      </x:c>
      <x:c r="E898" s="34" t="n">
        <x:f>SQRT(D898)</x:f>
        <x:v>0.6371669294334024</x:v>
      </x:c>
      <x:c r="F898" s="34" t="n">
        <x:f>-Assumptions!$B$7*E898</x:f>
        <x:v>1.048046334852065</x:v>
      </x:c>
      <x:c r="G898" s="34" t="n">
        <x:f>-Assumptions!$B$8*E898</x:f>
        <x:v>1.4822719316965256</x:v>
      </x:c>
      <x:c r="H898" s="34" t="n">
        <x:f>-Assumptions!$B$9*E898</x:f>
        <x:v>0.9945218325361217</x:v>
      </x:c>
      <x:c r="I898" s="34" t="n">
        <x:f>-Assumptions!$B$10*E898</x:f>
        <x:v>1.6607523884527917</x:v>
      </x:c>
      <x:c r="J898" s="36" t="n">
        <x:f>IF(C898&lt;-F898,1,0)</x:f>
        <x:v>0</x:v>
      </x:c>
      <x:c r="K898" s="36" t="n">
        <x:f>IF(C898&lt;-G898,1,0)</x:f>
        <x:v>0</x:v>
      </x:c>
      <x:c r="L898" s="36" t="n">
        <x:f>IF(C898&lt;-H898,1,0)</x:f>
        <x:v>0</x:v>
      </x:c>
      <x:c r="M898" s="36" t="n">
        <x:f>IF(C898&lt;-I898,1,0)</x:f>
        <x:v>0</x:v>
      </x:c>
      <x:c r="N898" s="34" t="n">
        <x:f>-F898</x:f>
        <x:v>-1.048046334852065</x:v>
      </x:c>
      <x:c r="O898" s="34" t="n">
        <x:f>-H898</x:f>
        <x:v>-0.9945218325361217</x:v>
      </x:c>
      <x:c r="P898" s="34" t="n">
        <x:f>-G898</x:f>
        <x:v>-1.4822719316965256</x:v>
      </x:c>
      <x:c r="Q898" s="34" t="n">
        <x:f>-I898</x:f>
        <x:v>-1.6607523884527917</x:v>
      </x:c>
      <x:c r="R898" s="36" t="n">
        <x:f>YEAR(A898)</x:f>
        <x:v>2024</x:v>
      </x:c>
    </x:row>
    <x:row r="899">
      <x:c r="A899" s="30" t="n">
        <x:v>45495</x:v>
      </x:c>
      <x:c r="B899" s="38" t="n">
        <x:v>5564.41</x:v>
      </x:c>
      <x:c r="C899" s="34" t="n">
        <x:f>(B899/B898-1)*100</x:f>
        <x:v>1.0792007266121617</x:v>
      </x:c>
      <x:c r="D899" s="34" t="n">
        <x:f>Assumptions!$B$4*D898+(1-Assumptions!$B$4)*C898^2</x:f>
        <x:v>0.412213069062563</x:v>
      </x:c>
      <x:c r="E899" s="34" t="n">
        <x:f>SQRT(D899)</x:f>
        <x:v>0.6420382146434611</x:v>
      </x:c>
      <x:c r="F899" s="34" t="n">
        <x:f>-Assumptions!$B$7*E899</x:f>
        <x:v>1.0560588859977453</x:v>
      </x:c>
      <x:c r="G899" s="34" t="n">
        <x:f>-Assumptions!$B$8*E899</x:f>
        <x:v>1.4936042356887924</x:v>
      </x:c>
      <x:c r="H899" s="34" t="n">
        <x:f>-Assumptions!$B$9*E899</x:f>
        <x:v>1.0021251767621344</x:v>
      </x:c>
      <x:c r="I899" s="34" t="n">
        <x:f>-Assumptions!$B$10*E899</x:f>
        <x:v>1.6734492158832952</x:v>
      </x:c>
      <x:c r="J899" s="36" t="n">
        <x:f>IF(C899&lt;-F899,1,0)</x:f>
        <x:v>0</x:v>
      </x:c>
      <x:c r="K899" s="36" t="n">
        <x:f>IF(C899&lt;-G899,1,0)</x:f>
        <x:v>0</x:v>
      </x:c>
      <x:c r="L899" s="36" t="n">
        <x:f>IF(C899&lt;-H899,1,0)</x:f>
        <x:v>0</x:v>
      </x:c>
      <x:c r="M899" s="36" t="n">
        <x:f>IF(C899&lt;-I899,1,0)</x:f>
        <x:v>0</x:v>
      </x:c>
      <x:c r="N899" s="34" t="n">
        <x:f>-F899</x:f>
        <x:v>-1.0560588859977453</x:v>
      </x:c>
      <x:c r="O899" s="34" t="n">
        <x:f>-H899</x:f>
        <x:v>-1.0021251767621344</x:v>
      </x:c>
      <x:c r="P899" s="34" t="n">
        <x:f>-G899</x:f>
        <x:v>-1.4936042356887924</x:v>
      </x:c>
      <x:c r="Q899" s="34" t="n">
        <x:f>-I899</x:f>
        <x:v>-1.6734492158832952</x:v>
      </x:c>
      <x:c r="R899" s="36" t="n">
        <x:f>YEAR(A899)</x:f>
        <x:v>2024</x:v>
      </x:c>
    </x:row>
    <x:row r="900">
      <x:c r="A900" s="30" t="n">
        <x:v>45496</x:v>
      </x:c>
      <x:c r="B900" s="38" t="n">
        <x:v>5555.74</x:v>
      </x:c>
      <x:c r="C900" s="34" t="n">
        <x:f>(B900/B899-1)*100</x:f>
        <x:v>-0.1558116673645582</x:v>
      </x:c>
      <x:c r="D900" s="34" t="n">
        <x:f>Assumptions!$B$4*D899+(1-Assumptions!$B$4)*C899^2</x:f>
        <x:v>0.4573607374180223</x:v>
      </x:c>
      <x:c r="E900" s="34" t="n">
        <x:f>SQRT(D900)</x:f>
        <x:v>0.676284509225239</x:v>
      </x:c>
      <x:c r="F900" s="34" t="n">
        <x:f>-Assumptions!$B$7*E900</x:f>
        <x:v>1.112389027850231</x:v>
      </x:c>
      <x:c r="G900" s="34" t="n">
        <x:f>-Assumptions!$B$8*E900</x:f>
        <x:v>1.5732730302828877</x:v>
      </x:c>
      <x:c r="H900" s="34" t="n">
        <x:f>-Assumptions!$B$9*E900</x:f>
        <x:v>1.055578496562219</x:v>
      </x:c>
      <x:c r="I900" s="34" t="n">
        <x:f>-Assumptions!$B$10*E900</x:f>
        <x:v>1.762710935057768</x:v>
      </x:c>
      <x:c r="J900" s="36" t="n">
        <x:f>IF(C900&lt;-F900,1,0)</x:f>
        <x:v>0</x:v>
      </x:c>
      <x:c r="K900" s="36" t="n">
        <x:f>IF(C900&lt;-G900,1,0)</x:f>
        <x:v>0</x:v>
      </x:c>
      <x:c r="L900" s="36" t="n">
        <x:f>IF(C900&lt;-H900,1,0)</x:f>
        <x:v>0</x:v>
      </x:c>
      <x:c r="M900" s="36" t="n">
        <x:f>IF(C900&lt;-I900,1,0)</x:f>
        <x:v>0</x:v>
      </x:c>
      <x:c r="N900" s="34" t="n">
        <x:f>-F900</x:f>
        <x:v>-1.112389027850231</x:v>
      </x:c>
      <x:c r="O900" s="34" t="n">
        <x:f>-H900</x:f>
        <x:v>-1.055578496562219</x:v>
      </x:c>
      <x:c r="P900" s="34" t="n">
        <x:f>-G900</x:f>
        <x:v>-1.5732730302828877</x:v>
      </x:c>
      <x:c r="Q900" s="34" t="n">
        <x:f>-I900</x:f>
        <x:v>-1.762710935057768</x:v>
      </x:c>
      <x:c r="R900" s="36" t="n">
        <x:f>YEAR(A900)</x:f>
        <x:v>2024</x:v>
      </x:c>
    </x:row>
    <x:row r="901">
      <x:c r="A901" s="30" t="n">
        <x:v>45497</x:v>
      </x:c>
      <x:c r="B901" s="38" t="n">
        <x:v>5427.13</x:v>
      </x:c>
      <x:c r="C901" s="34" t="n">
        <x:f>(B901/B900-1)*100</x:f>
        <x:v>-2.3149031452155744</x:v>
      </x:c>
      <x:c r="D901" s="34" t="n">
        <x:f>Assumptions!$B$4*D900+(1-Assumptions!$B$4)*C900^2</x:f>
        <x:v>0.43137572971415633</x:v>
      </x:c>
      <x:c r="E901" s="34" t="n">
        <x:f>SQRT(D901)</x:f>
        <x:v>0.6567919988201412</x:v>
      </x:c>
      <x:c r="F901" s="34" t="n">
        <x:f>-Assumptions!$B$7*E901</x:f>
        <x:v>1.0803267014120166</x:v>
      </x:c>
      <x:c r="G901" s="34" t="n">
        <x:f>-Assumptions!$B$8*E901</x:f>
        <x:v>1.5279266701422696</x:v>
      </x:c>
      <x:c r="H901" s="34" t="n">
        <x:f>-Assumptions!$B$9*E901</x:f>
        <x:v>1.0251536168748097</x:v>
      </x:c>
      <x:c r="I901" s="34" t="n">
        <x:f>-Assumptions!$B$10*E901</x:f>
        <x:v>1.7119044168334248</x:v>
      </x:c>
      <x:c r="J901" s="36" t="n">
        <x:f>IF(C901&lt;-F901,1,0)</x:f>
        <x:v>1</x:v>
      </x:c>
      <x:c r="K901" s="36" t="n">
        <x:f>IF(C901&lt;-G901,1,0)</x:f>
        <x:v>1</x:v>
      </x:c>
      <x:c r="L901" s="36" t="n">
        <x:f>IF(C901&lt;-H901,1,0)</x:f>
        <x:v>1</x:v>
      </x:c>
      <x:c r="M901" s="36" t="n">
        <x:f>IF(C901&lt;-I901,1,0)</x:f>
        <x:v>1</x:v>
      </x:c>
      <x:c r="N901" s="34" t="n">
        <x:f>-F901</x:f>
        <x:v>-1.0803267014120166</x:v>
      </x:c>
      <x:c r="O901" s="34" t="n">
        <x:f>-H901</x:f>
        <x:v>-1.0251536168748097</x:v>
      </x:c>
      <x:c r="P901" s="34" t="n">
        <x:f>-G901</x:f>
        <x:v>-1.5279266701422696</x:v>
      </x:c>
      <x:c r="Q901" s="34" t="n">
        <x:f>-I901</x:f>
        <x:v>-1.7119044168334248</x:v>
      </x:c>
      <x:c r="R901" s="36" t="n">
        <x:f>YEAR(A901)</x:f>
        <x:v>2024</x:v>
      </x:c>
    </x:row>
    <x:row r="902">
      <x:c r="A902" s="30" t="n">
        <x:v>45498</x:v>
      </x:c>
      <x:c r="B902" s="38" t="n">
        <x:v>5399.22</x:v>
      </x:c>
      <x:c r="C902" s="34" t="n">
        <x:f>(B902/B901-1)*100</x:f>
        <x:v>-0.5142681306694263</x:v>
      </x:c>
      <x:c r="D902" s="34" t="n">
        <x:f>Assumptions!$B$4*D901+(1-Assumptions!$B$4)*C901^2</x:f>
        <x:v>0.7270197802350448</x:v>
      </x:c>
      <x:c r="E902" s="34" t="n">
        <x:f>SQRT(D902)</x:f>
        <x:v>0.8526545491786488</x:v>
      </x:c>
      <x:c r="F902" s="34" t="n">
        <x:f>-Assumptions!$B$7*E902</x:f>
        <x:v>1.4024919277531736</x:v>
      </x:c>
      <x:c r="G902" s="34" t="n">
        <x:f>-Assumptions!$B$8*E902</x:f>
        <x:v>1.9835710977730008</x:v>
      </x:c>
      <x:c r="H902" s="34" t="n">
        <x:f>-Assumptions!$B$9*E902</x:f>
        <x:v>1.330865626568968</x:v>
      </x:c>
      <x:c r="I902" s="34" t="n">
        <x:f>-Assumptions!$B$10*E902</x:f>
        <x:v>2.2224130187246116</x:v>
      </x:c>
      <x:c r="J902" s="36" t="n">
        <x:f>IF(C902&lt;-F902,1,0)</x:f>
        <x:v>0</x:v>
      </x:c>
      <x:c r="K902" s="36" t="n">
        <x:f>IF(C902&lt;-G902,1,0)</x:f>
        <x:v>0</x:v>
      </x:c>
      <x:c r="L902" s="36" t="n">
        <x:f>IF(C902&lt;-H902,1,0)</x:f>
        <x:v>0</x:v>
      </x:c>
      <x:c r="M902" s="36" t="n">
        <x:f>IF(C902&lt;-I902,1,0)</x:f>
        <x:v>0</x:v>
      </x:c>
      <x:c r="N902" s="34" t="n">
        <x:f>-F902</x:f>
        <x:v>-1.4024919277531736</x:v>
      </x:c>
      <x:c r="O902" s="34" t="n">
        <x:f>-H902</x:f>
        <x:v>-1.330865626568968</x:v>
      </x:c>
      <x:c r="P902" s="34" t="n">
        <x:f>-G902</x:f>
        <x:v>-1.9835710977730008</x:v>
      </x:c>
      <x:c r="Q902" s="34" t="n">
        <x:f>-I902</x:f>
        <x:v>-2.2224130187246116</x:v>
      </x:c>
      <x:c r="R902" s="36" t="n">
        <x:f>YEAR(A902)</x:f>
        <x:v>2024</x:v>
      </x:c>
    </x:row>
    <x:row r="903">
      <x:c r="A903" s="30" t="n">
        <x:v>45499</x:v>
      </x:c>
      <x:c r="B903" s="38" t="n">
        <x:v>5459.1</x:v>
      </x:c>
      <x:c r="C903" s="34" t="n">
        <x:f>(B903/B902-1)*100</x:f>
        <x:v>1.1090490848678192</x:v>
      </x:c>
      <x:c r="D903" s="34" t="n">
        <x:f>Assumptions!$B$4*D902+(1-Assumptions!$B$4)*C902^2</x:f>
        <x:v>0.6992668960342756</x:v>
      </x:c>
      <x:c r="E903" s="34" t="n">
        <x:f>SQRT(D903)</x:f>
        <x:v>0.8362217983491435</x:v>
      </x:c>
      <x:c r="F903" s="34" t="n">
        <x:f>-Assumptions!$B$7*E903</x:f>
        <x:v>1.3754624579504717</x:v>
      </x:c>
      <x:c r="G903" s="34" t="n">
        <x:f>-Assumptions!$B$8*E903</x:f>
        <x:v>1.9453428028161381</x:v>
      </x:c>
      <x:c r="H903" s="34" t="n">
        <x:f>-Assumptions!$B$9*E903</x:f>
        <x:v>1.3052165718022655</x:v>
      </x:c>
      <x:c r="I903" s="34" t="n">
        <x:f>-Assumptions!$B$10*E903</x:f>
        <x:v>2.1795816523616103</x:v>
      </x:c>
      <x:c r="J903" s="36" t="n">
        <x:f>IF(C903&lt;-F903,1,0)</x:f>
        <x:v>0</x:v>
      </x:c>
      <x:c r="K903" s="36" t="n">
        <x:f>IF(C903&lt;-G903,1,0)</x:f>
        <x:v>0</x:v>
      </x:c>
      <x:c r="L903" s="36" t="n">
        <x:f>IF(C903&lt;-H903,1,0)</x:f>
        <x:v>0</x:v>
      </x:c>
      <x:c r="M903" s="36" t="n">
        <x:f>IF(C903&lt;-I903,1,0)</x:f>
        <x:v>0</x:v>
      </x:c>
      <x:c r="N903" s="34" t="n">
        <x:f>-F903</x:f>
        <x:v>-1.3754624579504717</x:v>
      </x:c>
      <x:c r="O903" s="34" t="n">
        <x:f>-H903</x:f>
        <x:v>-1.3052165718022655</x:v>
      </x:c>
      <x:c r="P903" s="34" t="n">
        <x:f>-G903</x:f>
        <x:v>-1.9453428028161381</x:v>
      </x:c>
      <x:c r="Q903" s="34" t="n">
        <x:f>-I903</x:f>
        <x:v>-2.1795816523616103</x:v>
      </x:c>
      <x:c r="R903" s="36" t="n">
        <x:f>YEAR(A903)</x:f>
        <x:v>2024</x:v>
      </x:c>
    </x:row>
    <x:row r="904">
      <x:c r="A904" s="30" t="n">
        <x:v>45502</x:v>
      </x:c>
      <x:c r="B904" s="38" t="n">
        <x:v>5463.54</x:v>
      </x:c>
      <x:c r="C904" s="34" t="n">
        <x:f>(B904/B903-1)*100</x:f>
        <x:v>0.0813320877067536</x:v>
      </x:c>
      <x:c r="D904" s="34" t="n">
        <x:f>Assumptions!$B$4*D903+(1-Assumptions!$B$4)*C903^2</x:f>
        <x:v>0.7311102746309879</x:v>
      </x:c>
      <x:c r="E904" s="34" t="n">
        <x:f>SQRT(D904)</x:f>
        <x:v>0.8550498667510498</x:v>
      </x:c>
      <x:c r="F904" s="34" t="n">
        <x:f>-Assumptions!$B$7*E904</x:f>
        <x:v>1.4064318745498379</x:v>
      </x:c>
      <x:c r="G904" s="34" t="n">
        <x:f>-Assumptions!$B$8*E904</x:f>
        <x:v>1.9891434397152084</x:v>
      </x:c>
      <x:c r="H904" s="34" t="n">
        <x:f>-Assumptions!$B$9*E904</x:f>
        <x:v>1.334604357365509</x:v>
      </x:c>
      <x:c r="I904" s="34" t="n">
        <x:f>-Assumptions!$B$10*E904</x:f>
        <x:v>2.2286563267114294</x:v>
      </x:c>
      <x:c r="J904" s="36" t="n">
        <x:f>IF(C904&lt;-F904,1,0)</x:f>
        <x:v>0</x:v>
      </x:c>
      <x:c r="K904" s="36" t="n">
        <x:f>IF(C904&lt;-G904,1,0)</x:f>
        <x:v>0</x:v>
      </x:c>
      <x:c r="L904" s="36" t="n">
        <x:f>IF(C904&lt;-H904,1,0)</x:f>
        <x:v>0</x:v>
      </x:c>
      <x:c r="M904" s="36" t="n">
        <x:f>IF(C904&lt;-I904,1,0)</x:f>
        <x:v>0</x:v>
      </x:c>
      <x:c r="N904" s="34" t="n">
        <x:f>-F904</x:f>
        <x:v>-1.4064318745498379</x:v>
      </x:c>
      <x:c r="O904" s="34" t="n">
        <x:f>-H904</x:f>
        <x:v>-1.334604357365509</x:v>
      </x:c>
      <x:c r="P904" s="34" t="n">
        <x:f>-G904</x:f>
        <x:v>-1.9891434397152084</x:v>
      </x:c>
      <x:c r="Q904" s="34" t="n">
        <x:f>-I904</x:f>
        <x:v>-2.2286563267114294</x:v>
      </x:c>
      <x:c r="R904" s="36" t="n">
        <x:f>YEAR(A904)</x:f>
        <x:v>2024</x:v>
      </x:c>
    </x:row>
    <x:row r="905">
      <x:c r="A905" s="30" t="n">
        <x:v>45503</x:v>
      </x:c>
      <x:c r="B905" s="38" t="n">
        <x:v>5436.44</x:v>
      </x:c>
      <x:c r="C905" s="34" t="n">
        <x:f>(B905/B904-1)*100</x:f>
        <x:v>-0.4960154039322595</x:v>
      </x:c>
      <x:c r="D905" s="34" t="n">
        <x:f>Assumptions!$B$4*D904+(1-Assumptions!$B$4)*C904^2</x:f>
        <x:v>0.687640552662573</x:v>
      </x:c>
      <x:c r="E905" s="34" t="n">
        <x:f>SQRT(D905)</x:f>
        <x:v>0.8292409497019385</x:v>
      </x:c>
      <x:c r="F905" s="34" t="n">
        <x:f>-Assumptions!$B$7*E905</x:f>
        <x:v>1.3639799837339175</x:v>
      </x:c>
      <x:c r="G905" s="34" t="n">
        <x:f>-Assumptions!$B$8*E905</x:f>
        <x:v>1.929102920406712</x:v>
      </x:c>
      <x:c r="H905" s="34" t="n">
        <x:f>-Assumptions!$B$9*E905</x:f>
        <x:v>1.2943205160458104</x:v>
      </x:c>
      <x:c r="I905" s="34" t="n">
        <x:f>-Assumptions!$B$10*E905</x:f>
        <x:v>2.161386324687303</x:v>
      </x:c>
      <x:c r="J905" s="36" t="n">
        <x:f>IF(C905&lt;-F905,1,0)</x:f>
        <x:v>0</x:v>
      </x:c>
      <x:c r="K905" s="36" t="n">
        <x:f>IF(C905&lt;-G905,1,0)</x:f>
        <x:v>0</x:v>
      </x:c>
      <x:c r="L905" s="36" t="n">
        <x:f>IF(C905&lt;-H905,1,0)</x:f>
        <x:v>0</x:v>
      </x:c>
      <x:c r="M905" s="36" t="n">
        <x:f>IF(C905&lt;-I905,1,0)</x:f>
        <x:v>0</x:v>
      </x:c>
      <x:c r="N905" s="34" t="n">
        <x:f>-F905</x:f>
        <x:v>-1.3639799837339175</x:v>
      </x:c>
      <x:c r="O905" s="34" t="n">
        <x:f>-H905</x:f>
        <x:v>-1.2943205160458104</x:v>
      </x:c>
      <x:c r="P905" s="34" t="n">
        <x:f>-G905</x:f>
        <x:v>-1.929102920406712</x:v>
      </x:c>
      <x:c r="Q905" s="34" t="n">
        <x:f>-I905</x:f>
        <x:v>-2.161386324687303</x:v>
      </x:c>
      <x:c r="R905" s="36" t="n">
        <x:f>YEAR(A905)</x:f>
        <x:v>2024</x:v>
      </x:c>
    </x:row>
    <x:row r="906">
      <x:c r="A906" s="30" t="n">
        <x:v>45504</x:v>
      </x:c>
      <x:c r="B906" s="38" t="n">
        <x:v>5522.3</x:v>
      </x:c>
      <x:c r="C906" s="34" t="n">
        <x:f>(B906/B905-1)*100</x:f>
        <x:v>1.579342363752767</x:v>
      </x:c>
      <x:c r="D906" s="34" t="n">
        <x:f>Assumptions!$B$4*D905+(1-Assumptions!$B$4)*C905^2</x:f>
        <x:v>0.6611439963591035</x:v>
      </x:c>
      <x:c r="E906" s="34" t="n">
        <x:f>SQRT(D906)</x:f>
        <x:v>0.8131076167144811</x:v>
      </x:c>
      <x:c r="F906" s="34" t="n">
        <x:f>-Assumptions!$B$7*E906</x:f>
        <x:v>1.3374430124546821</x:v>
      </x:c>
      <x:c r="G906" s="34" t="n">
        <x:f>-Assumptions!$B$8*E906</x:f>
        <x:v>1.8915711755101474</x:v>
      </x:c>
      <x:c r="H906" s="34" t="n">
        <x:f>-Assumptions!$B$9*E906</x:f>
        <x:v>1.2691388075383248</x:v>
      </x:c>
      <x:c r="I906" s="34" t="n">
        <x:f>-Assumptions!$B$10*E906</x:f>
        <x:v>2.1193353800212793</x:v>
      </x:c>
      <x:c r="J906" s="36" t="n">
        <x:f>IF(C906&lt;-F906,1,0)</x:f>
        <x:v>0</x:v>
      </x:c>
      <x:c r="K906" s="36" t="n">
        <x:f>IF(C906&lt;-G906,1,0)</x:f>
        <x:v>0</x:v>
      </x:c>
      <x:c r="L906" s="36" t="n">
        <x:f>IF(C906&lt;-H906,1,0)</x:f>
        <x:v>0</x:v>
      </x:c>
      <x:c r="M906" s="36" t="n">
        <x:f>IF(C906&lt;-I906,1,0)</x:f>
        <x:v>0</x:v>
      </x:c>
      <x:c r="N906" s="34" t="n">
        <x:f>-F906</x:f>
        <x:v>-1.3374430124546821</x:v>
      </x:c>
      <x:c r="O906" s="34" t="n">
        <x:f>-H906</x:f>
        <x:v>-1.2691388075383248</x:v>
      </x:c>
      <x:c r="P906" s="34" t="n">
        <x:f>-G906</x:f>
        <x:v>-1.8915711755101474</x:v>
      </x:c>
      <x:c r="Q906" s="34" t="n">
        <x:f>-I906</x:f>
        <x:v>-2.1193353800212793</x:v>
      </x:c>
      <x:c r="R906" s="36" t="n">
        <x:f>YEAR(A906)</x:f>
        <x:v>2024</x:v>
      </x:c>
    </x:row>
    <x:row r="907">
      <x:c r="A907" s="30" t="n">
        <x:v>45505</x:v>
      </x:c>
      <x:c r="B907" s="38" t="n">
        <x:v>5446.68</x:v>
      </x:c>
      <x:c r="C907" s="34" t="n">
        <x:f>(B907/B906-1)*100</x:f>
        <x:v>-1.3693569708273734</x:v>
      </x:c>
      <x:c r="D907" s="34" t="n">
        <x:f>Assumptions!$B$4*D906+(1-Assumptions!$B$4)*C906^2</x:f>
        <x:v>0.771134694694208</x:v>
      </x:c>
      <x:c r="E907" s="34" t="n">
        <x:f>SQRT(D907)</x:f>
        <x:v>0.8781427530272102</x:v>
      </x:c>
      <x:c r="F907" s="34" t="n">
        <x:f>-Assumptions!$B$7*E907</x:f>
        <x:v>1.4444162922979582</x:v>
      </x:c>
      <x:c r="G907" s="34" t="n">
        <x:f>-Assumptions!$B$8*E907</x:f>
        <x:v>2.042865526609221</x:v>
      </x:c>
      <x:c r="H907" s="34" t="n">
        <x:f>-Assumptions!$B$9*E907</x:f>
        <x:v>1.3706488827747894</x:v>
      </x:c>
      <x:c r="I907" s="34" t="n">
        <x:f>-Assumptions!$B$10*E907</x:f>
        <x:v>2.2888470934756526</x:v>
      </x:c>
      <x:c r="J907" s="36" t="n">
        <x:f>IF(C907&lt;-F907,1,0)</x:f>
        <x:v>0</x:v>
      </x:c>
      <x:c r="K907" s="36" t="n">
        <x:f>IF(C907&lt;-G907,1,0)</x:f>
        <x:v>0</x:v>
      </x:c>
      <x:c r="L907" s="36" t="n">
        <x:f>IF(C907&lt;-H907,1,0)</x:f>
        <x:v>0</x:v>
      </x:c>
      <x:c r="M907" s="36" t="n">
        <x:f>IF(C907&lt;-I907,1,0)</x:f>
        <x:v>0</x:v>
      </x:c>
      <x:c r="N907" s="34" t="n">
        <x:f>-F907</x:f>
        <x:v>-1.4444162922979582</x:v>
      </x:c>
      <x:c r="O907" s="34" t="n">
        <x:f>-H907</x:f>
        <x:v>-1.3706488827747894</x:v>
      </x:c>
      <x:c r="P907" s="34" t="n">
        <x:f>-G907</x:f>
        <x:v>-2.042865526609221</x:v>
      </x:c>
      <x:c r="Q907" s="34" t="n">
        <x:f>-I907</x:f>
        <x:v>-2.2888470934756526</x:v>
      </x:c>
      <x:c r="R907" s="36" t="n">
        <x:f>YEAR(A907)</x:f>
        <x:v>2024</x:v>
      </x:c>
    </x:row>
    <x:row r="908">
      <x:c r="A908" s="30" t="n">
        <x:v>45506</x:v>
      </x:c>
      <x:c r="B908" s="38" t="n">
        <x:v>5346.56</x:v>
      </x:c>
      <x:c r="C908" s="34" t="n">
        <x:f>(B908/B907-1)*100</x:f>
        <x:v>-1.8381839946536194</x:v>
      </x:c>
      <x:c r="D908" s="34" t="n">
        <x:f>Assumptions!$B$4*D907+(1-Assumptions!$B$4)*C907^2</x:f>
        <x:v>0.8373749238257668</x:v>
      </x:c>
      <x:c r="E908" s="34" t="n">
        <x:f>SQRT(D908)</x:f>
        <x:v>0.9150819219205277</x:v>
      </x:c>
      <x:c r="F908" s="34" t="n">
        <x:f>-Assumptions!$B$7*E908</x:f>
        <x:v>1.5051758182287045</x:v>
      </x:c>
      <x:c r="G908" s="34" t="n">
        <x:f>-Assumptions!$B$8*E908</x:f>
        <x:v>2.128798883633026</x:v>
      </x:c>
      <x:c r="H908" s="34" t="n">
        <x:f>-Assumptions!$B$9*E908</x:f>
        <x:v>1.4283053747286507</x:v>
      </x:c>
      <x:c r="I908" s="34" t="n">
        <x:f>-Assumptions!$B$10*E908</x:f>
        <x:v>2.3851276914369914</x:v>
      </x:c>
      <x:c r="J908" s="36" t="n">
        <x:f>IF(C908&lt;-F908,1,0)</x:f>
        <x:v>1</x:v>
      </x:c>
      <x:c r="K908" s="36" t="n">
        <x:f>IF(C908&lt;-G908,1,0)</x:f>
        <x:v>0</x:v>
      </x:c>
      <x:c r="L908" s="36" t="n">
        <x:f>IF(C908&lt;-H908,1,0)</x:f>
        <x:v>1</x:v>
      </x:c>
      <x:c r="M908" s="36" t="n">
        <x:f>IF(C908&lt;-I908,1,0)</x:f>
        <x:v>0</x:v>
      </x:c>
      <x:c r="N908" s="34" t="n">
        <x:f>-F908</x:f>
        <x:v>-1.5051758182287045</x:v>
      </x:c>
      <x:c r="O908" s="34" t="n">
        <x:f>-H908</x:f>
        <x:v>-1.4283053747286507</x:v>
      </x:c>
      <x:c r="P908" s="34" t="n">
        <x:f>-G908</x:f>
        <x:v>-2.128798883633026</x:v>
      </x:c>
      <x:c r="Q908" s="34" t="n">
        <x:f>-I908</x:f>
        <x:v>-2.3851276914369914</x:v>
      </x:c>
      <x:c r="R908" s="36" t="n">
        <x:f>YEAR(A908)</x:f>
        <x:v>2024</x:v>
      </x:c>
    </x:row>
    <x:row r="909">
      <x:c r="A909" s="30" t="n">
        <x:v>45509</x:v>
      </x:c>
      <x:c r="B909" s="38" t="n">
        <x:v>5186.33</x:v>
      </x:c>
      <x:c r="C909" s="34" t="n">
        <x:f>(B909/B908-1)*100</x:f>
        <x:v>-2.9968802370122227</x:v>
      </x:c>
      <x:c r="D909" s="34" t="n">
        <x:f>Assumptions!$B$4*D908+(1-Assumptions!$B$4)*C908^2</x:f>
        <x:v>0.9898676522882652</x:v>
      </x:c>
      <x:c r="E909" s="34" t="n">
        <x:f>SQRT(D909)</x:f>
        <x:v>0.9949209276561958</x:v>
      </x:c>
      <x:c r="F909" s="34" t="n">
        <x:f>-Assumptions!$B$7*E909</x:f>
        <x:v>1.6364992963852176</x:v>
      </x:c>
      <x:c r="G909" s="34" t="n">
        <x:f>-Assumptions!$B$8*E909</x:f>
        <x:v>2.3145321848917315</x:v>
      </x:c>
      <x:c r="H909" s="34" t="n">
        <x:f>-Assumptions!$B$9*E909</x:f>
        <x:v>1.552922065621108</x:v>
      </x:c>
      <x:c r="I909" s="34" t="n">
        <x:f>-Assumptions!$B$10*E909</x:f>
        <x:v>2.593225151211174</x:v>
      </x:c>
      <x:c r="J909" s="36" t="n">
        <x:f>IF(C909&lt;-F909,1,0)</x:f>
        <x:v>1</x:v>
      </x:c>
      <x:c r="K909" s="36" t="n">
        <x:f>IF(C909&lt;-G909,1,0)</x:f>
        <x:v>1</x:v>
      </x:c>
      <x:c r="L909" s="36" t="n">
        <x:f>IF(C909&lt;-H909,1,0)</x:f>
        <x:v>1</x:v>
      </x:c>
      <x:c r="M909" s="36" t="n">
        <x:f>IF(C909&lt;-I909,1,0)</x:f>
        <x:v>1</x:v>
      </x:c>
      <x:c r="N909" s="34" t="n">
        <x:f>-F909</x:f>
        <x:v>-1.6364992963852176</x:v>
      </x:c>
      <x:c r="O909" s="34" t="n">
        <x:f>-H909</x:f>
        <x:v>-1.552922065621108</x:v>
      </x:c>
      <x:c r="P909" s="34" t="n">
        <x:f>-G909</x:f>
        <x:v>-2.3145321848917315</x:v>
      </x:c>
      <x:c r="Q909" s="34" t="n">
        <x:f>-I909</x:f>
        <x:v>-2.593225151211174</x:v>
      </x:c>
      <x:c r="R909" s="36" t="n">
        <x:f>YEAR(A909)</x:f>
        <x:v>2024</x:v>
      </x:c>
    </x:row>
    <x:row r="910">
      <x:c r="A910" s="30" t="n">
        <x:v>45510</x:v>
      </x:c>
      <x:c r="B910" s="38" t="n">
        <x:v>5240.03</x:v>
      </x:c>
      <x:c r="C910" s="34" t="n">
        <x:f>(B910/B909-1)*100</x:f>
        <x:v>1.035414252467537</x:v>
      </x:c>
      <x:c r="D910" s="34" t="n">
        <x:f>Assumptions!$B$4*D909+(1-Assumptions!$B$4)*C909^2</x:f>
        <x:v>1.469353062450636</x:v>
      </x:c>
      <x:c r="E910" s="34" t="n">
        <x:f>SQRT(D910)</x:f>
        <x:v>1.2121687433895645</x:v>
      </x:c>
      <x:c r="F910" s="34" t="n">
        <x:f>-Assumptions!$B$7*E910</x:f>
        <x:v>1.9938401540415343</x:v>
      </x:c>
      <x:c r="G910" s="34" t="n">
        <x:f>-Assumptions!$B$8*E910</x:f>
        <x:v>2.8199261791630703</x:v>
      </x:c>
      <x:c r="H910" s="34" t="n">
        <x:f>-Assumptions!$B$9*E910</x:f>
        <x:v>1.8920132610944007</x:v>
      </x:c>
      <x:c r="I910" s="34" t="n">
        <x:f>-Assumptions!$B$10*E910</x:f>
        <x:v>3.1594736681989892</x:v>
      </x:c>
      <x:c r="J910" s="36" t="n">
        <x:f>IF(C910&lt;-F910,1,0)</x:f>
        <x:v>0</x:v>
      </x:c>
      <x:c r="K910" s="36" t="n">
        <x:f>IF(C910&lt;-G910,1,0)</x:f>
        <x:v>0</x:v>
      </x:c>
      <x:c r="L910" s="36" t="n">
        <x:f>IF(C910&lt;-H910,1,0)</x:f>
        <x:v>0</x:v>
      </x:c>
      <x:c r="M910" s="36" t="n">
        <x:f>IF(C910&lt;-I910,1,0)</x:f>
        <x:v>0</x:v>
      </x:c>
      <x:c r="N910" s="34" t="n">
        <x:f>-F910</x:f>
        <x:v>-1.9938401540415343</x:v>
      </x:c>
      <x:c r="O910" s="34" t="n">
        <x:f>-H910</x:f>
        <x:v>-1.8920132610944007</x:v>
      </x:c>
      <x:c r="P910" s="34" t="n">
        <x:f>-G910</x:f>
        <x:v>-2.8199261791630703</x:v>
      </x:c>
      <x:c r="Q910" s="34" t="n">
        <x:f>-I910</x:f>
        <x:v>-3.1594736681989892</x:v>
      </x:c>
      <x:c r="R910" s="36" t="n">
        <x:f>YEAR(A910)</x:f>
        <x:v>2024</x:v>
      </x:c>
    </x:row>
    <x:row r="911">
      <x:c r="A911" s="30" t="n">
        <x:v>45511</x:v>
      </x:c>
      <x:c r="B911" s="38" t="n">
        <x:v>5199.5</x:v>
      </x:c>
      <x:c r="C911" s="34" t="n">
        <x:f>(B911/B910-1)*100</x:f>
        <x:v>-0.7734688541859436</x:v>
      </x:c>
      <x:c r="D911" s="34" t="n">
        <x:f>Assumptions!$B$4*D910+(1-Assumptions!$B$4)*C910^2</x:f>
        <x:v>1.4455168391563722</x:v>
      </x:c>
      <x:c r="E911" s="34" t="n">
        <x:f>SQRT(D911)</x:f>
        <x:v>1.2022964855460454</x:v>
      </x:c>
      <x:c r="F911" s="34" t="n">
        <x:f>-Assumptions!$B$7*E911</x:f>
        <x:v>1.9776017349214219</x:v>
      </x:c>
      <x:c r="G911" s="34" t="n">
        <x:f>-Assumptions!$B$8*E911</x:f>
        <x:v>2.796959873116817</x:v>
      </x:c>
      <x:c r="H911" s="34" t="n">
        <x:f>-Assumptions!$B$9*E911</x:f>
        <x:v>1.8766041500620116</x:v>
      </x:c>
      <x:c r="I911" s="34" t="n">
        <x:f>-Assumptions!$B$10*E911</x:f>
        <x:v>3.1337419877936274</x:v>
      </x:c>
      <x:c r="J911" s="36" t="n">
        <x:f>IF(C911&lt;-F911,1,0)</x:f>
        <x:v>0</x:v>
      </x:c>
      <x:c r="K911" s="36" t="n">
        <x:f>IF(C911&lt;-G911,1,0)</x:f>
        <x:v>0</x:v>
      </x:c>
      <x:c r="L911" s="36" t="n">
        <x:f>IF(C911&lt;-H911,1,0)</x:f>
        <x:v>0</x:v>
      </x:c>
      <x:c r="M911" s="36" t="n">
        <x:f>IF(C911&lt;-I911,1,0)</x:f>
        <x:v>0</x:v>
      </x:c>
      <x:c r="N911" s="34" t="n">
        <x:f>-F911</x:f>
        <x:v>-1.9776017349214219</x:v>
      </x:c>
      <x:c r="O911" s="34" t="n">
        <x:f>-H911</x:f>
        <x:v>-1.8766041500620116</x:v>
      </x:c>
      <x:c r="P911" s="34" t="n">
        <x:f>-G911</x:f>
        <x:v>-2.796959873116817</x:v>
      </x:c>
      <x:c r="Q911" s="34" t="n">
        <x:f>-I911</x:f>
        <x:v>-3.1337419877936274</x:v>
      </x:c>
      <x:c r="R911" s="36" t="n">
        <x:f>YEAR(A911)</x:f>
        <x:v>2024</x:v>
      </x:c>
    </x:row>
    <x:row r="912">
      <x:c r="A912" s="30" t="n">
        <x:v>45512</x:v>
      </x:c>
      <x:c r="B912" s="38" t="n">
        <x:v>5319.31</x:v>
      </x:c>
      <x:c r="C912" s="34" t="n">
        <x:f>(B912/B911-1)*100</x:f>
        <x:v>2.3042600250024137</x:v>
      </x:c>
      <x:c r="D912" s="34" t="n">
        <x:f>Assumptions!$B$4*D911+(1-Assumptions!$B$4)*C911^2</x:f>
        <x:v>1.3946810729107328</x:v>
      </x:c>
      <x:c r="E912" s="34" t="n">
        <x:f>SQRT(D912)</x:f>
        <x:v>1.1809661607813886</x:v>
      </x:c>
      <x:c r="F912" s="34" t="n">
        <x:f>-Assumptions!$B$7*E912</x:f>
        <x:v>1.9425164728682234</x:v>
      </x:c>
      <x:c r="G912" s="34" t="n">
        <x:f>-Assumptions!$B$8*E912</x:f>
        <x:v>2.7473381174479568</x:v>
      </x:c>
      <x:c r="H912" s="34" t="n">
        <x:f>-Assumptions!$B$9*E912</x:f>
        <x:v>1.843310718319719</x:v>
      </x:c>
      <x:c r="I912" s="34" t="n">
        <x:f>-Assumptions!$B$10*E912</x:f>
        <x:v>3.0781452733959127</x:v>
      </x:c>
      <x:c r="J912" s="36" t="n">
        <x:f>IF(C912&lt;-F912,1,0)</x:f>
        <x:v>0</x:v>
      </x:c>
      <x:c r="K912" s="36" t="n">
        <x:f>IF(C912&lt;-G912,1,0)</x:f>
        <x:v>0</x:v>
      </x:c>
      <x:c r="L912" s="36" t="n">
        <x:f>IF(C912&lt;-H912,1,0)</x:f>
        <x:v>0</x:v>
      </x:c>
      <x:c r="M912" s="36" t="n">
        <x:f>IF(C912&lt;-I912,1,0)</x:f>
        <x:v>0</x:v>
      </x:c>
      <x:c r="N912" s="34" t="n">
        <x:f>-F912</x:f>
        <x:v>-1.9425164728682234</x:v>
      </x:c>
      <x:c r="O912" s="34" t="n">
        <x:f>-H912</x:f>
        <x:v>-1.843310718319719</x:v>
      </x:c>
      <x:c r="P912" s="34" t="n">
        <x:f>-G912</x:f>
        <x:v>-2.7473381174479568</x:v>
      </x:c>
      <x:c r="Q912" s="34" t="n">
        <x:f>-I912</x:f>
        <x:v>-3.0781452733959127</x:v>
      </x:c>
      <x:c r="R912" s="36" t="n">
        <x:f>YEAR(A912)</x:f>
        <x:v>2024</x:v>
      </x:c>
    </x:row>
    <x:row r="913">
      <x:c r="A913" s="30" t="n">
        <x:v>45513</x:v>
      </x:c>
      <x:c r="B913" s="38" t="n">
        <x:v>5344.16</x:v>
      </x:c>
      <x:c r="C913" s="34" t="n">
        <x:f>(B913/B912-1)*100</x:f>
        <x:v>0.46716585421793244</x:v>
      </x:c>
      <x:c r="D913" s="34" t="n">
        <x:f>Assumptions!$B$4*D912+(1-Assumptions!$B$4)*C912^2</x:f>
        <x:v>1.6295770643055365</x:v>
      </x:c>
      <x:c r="E913" s="34" t="n">
        <x:f>SQRT(D913)</x:f>
        <x:v>1.2765488883335163</x:v>
      </x:c>
      <x:c r="F913" s="34" t="n">
        <x:f>-Assumptions!$B$7*E913</x:f>
        <x:v>2.099736068956255</x:v>
      </x:c>
      <x:c r="G913" s="34" t="n">
        <x:f>-Assumptions!$B$8*E913</x:f>
        <x:v>2.9696967924838735</x:v>
      </x:c>
      <x:c r="H913" s="34" t="n">
        <x:f>-Assumptions!$B$9*E913</x:f>
        <x:v>1.9925009932269147</x:v>
      </x:c>
      <x:c r="I913" s="34" t="n">
        <x:f>-Assumptions!$B$10*E913</x:f>
        <x:v>3.327278170513136</x:v>
      </x:c>
      <x:c r="J913" s="36" t="n">
        <x:f>IF(C913&lt;-F913,1,0)</x:f>
        <x:v>0</x:v>
      </x:c>
      <x:c r="K913" s="36" t="n">
        <x:f>IF(C913&lt;-G913,1,0)</x:f>
        <x:v>0</x:v>
      </x:c>
      <x:c r="L913" s="36" t="n">
        <x:f>IF(C913&lt;-H913,1,0)</x:f>
        <x:v>0</x:v>
      </x:c>
      <x:c r="M913" s="36" t="n">
        <x:f>IF(C913&lt;-I913,1,0)</x:f>
        <x:v>0</x:v>
      </x:c>
      <x:c r="N913" s="34" t="n">
        <x:f>-F913</x:f>
        <x:v>-2.099736068956255</x:v>
      </x:c>
      <x:c r="O913" s="34" t="n">
        <x:f>-H913</x:f>
        <x:v>-1.9925009932269147</x:v>
      </x:c>
      <x:c r="P913" s="34" t="n">
        <x:f>-G913</x:f>
        <x:v>-2.9696967924838735</x:v>
      </x:c>
      <x:c r="Q913" s="34" t="n">
        <x:f>-I913</x:f>
        <x:v>-3.327278170513136</x:v>
      </x:c>
      <x:c r="R913" s="36" t="n">
        <x:f>YEAR(A913)</x:f>
        <x:v>2024</x:v>
      </x:c>
    </x:row>
    <x:row r="914">
      <x:c r="A914" s="30" t="n">
        <x:v>45516</x:v>
      </x:c>
      <x:c r="B914" s="38" t="n">
        <x:v>5344.39</x:v>
      </x:c>
      <x:c r="C914" s="34" t="n">
        <x:f>(B914/B913-1)*100</x:f>
        <x:v>0.004303763360380408</x:v>
      </x:c>
      <x:c r="D914" s="34" t="n">
        <x:f>Assumptions!$B$4*D913+(1-Assumptions!$B$4)*C913^2</x:f>
        <x:v>1.5448970765680343</x:v>
      </x:c>
      <x:c r="E914" s="34" t="n">
        <x:f>SQRT(D914)</x:f>
        <x:v>1.242938886899929</x:v>
      </x:c>
      <x:c r="F914" s="34" t="n">
        <x:f>-Assumptions!$B$7*E914</x:f>
        <x:v>2.0444525361963746</x:v>
      </x:c>
      <x:c r="G914" s="34" t="n">
        <x:f>-Assumptions!$B$8*E914</x:f>
        <x:v>2.891508237102338</x:v>
      </x:c>
      <x:c r="H914" s="34" t="n">
        <x:f>-Assumptions!$B$9*E914</x:f>
        <x:v>1.9400408314181452</x:v>
      </x:c>
      <x:c r="I914" s="34" t="n">
        <x:f>-Assumptions!$B$10*E914</x:f>
        <x:v>3.2396749262481395</x:v>
      </x:c>
      <x:c r="J914" s="36" t="n">
        <x:f>IF(C914&lt;-F914,1,0)</x:f>
        <x:v>0</x:v>
      </x:c>
      <x:c r="K914" s="36" t="n">
        <x:f>IF(C914&lt;-G914,1,0)</x:f>
        <x:v>0</x:v>
      </x:c>
      <x:c r="L914" s="36" t="n">
        <x:f>IF(C914&lt;-H914,1,0)</x:f>
        <x:v>0</x:v>
      </x:c>
      <x:c r="M914" s="36" t="n">
        <x:f>IF(C914&lt;-I914,1,0)</x:f>
        <x:v>0</x:v>
      </x:c>
      <x:c r="N914" s="34" t="n">
        <x:f>-F914</x:f>
        <x:v>-2.0444525361963746</x:v>
      </x:c>
      <x:c r="O914" s="34" t="n">
        <x:f>-H914</x:f>
        <x:v>-1.9400408314181452</x:v>
      </x:c>
      <x:c r="P914" s="34" t="n">
        <x:f>-G914</x:f>
        <x:v>-2.891508237102338</x:v>
      </x:c>
      <x:c r="Q914" s="34" t="n">
        <x:f>-I914</x:f>
        <x:v>-3.2396749262481395</x:v>
      </x:c>
      <x:c r="R914" s="36" t="n">
        <x:f>YEAR(A914)</x:f>
        <x:v>2024</x:v>
      </x:c>
    </x:row>
    <x:row r="915">
      <x:c r="A915" s="30" t="n">
        <x:v>45517</x:v>
      </x:c>
      <x:c r="B915" s="38" t="n">
        <x:v>5434.43</x:v>
      </x:c>
      <x:c r="C915" s="34" t="n">
        <x:f>(B915/B914-1)*100</x:f>
        <x:v>1.6847572875482442</x:v>
      </x:c>
      <x:c r="D915" s="34" t="n">
        <x:f>Assumptions!$B$4*D914+(1-Assumptions!$B$4)*C914^2</x:f>
        <x:v>1.4522043633166961</x:v>
      </x:c>
      <x:c r="E915" s="34" t="n">
        <x:f>SQRT(D915)</x:f>
        <x:v>1.205074422314529</x:v>
      </x:c>
      <x:c r="F915" s="34" t="n">
        <x:f>-Assumptions!$B$7*E915</x:f>
        <x:v>1.9821710342905041</x:v>
      </x:c>
      <x:c r="G915" s="34" t="n">
        <x:f>-Assumptions!$B$8*E915</x:f>
        <x:v>2.8034223204123987</x:v>
      </x:c>
      <x:c r="H915" s="34" t="n">
        <x:f>-Assumptions!$B$9*E915</x:f>
        <x:v>1.8809400919291117</x:v>
      </x:c>
      <x:c r="I915" s="34" t="n">
        <x:f>-Assumptions!$B$10*E915</x:f>
        <x:v>3.1409825787755428</x:v>
      </x:c>
      <x:c r="J915" s="36" t="n">
        <x:f>IF(C915&lt;-F915,1,0)</x:f>
        <x:v>0</x:v>
      </x:c>
      <x:c r="K915" s="36" t="n">
        <x:f>IF(C915&lt;-G915,1,0)</x:f>
        <x:v>0</x:v>
      </x:c>
      <x:c r="L915" s="36" t="n">
        <x:f>IF(C915&lt;-H915,1,0)</x:f>
        <x:v>0</x:v>
      </x:c>
      <x:c r="M915" s="36" t="n">
        <x:f>IF(C915&lt;-I915,1,0)</x:f>
        <x:v>0</x:v>
      </x:c>
      <x:c r="N915" s="34" t="n">
        <x:f>-F915</x:f>
        <x:v>-1.9821710342905041</x:v>
      </x:c>
      <x:c r="O915" s="34" t="n">
        <x:f>-H915</x:f>
        <x:v>-1.8809400919291117</x:v>
      </x:c>
      <x:c r="P915" s="34" t="n">
        <x:f>-G915</x:f>
        <x:v>-2.8034223204123987</x:v>
      </x:c>
      <x:c r="Q915" s="34" t="n">
        <x:f>-I915</x:f>
        <x:v>-3.1409825787755428</x:v>
      </x:c>
      <x:c r="R915" s="36" t="n">
        <x:f>YEAR(A915)</x:f>
        <x:v>2024</x:v>
      </x:c>
    </x:row>
    <x:row r="916">
      <x:c r="A916" s="30" t="n">
        <x:v>45518</x:v>
      </x:c>
      <x:c r="B916" s="38" t="n">
        <x:v>5455.21</x:v>
      </x:c>
      <x:c r="C916" s="34" t="n">
        <x:f>(B916/B915-1)*100</x:f>
        <x:v>0.38237680860733203</x:v>
      </x:c>
      <x:c r="D916" s="34" t="n">
        <x:f>Assumptions!$B$4*D915+(1-Assumptions!$B$4)*C915^2</x:f>
        <x:v>1.5353765285945096</x:v>
      </x:c>
      <x:c r="E916" s="34" t="n">
        <x:f>SQRT(D916)</x:f>
        <x:v>1.2391031145931761</x:v>
      </x:c>
      <x:c r="F916" s="34" t="n">
        <x:f>-Assumptions!$B$7*E916</x:f>
        <x:v>2.0381432522054523</x:v>
      </x:c>
      <x:c r="G916" s="34" t="n">
        <x:f>-Assumptions!$B$8*E916</x:f>
        <x:v>2.882584896351219</x:v>
      </x:c>
      <x:c r="H916" s="34" t="n">
        <x:f>-Assumptions!$B$9*E916</x:f>
        <x:v>1.934053767232163</x:v>
      </x:c>
      <x:c r="I916" s="34" t="n">
        <x:f>-Assumptions!$B$10*E916</x:f>
        <x:v>3.2296771254745407</x:v>
      </x:c>
      <x:c r="J916" s="36" t="n">
        <x:f>IF(C916&lt;-F916,1,0)</x:f>
        <x:v>0</x:v>
      </x:c>
      <x:c r="K916" s="36" t="n">
        <x:f>IF(C916&lt;-G916,1,0)</x:f>
        <x:v>0</x:v>
      </x:c>
      <x:c r="L916" s="36" t="n">
        <x:f>IF(C916&lt;-H916,1,0)</x:f>
        <x:v>0</x:v>
      </x:c>
      <x:c r="M916" s="36" t="n">
        <x:f>IF(C916&lt;-I916,1,0)</x:f>
        <x:v>0</x:v>
      </x:c>
      <x:c r="N916" s="34" t="n">
        <x:f>-F916</x:f>
        <x:v>-2.0381432522054523</x:v>
      </x:c>
      <x:c r="O916" s="34" t="n">
        <x:f>-H916</x:f>
        <x:v>-1.934053767232163</x:v>
      </x:c>
      <x:c r="P916" s="34" t="n">
        <x:f>-G916</x:f>
        <x:v>-2.882584896351219</x:v>
      </x:c>
      <x:c r="Q916" s="34" t="n">
        <x:f>-I916</x:f>
        <x:v>-3.2296771254745407</x:v>
      </x:c>
      <x:c r="R916" s="36" t="n">
        <x:f>YEAR(A916)</x:f>
        <x:v>2024</x:v>
      </x:c>
    </x:row>
    <x:row r="917">
      <x:c r="A917" s="30" t="n">
        <x:v>45519</x:v>
      </x:c>
      <x:c r="B917" s="38" t="n">
        <x:v>5543.22</x:v>
      </x:c>
      <x:c r="C917" s="34" t="n">
        <x:f>(B917/B916-1)*100</x:f>
        <x:v>1.6133201104998829</x:v>
      </x:c>
      <x:c r="D917" s="34" t="n">
        <x:f>Assumptions!$B$4*D916+(1-Assumptions!$B$4)*C916^2</x:f>
        <x:v>1.4520266583044825</x:v>
      </x:c>
      <x:c r="E917" s="34" t="n">
        <x:f>SQRT(D917)</x:f>
        <x:v>1.2050006880929498</x:v>
      </x:c>
      <x:c r="F917" s="34" t="n">
        <x:f>-Assumptions!$B$7*E917</x:f>
        <x:v>1.982049752288709</x:v>
      </x:c>
      <x:c r="G917" s="34" t="n">
        <x:f>-Assumptions!$B$8*E917</x:f>
        <x:v>2.8032507889627833</x:v>
      </x:c>
      <x:c r="H917" s="34" t="n">
        <x:f>-Assumptions!$B$9*E917</x:f>
        <x:v>1.880825003888948</x:v>
      </x:c>
      <x:c r="I917" s="34" t="n">
        <x:f>-Assumptions!$B$10*E917</x:f>
        <x:v>3.1407903932132637</x:v>
      </x:c>
      <x:c r="J917" s="36" t="n">
        <x:f>IF(C917&lt;-F917,1,0)</x:f>
        <x:v>0</x:v>
      </x:c>
      <x:c r="K917" s="36" t="n">
        <x:f>IF(C917&lt;-G917,1,0)</x:f>
        <x:v>0</x:v>
      </x:c>
      <x:c r="L917" s="36" t="n">
        <x:f>IF(C917&lt;-H917,1,0)</x:f>
        <x:v>0</x:v>
      </x:c>
      <x:c r="M917" s="36" t="n">
        <x:f>IF(C917&lt;-I917,1,0)</x:f>
        <x:v>0</x:v>
      </x:c>
      <x:c r="N917" s="34" t="n">
        <x:f>-F917</x:f>
        <x:v>-1.982049752288709</x:v>
      </x:c>
      <x:c r="O917" s="34" t="n">
        <x:f>-H917</x:f>
        <x:v>-1.880825003888948</x:v>
      </x:c>
      <x:c r="P917" s="34" t="n">
        <x:f>-G917</x:f>
        <x:v>-2.8032507889627833</x:v>
      </x:c>
      <x:c r="Q917" s="34" t="n">
        <x:f>-I917</x:f>
        <x:v>-3.1407903932132637</x:v>
      </x:c>
      <x:c r="R917" s="36" t="n">
        <x:f>YEAR(A917)</x:f>
        <x:v>2024</x:v>
      </x:c>
    </x:row>
    <x:row r="918">
      <x:c r="A918" s="30" t="n">
        <x:v>45520</x:v>
      </x:c>
      <x:c r="B918" s="38" t="n">
        <x:v>5554.25</x:v>
      </x:c>
      <x:c r="C918" s="34" t="n">
        <x:f>(B918/B917-1)*100</x:f>
        <x:v>0.19898181923141411</x:v>
      </x:c>
      <x:c r="D918" s="34" t="n">
        <x:f>Assumptions!$B$4*D917+(1-Assumptions!$B$4)*C917^2</x:f>
        <x:v>1.521073165542815</x:v>
      </x:c>
      <x:c r="E918" s="34" t="n">
        <x:f>SQRT(D918)</x:f>
        <x:v>1.2333179498988958</x:v>
      </x:c>
      <x:c r="F918" s="34" t="n">
        <x:f>-Assumptions!$B$7*E918</x:f>
        <x:v>2.0286275030755534</x:v>
      </x:c>
      <x:c r="G918" s="34" t="n">
        <x:f>-Assumptions!$B$8*E918</x:f>
        <x:v>2.869126590763704</x:v>
      </x:c>
      <x:c r="H918" s="34" t="n">
        <x:f>-Assumptions!$B$9*E918</x:f>
        <x:v>1.9250239944559844</x:v>
      </x:c>
      <x:c r="I918" s="34" t="n">
        <x:f>-Assumptions!$B$10*E918</x:f>
        <x:v>3.214598304462655</x:v>
      </x:c>
      <x:c r="J918" s="36" t="n">
        <x:f>IF(C918&lt;-F918,1,0)</x:f>
        <x:v>0</x:v>
      </x:c>
      <x:c r="K918" s="36" t="n">
        <x:f>IF(C918&lt;-G918,1,0)</x:f>
        <x:v>0</x:v>
      </x:c>
      <x:c r="L918" s="36" t="n">
        <x:f>IF(C918&lt;-H918,1,0)</x:f>
        <x:v>0</x:v>
      </x:c>
      <x:c r="M918" s="36" t="n">
        <x:f>IF(C918&lt;-I918,1,0)</x:f>
        <x:v>0</x:v>
      </x:c>
      <x:c r="N918" s="34" t="n">
        <x:f>-F918</x:f>
        <x:v>-2.0286275030755534</x:v>
      </x:c>
      <x:c r="O918" s="34" t="n">
        <x:f>-H918</x:f>
        <x:v>-1.9250239944559844</x:v>
      </x:c>
      <x:c r="P918" s="34" t="n">
        <x:f>-G918</x:f>
        <x:v>-2.869126590763704</x:v>
      </x:c>
      <x:c r="Q918" s="34" t="n">
        <x:f>-I918</x:f>
        <x:v>-3.214598304462655</x:v>
      </x:c>
      <x:c r="R918" s="36" t="n">
        <x:f>YEAR(A918)</x:f>
        <x:v>2024</x:v>
      </x:c>
    </x:row>
    <x:row r="919">
      <x:c r="A919" s="30" t="n">
        <x:v>45523</x:v>
      </x:c>
      <x:c r="B919" s="38" t="n">
        <x:v>5608.25</x:v>
      </x:c>
      <x:c r="C919" s="34" t="n">
        <x:f>(B919/B918-1)*100</x:f>
        <x:v>0.9722284736913167</x:v>
      </x:c>
      <x:c r="D919" s="34" t="n">
        <x:f>Assumptions!$B$4*D918+(1-Assumptions!$B$4)*C918^2</x:f>
        <x:v>1.4321844014733245</x:v>
      </x:c>
      <x:c r="E919" s="34" t="n">
        <x:f>SQRT(D919)</x:f>
        <x:v>1.1967390699201412</x:v>
      </x:c>
      <x:c r="F919" s="34" t="n">
        <x:f>-Assumptions!$B$7*E919</x:f>
        <x:v>1.9684605996726765</x:v>
      </x:c>
      <x:c r="G919" s="34" t="n">
        <x:f>-Assumptions!$B$8*E919</x:f>
        <x:v>2.784031391090333</x:v>
      </x:c>
      <x:c r="H919" s="34" t="n">
        <x:f>-Assumptions!$B$9*E919</x:f>
        <x:v>1.8679298593587041</x:v>
      </x:c>
      <x:c r="I919" s="34" t="n">
        <x:f>-Assumptions!$B$10*E919</x:f>
        <x:v>3.119256786431164</x:v>
      </x:c>
      <x:c r="J919" s="36" t="n">
        <x:f>IF(C919&lt;-F919,1,0)</x:f>
        <x:v>0</x:v>
      </x:c>
      <x:c r="K919" s="36" t="n">
        <x:f>IF(C919&lt;-G919,1,0)</x:f>
        <x:v>0</x:v>
      </x:c>
      <x:c r="L919" s="36" t="n">
        <x:f>IF(C919&lt;-H919,1,0)</x:f>
        <x:v>0</x:v>
      </x:c>
      <x:c r="M919" s="36" t="n">
        <x:f>IF(C919&lt;-I919,1,0)</x:f>
        <x:v>0</x:v>
      </x:c>
      <x:c r="N919" s="34" t="n">
        <x:f>-F919</x:f>
        <x:v>-1.9684605996726765</x:v>
      </x:c>
      <x:c r="O919" s="34" t="n">
        <x:f>-H919</x:f>
        <x:v>-1.8679298593587041</x:v>
      </x:c>
      <x:c r="P919" s="34" t="n">
        <x:f>-G919</x:f>
        <x:v>-2.784031391090333</x:v>
      </x:c>
      <x:c r="Q919" s="34" t="n">
        <x:f>-I919</x:f>
        <x:v>-3.119256786431164</x:v>
      </x:c>
      <x:c r="R919" s="36" t="n">
        <x:f>YEAR(A919)</x:f>
        <x:v>2024</x:v>
      </x:c>
    </x:row>
    <x:row r="920">
      <x:c r="A920" s="30" t="n">
        <x:v>45524</x:v>
      </x:c>
      <x:c r="B920" s="38" t="n">
        <x:v>5597.12</x:v>
      </x:c>
      <x:c r="C920" s="34" t="n">
        <x:f>(B920/B919-1)*100</x:f>
        <x:v>-0.19845762938528466</x:v>
      </x:c>
      <x:c r="D920" s="34" t="n">
        <x:f>Assumptions!$B$4*D919+(1-Assumptions!$B$4)*C919^2</x:f>
        <x:v>1.402967029688294</x:v>
      </x:c>
      <x:c r="E920" s="34" t="n">
        <x:f>SQRT(D920)</x:f>
        <x:v>1.1844690919092375</x:v>
      </x:c>
      <x:c r="F920" s="34" t="n">
        <x:f>-Assumptions!$B$7*E920</x:f>
        <x:v>1.948278281838827</x:v>
      </x:c>
      <x:c r="G920" s="34" t="n">
        <x:f>-Assumptions!$B$8*E920</x:f>
        <x:v>2.7554871538301393</x:v>
      </x:c>
      <x:c r="H920" s="34" t="n">
        <x:f>-Assumptions!$B$9*E920</x:f>
        <x:v>1.8487782674400322</x:v>
      </x:c>
      <x:c r="I920" s="34" t="n">
        <x:f>-Assumptions!$B$10*E920</x:f>
        <x:v>3.08727553576269</x:v>
      </x:c>
      <x:c r="J920" s="36" t="n">
        <x:f>IF(C920&lt;-F920,1,0)</x:f>
        <x:v>0</x:v>
      </x:c>
      <x:c r="K920" s="36" t="n">
        <x:f>IF(C920&lt;-G920,1,0)</x:f>
        <x:v>0</x:v>
      </x:c>
      <x:c r="L920" s="36" t="n">
        <x:f>IF(C920&lt;-H920,1,0)</x:f>
        <x:v>0</x:v>
      </x:c>
      <x:c r="M920" s="36" t="n">
        <x:f>IF(C920&lt;-I920,1,0)</x:f>
        <x:v>0</x:v>
      </x:c>
      <x:c r="N920" s="34" t="n">
        <x:f>-F920</x:f>
        <x:v>-1.948278281838827</x:v>
      </x:c>
      <x:c r="O920" s="34" t="n">
        <x:f>-H920</x:f>
        <x:v>-1.8487782674400322</x:v>
      </x:c>
      <x:c r="P920" s="34" t="n">
        <x:f>-G920</x:f>
        <x:v>-2.7554871538301393</x:v>
      </x:c>
      <x:c r="Q920" s="34" t="n">
        <x:f>-I920</x:f>
        <x:v>-3.08727553576269</x:v>
      </x:c>
      <x:c r="R920" s="36" t="n">
        <x:f>YEAR(A920)</x:f>
        <x:v>2024</x:v>
      </x:c>
    </x:row>
    <x:row r="921">
      <x:c r="A921" s="30" t="n">
        <x:v>45525</x:v>
      </x:c>
      <x:c r="B921" s="38" t="n">
        <x:v>5620.85</x:v>
      </x:c>
      <x:c r="C921" s="34" t="n">
        <x:f>(B921/B920-1)*100</x:f>
        <x:v>0.42396804070665706</x:v>
      </x:c>
      <x:c r="D921" s="34" t="n">
        <x:f>Assumptions!$B$4*D920+(1-Assumptions!$B$4)*C920^2</x:f>
        <x:v>1.3211521337466698</x:v>
      </x:c>
      <x:c r="E921" s="34" t="n">
        <x:f>SQRT(D921)</x:f>
        <x:v>1.1494138218007777</x:v>
      </x:c>
      <x:c r="F921" s="34" t="n">
        <x:f>-Assumptions!$B$7*E921</x:f>
        <x:v>1.8906174936571631</x:v>
      </x:c>
      <x:c r="G921" s="34" t="n">
        <x:f>-Assumptions!$B$8*E921</x:f>
        <x:v>2.673936400739396</x:v>
      </x:c>
      <x:c r="H921" s="34" t="n">
        <x:f>-Assumptions!$B$9*E921</x:f>
        <x:v>1.7940622584040387</x:v>
      </x:c>
      <x:c r="I921" s="34" t="n">
        <x:f>-Assumptions!$B$10*E921</x:f>
        <x:v>2.9959052513503264</x:v>
      </x:c>
      <x:c r="J921" s="36" t="n">
        <x:f>IF(C921&lt;-F921,1,0)</x:f>
        <x:v>0</x:v>
      </x:c>
      <x:c r="K921" s="36" t="n">
        <x:f>IF(C921&lt;-G921,1,0)</x:f>
        <x:v>0</x:v>
      </x:c>
      <x:c r="L921" s="36" t="n">
        <x:f>IF(C921&lt;-H921,1,0)</x:f>
        <x:v>0</x:v>
      </x:c>
      <x:c r="M921" s="36" t="n">
        <x:f>IF(C921&lt;-I921,1,0)</x:f>
        <x:v>0</x:v>
      </x:c>
      <x:c r="N921" s="34" t="n">
        <x:f>-F921</x:f>
        <x:v>-1.8906174936571631</x:v>
      </x:c>
      <x:c r="O921" s="34" t="n">
        <x:f>-H921</x:f>
        <x:v>-1.7940622584040387</x:v>
      </x:c>
      <x:c r="P921" s="34" t="n">
        <x:f>-G921</x:f>
        <x:v>-2.673936400739396</x:v>
      </x:c>
      <x:c r="Q921" s="34" t="n">
        <x:f>-I921</x:f>
        <x:v>-2.9959052513503264</x:v>
      </x:c>
      <x:c r="R921" s="36" t="n">
        <x:f>YEAR(A921)</x:f>
        <x:v>2024</x:v>
      </x:c>
    </x:row>
    <x:row r="922">
      <x:c r="A922" s="30" t="n">
        <x:v>45526</x:v>
      </x:c>
      <x:c r="B922" s="38" t="n">
        <x:v>5570.64</x:v>
      </x:c>
      <x:c r="C922" s="34" t="n">
        <x:f>(B922/B921-1)*100</x:f>
        <x:v>-0.8932812652890587</x:v>
      </x:c>
      <x:c r="D922" s="34" t="n">
        <x:f>Assumptions!$B$4*D921+(1-Assumptions!$B$4)*C921^2</x:f>
        <x:v>1.252667939694308</x:v>
      </x:c>
      <x:c r="E922" s="34" t="n">
        <x:f>SQRT(D922)</x:f>
        <x:v>1.119226491687142</x:v>
      </x:c>
      <x:c r="F922" s="34" t="n">
        <x:f>-Assumptions!$B$7*E922</x:f>
        <x:v>1.8409637542317678</x:v>
      </x:c>
      <x:c r="G922" s="34" t="n">
        <x:f>-Assumptions!$B$8*E922</x:f>
        <x:v>2.603710169506571</x:v>
      </x:c>
      <x:c r="H922" s="34" t="n">
        <x:f>-Assumptions!$B$9*E922</x:f>
        <x:v>1.7469443722157478</x:v>
      </x:c>
      <x:c r="I922" s="34" t="n">
        <x:f>-Assumptions!$B$10*E922</x:f>
        <x:v>2.917223075186829</x:v>
      </x:c>
      <x:c r="J922" s="36" t="n">
        <x:f>IF(C922&lt;-F922,1,0)</x:f>
        <x:v>0</x:v>
      </x:c>
      <x:c r="K922" s="36" t="n">
        <x:f>IF(C922&lt;-G922,1,0)</x:f>
        <x:v>0</x:v>
      </x:c>
      <x:c r="L922" s="36" t="n">
        <x:f>IF(C922&lt;-H922,1,0)</x:f>
        <x:v>0</x:v>
      </x:c>
      <x:c r="M922" s="36" t="n">
        <x:f>IF(C922&lt;-I922,1,0)</x:f>
        <x:v>0</x:v>
      </x:c>
      <x:c r="N922" s="34" t="n">
        <x:f>-F922</x:f>
        <x:v>-1.8409637542317678</x:v>
      </x:c>
      <x:c r="O922" s="34" t="n">
        <x:f>-H922</x:f>
        <x:v>-1.7469443722157478</x:v>
      </x:c>
      <x:c r="P922" s="34" t="n">
        <x:f>-G922</x:f>
        <x:v>-2.603710169506571</x:v>
      </x:c>
      <x:c r="Q922" s="34" t="n">
        <x:f>-I922</x:f>
        <x:v>-2.917223075186829</x:v>
      </x:c>
      <x:c r="R922" s="36" t="n">
        <x:f>YEAR(A922)</x:f>
        <x:v>2024</x:v>
      </x:c>
    </x:row>
    <x:row r="923">
      <x:c r="A923" s="30" t="n">
        <x:v>45527</x:v>
      </x:c>
      <x:c r="B923" s="38" t="n">
        <x:v>5634.61</x:v>
      </x:c>
      <x:c r="C923" s="34" t="n">
        <x:f>(B923/B922-1)*100</x:f>
        <x:v>1.1483420217425433</x:v>
      </x:c>
      <x:c r="D923" s="34" t="n">
        <x:f>Assumptions!$B$4*D922+(1-Assumptions!$B$4)*C922^2</x:f>
        <x:v>1.225384948447635</x:v>
      </x:c>
      <x:c r="E923" s="34" t="n">
        <x:f>SQRT(D923)</x:f>
        <x:v>1.106971069381506</x:v>
      </x:c>
      <x:c r="F923" s="34" t="n">
        <x:f>-Assumptions!$B$7*E923</x:f>
        <x:v>1.8208053784025207</x:v>
      </x:c>
      <x:c r="G923" s="34" t="n">
        <x:f>-Assumptions!$B$8*E923</x:f>
        <x:v>2.575199793880382</x:v>
      </x:c>
      <x:c r="H923" s="34" t="n">
        <x:f>-Assumptions!$B$9*E923</x:f>
        <x:v>1.727815499565776</x:v>
      </x:c>
      <x:c r="I923" s="34" t="n">
        <x:f>-Assumptions!$B$10*E923</x:f>
        <x:v>2.8852797634338456</x:v>
      </x:c>
      <x:c r="J923" s="36" t="n">
        <x:f>IF(C923&lt;-F923,1,0)</x:f>
        <x:v>0</x:v>
      </x:c>
      <x:c r="K923" s="36" t="n">
        <x:f>IF(C923&lt;-G923,1,0)</x:f>
        <x:v>0</x:v>
      </x:c>
      <x:c r="L923" s="36" t="n">
        <x:f>IF(C923&lt;-H923,1,0)</x:f>
        <x:v>0</x:v>
      </x:c>
      <x:c r="M923" s="36" t="n">
        <x:f>IF(C923&lt;-I923,1,0)</x:f>
        <x:v>0</x:v>
      </x:c>
      <x:c r="N923" s="34" t="n">
        <x:f>-F923</x:f>
        <x:v>-1.8208053784025207</x:v>
      </x:c>
      <x:c r="O923" s="34" t="n">
        <x:f>-H923</x:f>
        <x:v>-1.727815499565776</x:v>
      </x:c>
      <x:c r="P923" s="34" t="n">
        <x:f>-G923</x:f>
        <x:v>-2.575199793880382</x:v>
      </x:c>
      <x:c r="Q923" s="34" t="n">
        <x:f>-I923</x:f>
        <x:v>-2.8852797634338456</x:v>
      </x:c>
      <x:c r="R923" s="36" t="n">
        <x:f>YEAR(A923)</x:f>
        <x:v>2024</x:v>
      </x:c>
    </x:row>
    <x:row r="924">
      <x:c r="A924" s="30" t="n">
        <x:v>45530</x:v>
      </x:c>
      <x:c r="B924" s="38" t="n">
        <x:v>5616.84</x:v>
      </x:c>
      <x:c r="C924" s="34" t="n">
        <x:f>(B924/B923-1)*100</x:f>
        <x:v>-0.31537231503155905</x:v>
      </x:c>
      <x:c r="D924" s="34" t="n">
        <x:f>Assumptions!$B$4*D923+(1-Assumptions!$B$4)*C923^2</x:f>
        <x:v>1.230983215474762</x:v>
      </x:c>
      <x:c r="E924" s="34" t="n">
        <x:f>SQRT(D924)</x:f>
        <x:v>1.109496829862421</x:v>
      </x:c>
      <x:c r="F924" s="34" t="n">
        <x:f>-Assumptions!$B$7*E924</x:f>
        <x:v>1.8249598846903645</x:v>
      </x:c>
      <x:c r="G924" s="34" t="n">
        <x:f>-Assumptions!$B$8*E924</x:f>
        <x:v>2.581075591405495</x:v>
      </x:c>
      <x:c r="H924" s="34" t="n">
        <x:f>-Assumptions!$B$9*E924</x:f>
        <x:v>1.7317578321414178</x:v>
      </x:c>
      <x:c r="I924" s="34" t="n">
        <x:f>-Assumptions!$B$10*E924</x:f>
        <x:v>2.8918630661094404</x:v>
      </x:c>
      <x:c r="J924" s="36" t="n">
        <x:f>IF(C924&lt;-F924,1,0)</x:f>
        <x:v>0</x:v>
      </x:c>
      <x:c r="K924" s="36" t="n">
        <x:f>IF(C924&lt;-G924,1,0)</x:f>
        <x:v>0</x:v>
      </x:c>
      <x:c r="L924" s="36" t="n">
        <x:f>IF(C924&lt;-H924,1,0)</x:f>
        <x:v>0</x:v>
      </x:c>
      <x:c r="M924" s="36" t="n">
        <x:f>IF(C924&lt;-I924,1,0)</x:f>
        <x:v>0</x:v>
      </x:c>
      <x:c r="N924" s="34" t="n">
        <x:f>-F924</x:f>
        <x:v>-1.8249598846903645</x:v>
      </x:c>
      <x:c r="O924" s="34" t="n">
        <x:f>-H924</x:f>
        <x:v>-1.7317578321414178</x:v>
      </x:c>
      <x:c r="P924" s="34" t="n">
        <x:f>-G924</x:f>
        <x:v>-2.581075591405495</x:v>
      </x:c>
      <x:c r="Q924" s="34" t="n">
        <x:f>-I924</x:f>
        <x:v>-2.8918630661094404</x:v>
      </x:c>
      <x:c r="R924" s="36" t="n">
        <x:f>YEAR(A924)</x:f>
        <x:v>2024</x:v>
      </x:c>
    </x:row>
    <x:row r="925">
      <x:c r="A925" s="30" t="n">
        <x:v>45531</x:v>
      </x:c>
      <x:c r="B925" s="38" t="n">
        <x:v>5625.8</x:v>
      </x:c>
      <x:c r="C925" s="34" t="n">
        <x:f>(B925/B924-1)*100</x:f>
        <x:v>0.15952029967027936</x:v>
      </x:c>
      <x:c r="D925" s="34" t="n">
        <x:f>Assumptions!$B$4*D924+(1-Assumptions!$B$4)*C924^2</x:f>
        <x:v>1.163091804371578</x:v>
      </x:c>
      <x:c r="E925" s="34" t="n">
        <x:f>SQRT(D925)</x:f>
        <x:v>1.078467340428804</x:v>
      </x:c>
      <x:c r="F925" s="34" t="n">
        <x:f>-Assumptions!$B$7*E925</x:f>
        <x:v>1.7739209164530272</x:v>
      </x:c>
      <x:c r="G925" s="34" t="n">
        <x:f>-Assumptions!$B$8*E925</x:f>
        <x:v>2.5088902046290276</x:v>
      </x:c>
      <x:c r="H925" s="34" t="n">
        <x:f>-Assumptions!$B$9*E925</x:f>
        <x:v>1.6833254618022626</x:v>
      </x:c>
      <x:c r="I925" s="34" t="n">
        <x:f>-Assumptions!$B$10*E925</x:f>
        <x:v>2.810985832359762</x:v>
      </x:c>
      <x:c r="J925" s="36" t="n">
        <x:f>IF(C925&lt;-F925,1,0)</x:f>
        <x:v>0</x:v>
      </x:c>
      <x:c r="K925" s="36" t="n">
        <x:f>IF(C925&lt;-G925,1,0)</x:f>
        <x:v>0</x:v>
      </x:c>
      <x:c r="L925" s="36" t="n">
        <x:f>IF(C925&lt;-H925,1,0)</x:f>
        <x:v>0</x:v>
      </x:c>
      <x:c r="M925" s="36" t="n">
        <x:f>IF(C925&lt;-I925,1,0)</x:f>
        <x:v>0</x:v>
      </x:c>
      <x:c r="N925" s="34" t="n">
        <x:f>-F925</x:f>
        <x:v>-1.7739209164530272</x:v>
      </x:c>
      <x:c r="O925" s="34" t="n">
        <x:f>-H925</x:f>
        <x:v>-1.6833254618022626</x:v>
      </x:c>
      <x:c r="P925" s="34" t="n">
        <x:f>-G925</x:f>
        <x:v>-2.5088902046290276</x:v>
      </x:c>
      <x:c r="Q925" s="34" t="n">
        <x:f>-I925</x:f>
        <x:v>-2.810985832359762</x:v>
      </x:c>
      <x:c r="R925" s="36" t="n">
        <x:f>YEAR(A925)</x:f>
        <x:v>2024</x:v>
      </x:c>
    </x:row>
    <x:row r="926">
      <x:c r="A926" s="30" t="n">
        <x:v>45532</x:v>
      </x:c>
      <x:c r="B926" s="38" t="n">
        <x:v>5592.18</x:v>
      </x:c>
      <x:c r="C926" s="34" t="n">
        <x:f>(B926/B925-1)*100</x:f>
        <x:v>-0.5976038963347419</x:v>
      </x:c>
      <x:c r="D926" s="34" t="n">
        <x:f>Assumptions!$B$4*D925+(1-Assumptions!$B$4)*C925^2</x:f>
        <x:v>1.094833099669697</x:v>
      </x:c>
      <x:c r="E926" s="34" t="n">
        <x:f>SQRT(D926)</x:f>
        <x:v>1.0463427257212128</x:v>
      </x:c>
      <x:c r="F926" s="34" t="n">
        <x:f>-Assumptions!$B$7*E926</x:f>
        <x:v>1.721080627436827</x:v>
      </x:c>
      <x:c r="G926" s="34" t="n">
        <x:f>-Assumptions!$B$8*E926</x:f>
        <x:v>2.4341571754996414</x:v>
      </x:c>
      <x:c r="H926" s="34" t="n">
        <x:f>-Assumptions!$B$9*E926</x:f>
        <x:v>1.6331837654701558</x:v>
      </x:c>
      <x:c r="I926" s="34" t="n">
        <x:f>-Assumptions!$B$10*E926</x:f>
        <x:v>2.7272541944808153</x:v>
      </x:c>
      <x:c r="J926" s="36" t="n">
        <x:f>IF(C926&lt;-F926,1,0)</x:f>
        <x:v>0</x:v>
      </x:c>
      <x:c r="K926" s="36" t="n">
        <x:f>IF(C926&lt;-G926,1,0)</x:f>
        <x:v>0</x:v>
      </x:c>
      <x:c r="L926" s="36" t="n">
        <x:f>IF(C926&lt;-H926,1,0)</x:f>
        <x:v>0</x:v>
      </x:c>
      <x:c r="M926" s="36" t="n">
        <x:f>IF(C926&lt;-I926,1,0)</x:f>
        <x:v>0</x:v>
      </x:c>
      <x:c r="N926" s="34" t="n">
        <x:f>-F926</x:f>
        <x:v>-1.721080627436827</x:v>
      </x:c>
      <x:c r="O926" s="34" t="n">
        <x:f>-H926</x:f>
        <x:v>-1.6331837654701558</x:v>
      </x:c>
      <x:c r="P926" s="34" t="n">
        <x:f>-G926</x:f>
        <x:v>-2.4341571754996414</x:v>
      </x:c>
      <x:c r="Q926" s="34" t="n">
        <x:f>-I926</x:f>
        <x:v>-2.7272541944808153</x:v>
      </x:c>
      <x:c r="R926" s="36" t="n">
        <x:f>YEAR(A926)</x:f>
        <x:v>2024</x:v>
      </x:c>
    </x:row>
    <x:row r="927">
      <x:c r="A927" s="30" t="n">
        <x:v>45533</x:v>
      </x:c>
      <x:c r="B927" s="38" t="n">
        <x:v>5591.96</x:v>
      </x:c>
      <x:c r="C927" s="34" t="n">
        <x:f>(B927/B926-1)*100</x:f>
        <x:v>-0.003934065069444159</x:v>
      </x:c>
      <x:c r="D927" s="34" t="n">
        <x:f>Assumptions!$B$4*D926+(1-Assumptions!$B$4)*C926^2</x:f>
        <x:v>1.0505709387043831</x:v>
      </x:c>
      <x:c r="E927" s="34" t="n">
        <x:f>SQRT(D927)</x:f>
        <x:v>1.0249736282970323</x:v>
      </x:c>
      <x:c r="F927" s="34" t="n">
        <x:f>-Assumptions!$B$7*E927</x:f>
        <x:v>1.6859315900339844</x:v>
      </x:c>
      <x:c r="G927" s="34" t="n">
        <x:f>-Assumptions!$B$8*E927</x:f>
        <x:v>2.3844452211367275</x:v>
      </x:c>
      <x:c r="H927" s="34" t="n">
        <x:f>-Assumptions!$B$9*E927</x:f>
        <x:v>1.599829815432546</x:v>
      </x:c>
      <x:c r="I927" s="34" t="n">
        <x:f>-Assumptions!$B$10*E927</x:f>
        <x:v>2.671556420558609</x:v>
      </x:c>
      <x:c r="J927" s="36" t="n">
        <x:f>IF(C927&lt;-F927,1,0)</x:f>
        <x:v>0</x:v>
      </x:c>
      <x:c r="K927" s="36" t="n">
        <x:f>IF(C927&lt;-G927,1,0)</x:f>
        <x:v>0</x:v>
      </x:c>
      <x:c r="L927" s="36" t="n">
        <x:f>IF(C927&lt;-H927,1,0)</x:f>
        <x:v>0</x:v>
      </x:c>
      <x:c r="M927" s="36" t="n">
        <x:f>IF(C927&lt;-I927,1,0)</x:f>
        <x:v>0</x:v>
      </x:c>
      <x:c r="N927" s="34" t="n">
        <x:f>-F927</x:f>
        <x:v>-1.6859315900339844</x:v>
      </x:c>
      <x:c r="O927" s="34" t="n">
        <x:f>-H927</x:f>
        <x:v>-1.599829815432546</x:v>
      </x:c>
      <x:c r="P927" s="34" t="n">
        <x:f>-G927</x:f>
        <x:v>-2.3844452211367275</x:v>
      </x:c>
      <x:c r="Q927" s="34" t="n">
        <x:f>-I927</x:f>
        <x:v>-2.671556420558609</x:v>
      </x:c>
      <x:c r="R927" s="36" t="n">
        <x:f>YEAR(A927)</x:f>
        <x:v>2024</x:v>
      </x:c>
    </x:row>
    <x:row r="928">
      <x:c r="A928" s="30" t="n">
        <x:v>45534</x:v>
      </x:c>
      <x:c r="B928" s="38" t="n">
        <x:v>5648.4</x:v>
      </x:c>
      <x:c r="C928" s="34" t="n">
        <x:f>(B928/B927-1)*100</x:f>
        <x:v>1.0093062182132906</x:v>
      </x:c>
      <x:c r="D928" s="34" t="n">
        <x:f>Assumptions!$B$4*D927+(1-Assumptions!$B$4)*C927^2</x:f>
        <x:v>0.9875376109941983</x:v>
      </x:c>
      <x:c r="E928" s="34" t="n">
        <x:f>SQRT(D928)</x:f>
        <x:v>0.9937492696823471</x:v>
      </x:c>
      <x:c r="F928" s="34" t="n">
        <x:f>-Assumptions!$B$7*E928</x:f>
        <x:v>1.634572090517386</x:v>
      </x:c>
      <x:c r="G928" s="34" t="n">
        <x:f>-Assumptions!$B$8*E928</x:f>
        <x:v>2.311806500855166</x:v>
      </x:c>
      <x:c r="H928" s="34" t="n">
        <x:f>-Assumptions!$B$9*E928</x:f>
        <x:v>1.5510932835838895</x:v>
      </x:c>
      <x:c r="I928" s="34" t="n">
        <x:f>-Assumptions!$B$10*E928</x:f>
        <x:v>2.5901712673879045</x:v>
      </x:c>
      <x:c r="J928" s="36" t="n">
        <x:f>IF(C928&lt;-F928,1,0)</x:f>
        <x:v>0</x:v>
      </x:c>
      <x:c r="K928" s="36" t="n">
        <x:f>IF(C928&lt;-G928,1,0)</x:f>
        <x:v>0</x:v>
      </x:c>
      <x:c r="L928" s="36" t="n">
        <x:f>IF(C928&lt;-H928,1,0)</x:f>
        <x:v>0</x:v>
      </x:c>
      <x:c r="M928" s="36" t="n">
        <x:f>IF(C928&lt;-I928,1,0)</x:f>
        <x:v>0</x:v>
      </x:c>
      <x:c r="N928" s="34" t="n">
        <x:f>-F928</x:f>
        <x:v>-1.634572090517386</x:v>
      </x:c>
      <x:c r="O928" s="34" t="n">
        <x:f>-H928</x:f>
        <x:v>-1.5510932835838895</x:v>
      </x:c>
      <x:c r="P928" s="34" t="n">
        <x:f>-G928</x:f>
        <x:v>-2.311806500855166</x:v>
      </x:c>
      <x:c r="Q928" s="34" t="n">
        <x:f>-I928</x:f>
        <x:v>-2.5901712673879045</x:v>
      </x:c>
      <x:c r="R928" s="36" t="n">
        <x:f>YEAR(A928)</x:f>
        <x:v>2024</x:v>
      </x:c>
    </x:row>
    <x:row r="929">
      <x:c r="A929" s="30" t="n">
        <x:v>45538</x:v>
      </x:c>
      <x:c r="B929" s="38" t="n">
        <x:v>5528.93</x:v>
      </x:c>
      <x:c r="C929" s="34" t="n">
        <x:f>(B929/B928-1)*100</x:f>
        <x:v>-2.1151122441753323</x:v>
      </x:c>
      <x:c r="D929" s="34" t="n">
        <x:f>Assumptions!$B$4*D928+(1-Assumptions!$B$4)*C928^2</x:f>
        <x:v>0.9894072968619874</x:v>
      </x:c>
      <x:c r="E929" s="34" t="n">
        <x:f>SQRT(D929)</x:f>
        <x:v>0.9946895479806689</x:v>
      </x:c>
      <x:c r="F929" s="34" t="n">
        <x:f>-Assumptions!$B$7*E929</x:f>
        <x:v>1.6361187106867243</x:v>
      </x:c>
      <x:c r="G929" s="34" t="n">
        <x:f>-Assumptions!$B$8*E929</x:f>
        <x:v>2.3139939152754736</x:v>
      </x:c>
      <x:c r="H929" s="34" t="n">
        <x:f>-Assumptions!$B$9*E929</x:f>
        <x:v>1.5525609167160304</x:v>
      </x:c>
      <x:c r="I929" s="34" t="n">
        <x:f>-Assumptions!$B$10*E929</x:f>
        <x:v>2.5926220685164827</x:v>
      </x:c>
      <x:c r="J929" s="36" t="n">
        <x:f>IF(C929&lt;-F929,1,0)</x:f>
        <x:v>1</x:v>
      </x:c>
      <x:c r="K929" s="36" t="n">
        <x:f>IF(C929&lt;-G929,1,0)</x:f>
        <x:v>0</x:v>
      </x:c>
      <x:c r="L929" s="36" t="n">
        <x:f>IF(C929&lt;-H929,1,0)</x:f>
        <x:v>1</x:v>
      </x:c>
      <x:c r="M929" s="36" t="n">
        <x:f>IF(C929&lt;-I929,1,0)</x:f>
        <x:v>0</x:v>
      </x:c>
      <x:c r="N929" s="34" t="n">
        <x:f>-F929</x:f>
        <x:v>-1.6361187106867243</x:v>
      </x:c>
      <x:c r="O929" s="34" t="n">
        <x:f>-H929</x:f>
        <x:v>-1.5525609167160304</x:v>
      </x:c>
      <x:c r="P929" s="34" t="n">
        <x:f>-G929</x:f>
        <x:v>-2.3139939152754736</x:v>
      </x:c>
      <x:c r="Q929" s="34" t="n">
        <x:f>-I929</x:f>
        <x:v>-2.5926220685164827</x:v>
      </x:c>
      <x:c r="R929" s="36" t="n">
        <x:f>YEAR(A929)</x:f>
        <x:v>2024</x:v>
      </x:c>
    </x:row>
    <x:row r="930">
      <x:c r="A930" s="30" t="n">
        <x:v>45539</x:v>
      </x:c>
      <x:c r="B930" s="38" t="n">
        <x:v>5520.07</x:v>
      </x:c>
      <x:c r="C930" s="34" t="n">
        <x:f>(B930/B929-1)*100</x:f>
        <x:v>-0.16024800458679378</x:v>
      </x:c>
      <x:c r="D930" s="34" t="n">
        <x:f>Assumptions!$B$4*D929+(1-Assumptions!$B$4)*C929^2</x:f>
        <x:v>1.198464847377893</x:v>
      </x:c>
      <x:c r="E930" s="34" t="n">
        <x:f>SQRT(D930)</x:f>
        <x:v>1.0947441926668955</x:v>
      </x:c>
      <x:c r="F930" s="34" t="n">
        <x:f>-Assumptions!$B$7*E930</x:f>
        <x:v>1.800693955892205</x:v>
      </x:c>
      <x:c r="G930" s="34" t="n">
        <x:f>-Assumptions!$B$8*E930</x:f>
        <x:v>2.546755825229188</x:v>
      </x:c>
      <x:c r="H930" s="34" t="n">
        <x:f>-Assumptions!$B$9*E930</x:f>
        <x:v>1.7087311822939728</x:v>
      </x:c>
      <x:c r="I930" s="34" t="n">
        <x:f>-Assumptions!$B$10*E930</x:f>
        <x:v>2.8534108547239034</x:v>
      </x:c>
      <x:c r="J930" s="36" t="n">
        <x:f>IF(C930&lt;-F930,1,0)</x:f>
        <x:v>0</x:v>
      </x:c>
      <x:c r="K930" s="36" t="n">
        <x:f>IF(C930&lt;-G930,1,0)</x:f>
        <x:v>0</x:v>
      </x:c>
      <x:c r="L930" s="36" t="n">
        <x:f>IF(C930&lt;-H930,1,0)</x:f>
        <x:v>0</x:v>
      </x:c>
      <x:c r="M930" s="36" t="n">
        <x:f>IF(C930&lt;-I930,1,0)</x:f>
        <x:v>0</x:v>
      </x:c>
      <x:c r="N930" s="34" t="n">
        <x:f>-F930</x:f>
        <x:v>-1.800693955892205</x:v>
      </x:c>
      <x:c r="O930" s="34" t="n">
        <x:f>-H930</x:f>
        <x:v>-1.7087311822939728</x:v>
      </x:c>
      <x:c r="P930" s="34" t="n">
        <x:f>-G930</x:f>
        <x:v>-2.546755825229188</x:v>
      </x:c>
      <x:c r="Q930" s="34" t="n">
        <x:f>-I930</x:f>
        <x:v>-2.8534108547239034</x:v>
      </x:c>
      <x:c r="R930" s="36" t="n">
        <x:f>YEAR(A930)</x:f>
        <x:v>2024</x:v>
      </x:c>
    </x:row>
    <x:row r="931">
      <x:c r="A931" s="30" t="n">
        <x:v>45540</x:v>
      </x:c>
      <x:c r="B931" s="38" t="n">
        <x:v>5503.41</x:v>
      </x:c>
      <x:c r="C931" s="34" t="n">
        <x:f>(B931/B930-1)*100</x:f>
        <x:v>-0.30180776693048417</x:v>
      </x:c>
      <x:c r="D931" s="34" t="n">
        <x:f>Assumptions!$B$4*D930+(1-Assumptions!$B$4)*C930^2</x:f>
        <x:v>1.1280977219136623</x:v>
      </x:c>
      <x:c r="E931" s="34" t="n">
        <x:f>SQRT(D931)</x:f>
        <x:v>1.0621194480441747</x:v>
      </x:c>
      <x:c r="F931" s="34" t="n">
        <x:f>-Assumptions!$B$7*E931</x:f>
        <x:v>1.7470310263711573</x:v>
      </x:c>
      <x:c r="G931" s="34" t="n">
        <x:f>-Assumptions!$B$8*E931</x:f>
        <x:v>2.4708593199349966</x:v>
      </x:c>
      <x:c r="H931" s="34" t="n">
        <x:f>-Assumptions!$B$9*E931</x:f>
        <x:v>1.657808858316701</x:v>
      </x:c>
      <x:c r="I931" s="34" t="n">
        <x:f>-Assumptions!$B$10*E931</x:f>
        <x:v>2.768375646441787</x:v>
      </x:c>
      <x:c r="J931" s="36" t="n">
        <x:f>IF(C931&lt;-F931,1,0)</x:f>
        <x:v>0</x:v>
      </x:c>
      <x:c r="K931" s="36" t="n">
        <x:f>IF(C931&lt;-G931,1,0)</x:f>
        <x:v>0</x:v>
      </x:c>
      <x:c r="L931" s="36" t="n">
        <x:f>IF(C931&lt;-H931,1,0)</x:f>
        <x:v>0</x:v>
      </x:c>
      <x:c r="M931" s="36" t="n">
        <x:f>IF(C931&lt;-I931,1,0)</x:f>
        <x:v>0</x:v>
      </x:c>
      <x:c r="N931" s="34" t="n">
        <x:f>-F931</x:f>
        <x:v>-1.7470310263711573</x:v>
      </x:c>
      <x:c r="O931" s="34" t="n">
        <x:f>-H931</x:f>
        <x:v>-1.657808858316701</x:v>
      </x:c>
      <x:c r="P931" s="34" t="n">
        <x:f>-G931</x:f>
        <x:v>-2.4708593199349966</x:v>
      </x:c>
      <x:c r="Q931" s="34" t="n">
        <x:f>-I931</x:f>
        <x:v>-2.768375646441787</x:v>
      </x:c>
      <x:c r="R931" s="36" t="n">
        <x:f>YEAR(A931)</x:f>
        <x:v>2024</x:v>
      </x:c>
    </x:row>
    <x:row r="932">
      <x:c r="A932" s="30" t="n">
        <x:v>45541</x:v>
      </x:c>
      <x:c r="B932" s="38" t="n">
        <x:v>5408.42</x:v>
      </x:c>
      <x:c r="C932" s="34" t="n">
        <x:f>(B932/B931-1)*100</x:f>
        <x:v>-1.726020776209658</x:v>
      </x:c>
      <x:c r="D932" s="34" t="n">
        <x:f>Assumptions!$B$4*D931+(1-Assumptions!$B$4)*C931^2</x:f>
        <x:v>1.0658771342896165</x:v>
      </x:c>
      <x:c r="E932" s="34" t="n">
        <x:f>SQRT(D932)</x:f>
        <x:v>1.0324132575134903</x:v>
      </x:c>
      <x:c r="F932" s="34" t="n">
        <x:f>-Assumptions!$B$7*E932</x:f>
        <x:v>1.6981686911338496</x:v>
      </x:c>
      <x:c r="G932" s="34" t="n">
        <x:f>-Assumptions!$B$8*E932</x:f>
        <x:v>2.401752386748087</x:v>
      </x:c>
      <x:c r="H932" s="34" t="n">
        <x:f>-Assumptions!$B$9*E932</x:f>
        <x:v>1.61144195871864</x:v>
      </x:c>
      <x:c r="I932" s="34" t="n">
        <x:f>-Assumptions!$B$10*E932</x:f>
        <x:v>2.690947543072489</x:v>
      </x:c>
      <x:c r="J932" s="36" t="n">
        <x:f>IF(C932&lt;-F932,1,0)</x:f>
        <x:v>1</x:v>
      </x:c>
      <x:c r="K932" s="36" t="n">
        <x:f>IF(C932&lt;-G932,1,0)</x:f>
        <x:v>0</x:v>
      </x:c>
      <x:c r="L932" s="36" t="n">
        <x:f>IF(C932&lt;-H932,1,0)</x:f>
        <x:v>1</x:v>
      </x:c>
      <x:c r="M932" s="36" t="n">
        <x:f>IF(C932&lt;-I932,1,0)</x:f>
        <x:v>0</x:v>
      </x:c>
      <x:c r="N932" s="34" t="n">
        <x:f>-F932</x:f>
        <x:v>-1.6981686911338496</x:v>
      </x:c>
      <x:c r="O932" s="34" t="n">
        <x:f>-H932</x:f>
        <x:v>-1.61144195871864</x:v>
      </x:c>
      <x:c r="P932" s="34" t="n">
        <x:f>-G932</x:f>
        <x:v>-2.401752386748087</x:v>
      </x:c>
      <x:c r="Q932" s="34" t="n">
        <x:f>-I932</x:f>
        <x:v>-2.690947543072489</x:v>
      </x:c>
      <x:c r="R932" s="36" t="n">
        <x:f>YEAR(A932)</x:f>
        <x:v>2024</x:v>
      </x:c>
    </x:row>
    <x:row r="933">
      <x:c r="A933" s="30" t="n">
        <x:v>45544</x:v>
      </x:c>
      <x:c r="B933" s="38" t="n">
        <x:v>5471.05</x:v>
      </x:c>
      <x:c r="C933" s="34" t="n">
        <x:f>(B933/B932-1)*100</x:f>
        <x:v>1.158009178281283</x:v>
      </x:c>
      <x:c r="D933" s="34" t="n">
        <x:f>Assumptions!$B$4*D932+(1-Assumptions!$B$4)*C932^2</x:f>
        <x:v>1.180673369426683</x:v>
      </x:c>
      <x:c r="E933" s="34" t="n">
        <x:f>SQRT(D933)</x:f>
        <x:v>1.0865879483165102</x:v>
      </x:c>
      <x:c r="F933" s="34" t="n">
        <x:f>-Assumptions!$B$7*E933</x:f>
        <x:v>1.7872781277901713</x:v>
      </x:c>
      <x:c r="G933" s="34" t="n">
        <x:f>-Assumptions!$B$8*E933</x:f>
        <x:v>2.527781563524512</x:v>
      </x:c>
      <x:c r="H933" s="34" t="n">
        <x:f>-Assumptions!$B$9*E933</x:f>
        <x:v>1.6960005104664648</x:v>
      </x:c>
      <x:c r="I933" s="34" t="n">
        <x:f>-Assumptions!$B$10*E933</x:f>
        <x:v>2.8321519009709957</x:v>
      </x:c>
      <x:c r="J933" s="36" t="n">
        <x:f>IF(C933&lt;-F933,1,0)</x:f>
        <x:v>0</x:v>
      </x:c>
      <x:c r="K933" s="36" t="n">
        <x:f>IF(C933&lt;-G933,1,0)</x:f>
        <x:v>0</x:v>
      </x:c>
      <x:c r="L933" s="36" t="n">
        <x:f>IF(C933&lt;-H933,1,0)</x:f>
        <x:v>0</x:v>
      </x:c>
      <x:c r="M933" s="36" t="n">
        <x:f>IF(C933&lt;-I933,1,0)</x:f>
        <x:v>0</x:v>
      </x:c>
      <x:c r="N933" s="34" t="n">
        <x:f>-F933</x:f>
        <x:v>-1.7872781277901713</x:v>
      </x:c>
      <x:c r="O933" s="34" t="n">
        <x:f>-H933</x:f>
        <x:v>-1.6960005104664648</x:v>
      </x:c>
      <x:c r="P933" s="34" t="n">
        <x:f>-G933</x:f>
        <x:v>-2.527781563524512</x:v>
      </x:c>
      <x:c r="Q933" s="34" t="n">
        <x:f>-I933</x:f>
        <x:v>-2.8321519009709957</x:v>
      </x:c>
      <x:c r="R933" s="36" t="n">
        <x:f>YEAR(A933)</x:f>
        <x:v>2024</x:v>
      </x:c>
    </x:row>
    <x:row r="934">
      <x:c r="A934" s="30" t="n">
        <x:v>45545</x:v>
      </x:c>
      <x:c r="B934" s="38" t="n">
        <x:v>5495.52</x:v>
      </x:c>
      <x:c r="C934" s="34" t="n">
        <x:f>(B934/B933-1)*100</x:f>
        <x:v>0.44726332239699573</x:v>
      </x:c>
      <x:c r="D934" s="34" t="n">
        <x:f>Assumptions!$B$4*D933+(1-Assumptions!$B$4)*C933^2</x:f>
        <x:v>1.1902920826801036</x:v>
      </x:c>
      <x:c r="E934" s="34" t="n">
        <x:f>SQRT(D934)</x:f>
        <x:v>1.0910050791266297</x:v>
      </x:c>
      <x:c r="F934" s="34" t="n">
        <x:f>-Assumptions!$B$7*E934</x:f>
        <x:v>1.7945436614239154</x:v>
      </x:c>
      <x:c r="G934" s="34" t="n">
        <x:f>-Assumptions!$B$8*E934</x:f>
        <x:v>2.5380573463939937</x:v>
      </x:c>
      <x:c r="H934" s="34" t="n">
        <x:f>-Assumptions!$B$9*E934</x:f>
        <x:v>1.7028949879179833</x:v>
      </x:c>
      <x:c r="I934" s="34" t="n">
        <x:f>-Assumptions!$B$10*E934</x:f>
        <x:v>2.843664991503704</x:v>
      </x:c>
      <x:c r="J934" s="36" t="n">
        <x:f>IF(C934&lt;-F934,1,0)</x:f>
        <x:v>0</x:v>
      </x:c>
      <x:c r="K934" s="36" t="n">
        <x:f>IF(C934&lt;-G934,1,0)</x:f>
        <x:v>0</x:v>
      </x:c>
      <x:c r="L934" s="36" t="n">
        <x:f>IF(C934&lt;-H934,1,0)</x:f>
        <x:v>0</x:v>
      </x:c>
      <x:c r="M934" s="36" t="n">
        <x:f>IF(C934&lt;-I934,1,0)</x:f>
        <x:v>0</x:v>
      </x:c>
      <x:c r="N934" s="34" t="n">
        <x:f>-F934</x:f>
        <x:v>-1.7945436614239154</x:v>
      </x:c>
      <x:c r="O934" s="34" t="n">
        <x:f>-H934</x:f>
        <x:v>-1.7028949879179833</x:v>
      </x:c>
      <x:c r="P934" s="34" t="n">
        <x:f>-G934</x:f>
        <x:v>-2.5380573463939937</x:v>
      </x:c>
      <x:c r="Q934" s="34" t="n">
        <x:f>-I934</x:f>
        <x:v>-2.843664991503704</x:v>
      </x:c>
      <x:c r="R934" s="36" t="n">
        <x:f>YEAR(A934)</x:f>
        <x:v>2024</x:v>
      </x:c>
    </x:row>
    <x:row r="935">
      <x:c r="A935" s="30" t="n">
        <x:v>45546</x:v>
      </x:c>
      <x:c r="B935" s="38" t="n">
        <x:v>5554.13</x:v>
      </x:c>
      <x:c r="C935" s="34" t="n">
        <x:f>(B935/B934-1)*100</x:f>
        <x:v>1.0665050805019227</x:v>
      </x:c>
      <x:c r="D935" s="34" t="n">
        <x:f>Assumptions!$B$4*D934+(1-Assumptions!$B$4)*C934^2</x:f>
        <x:v>1.1308772264929934</x:v>
      </x:c>
      <x:c r="E935" s="34" t="n">
        <x:f>SQRT(D935)</x:f>
        <x:v>1.0634271138601805</x:v>
      </x:c>
      <x:c r="F935" s="34" t="n">
        <x:f>-Assumptions!$B$7*E935</x:f>
        <x:v>1.7491819452314548</x:v>
      </x:c>
      <x:c r="G935" s="34" t="n">
        <x:f>-Assumptions!$B$8*E935</x:f>
        <x:v>2.473901405526018</x:v>
      </x:c>
      <x:c r="H935" s="34" t="n">
        <x:f>-Assumptions!$B$9*E935</x:f>
        <x:v>1.6598499281582186</x:v>
      </x:c>
      <x:c r="I935" s="34" t="n">
        <x:f>-Assumptions!$B$10*E935</x:f>
        <x:v>2.7717840297506338</x:v>
      </x:c>
      <x:c r="J935" s="36" t="n">
        <x:f>IF(C935&lt;-F935,1,0)</x:f>
        <x:v>0</x:v>
      </x:c>
      <x:c r="K935" s="36" t="n">
        <x:f>IF(C935&lt;-G935,1,0)</x:f>
        <x:v>0</x:v>
      </x:c>
      <x:c r="L935" s="36" t="n">
        <x:f>IF(C935&lt;-H935,1,0)</x:f>
        <x:v>0</x:v>
      </x:c>
      <x:c r="M935" s="36" t="n">
        <x:f>IF(C935&lt;-I935,1,0)</x:f>
        <x:v>0</x:v>
      </x:c>
      <x:c r="N935" s="34" t="n">
        <x:f>-F935</x:f>
        <x:v>-1.7491819452314548</x:v>
      </x:c>
      <x:c r="O935" s="34" t="n">
        <x:f>-H935</x:f>
        <x:v>-1.6598499281582186</x:v>
      </x:c>
      <x:c r="P935" s="34" t="n">
        <x:f>-G935</x:f>
        <x:v>-2.473901405526018</x:v>
      </x:c>
      <x:c r="Q935" s="34" t="n">
        <x:f>-I935</x:f>
        <x:v>-2.7717840297506338</x:v>
      </x:c>
      <x:c r="R935" s="36" t="n">
        <x:f>YEAR(A935)</x:f>
        <x:v>2024</x:v>
      </x:c>
    </x:row>
    <x:row r="936">
      <x:c r="A936" s="30" t="n">
        <x:v>45547</x:v>
      </x:c>
      <x:c r="B936" s="38" t="n">
        <x:v>5595.76</x:v>
      </x:c>
      <x:c r="C936" s="34" t="n">
        <x:f>(B936/B935-1)*100</x:f>
        <x:v>0.7495323299958834</x:v>
      </x:c>
      <x:c r="D936" s="34" t="n">
        <x:f>Assumptions!$B$4*D935+(1-Assumptions!$B$4)*C935^2</x:f>
        <x:v>1.1312705781075985</x:v>
      </x:c>
      <x:c r="E936" s="34" t="n">
        <x:f>SQRT(D936)</x:f>
        <x:v>1.0636120430437024</x:v>
      </x:c>
      <x:c r="F936" s="34" t="n">
        <x:f>-Assumptions!$B$7*E936</x:f>
        <x:v>1.7494861266697</x:v>
      </x:c>
      <x:c r="G936" s="34" t="n">
        <x:f>-Assumptions!$B$8*E936</x:f>
        <x:v>2.4743316151389516</x:v>
      </x:c>
      <x:c r="H936" s="34" t="n">
        <x:f>-Assumptions!$B$9*E936</x:f>
        <x:v>1.6601385748251904</x:v>
      </x:c>
      <x:c r="I936" s="34" t="n">
        <x:f>-Assumptions!$B$10*E936</x:f>
        <x:v>2.772266040930187</x:v>
      </x:c>
      <x:c r="J936" s="36" t="n">
        <x:f>IF(C936&lt;-F936,1,0)</x:f>
        <x:v>0</x:v>
      </x:c>
      <x:c r="K936" s="36" t="n">
        <x:f>IF(C936&lt;-G936,1,0)</x:f>
        <x:v>0</x:v>
      </x:c>
      <x:c r="L936" s="36" t="n">
        <x:f>IF(C936&lt;-H936,1,0)</x:f>
        <x:v>0</x:v>
      </x:c>
      <x:c r="M936" s="36" t="n">
        <x:f>IF(C936&lt;-I936,1,0)</x:f>
        <x:v>0</x:v>
      </x:c>
      <x:c r="N936" s="34" t="n">
        <x:f>-F936</x:f>
        <x:v>-1.7494861266697</x:v>
      </x:c>
      <x:c r="O936" s="34" t="n">
        <x:f>-H936</x:f>
        <x:v>-1.6601385748251904</x:v>
      </x:c>
      <x:c r="P936" s="34" t="n">
        <x:f>-G936</x:f>
        <x:v>-2.4743316151389516</x:v>
      </x:c>
      <x:c r="Q936" s="34" t="n">
        <x:f>-I936</x:f>
        <x:v>-2.772266040930187</x:v>
      </x:c>
      <x:c r="R936" s="36" t="n">
        <x:f>YEAR(A936)</x:f>
        <x:v>2024</x:v>
      </x:c>
    </x:row>
    <x:row r="937">
      <x:c r="A937" s="30" t="n">
        <x:v>45548</x:v>
      </x:c>
      <x:c r="B937" s="38" t="n">
        <x:v>5626.02</x:v>
      </x:c>
      <x:c r="C937" s="34" t="n">
        <x:f>(B937/B936-1)*100</x:f>
        <x:v>0.5407665804108897</x:v>
      </x:c>
      <x:c r="D937" s="34" t="n">
        <x:f>Assumptions!$B$4*D936+(1-Assumptions!$B$4)*C936^2</x:f>
        <x:v>1.097102266243686</x:v>
      </x:c>
      <x:c r="E937" s="34" t="n">
        <x:f>SQRT(D937)</x:f>
        <x:v>1.0474264968214648</x:v>
      </x:c>
      <x:c r="F937" s="34" t="n">
        <x:f>-Assumptions!$B$7*E937</x:f>
        <x:v>1.7228632722618618</x:v>
      </x:c>
      <x:c r="G937" s="34" t="n">
        <x:f>-Assumptions!$B$8*E937</x:f>
        <x:v>2.4366784040946596</x:v>
      </x:c>
      <x:c r="H937" s="34" t="n">
        <x:f>-Assumptions!$B$9*E937</x:f>
        <x:v>1.6348753693040692</x:v>
      </x:c>
      <x:c r="I937" s="34" t="n">
        <x:f>-Assumptions!$B$10*E937</x:f>
        <x:v>2.7300790043699292</x:v>
      </x:c>
      <x:c r="J937" s="36" t="n">
        <x:f>IF(C937&lt;-F937,1,0)</x:f>
        <x:v>0</x:v>
      </x:c>
      <x:c r="K937" s="36" t="n">
        <x:f>IF(C937&lt;-G937,1,0)</x:f>
        <x:v>0</x:v>
      </x:c>
      <x:c r="L937" s="36" t="n">
        <x:f>IF(C937&lt;-H937,1,0)</x:f>
        <x:v>0</x:v>
      </x:c>
      <x:c r="M937" s="36" t="n">
        <x:f>IF(C937&lt;-I937,1,0)</x:f>
        <x:v>0</x:v>
      </x:c>
      <x:c r="N937" s="34" t="n">
        <x:f>-F937</x:f>
        <x:v>-1.7228632722618618</x:v>
      </x:c>
      <x:c r="O937" s="34" t="n">
        <x:f>-H937</x:f>
        <x:v>-1.6348753693040692</x:v>
      </x:c>
      <x:c r="P937" s="34" t="n">
        <x:f>-G937</x:f>
        <x:v>-2.4366784040946596</x:v>
      </x:c>
      <x:c r="Q937" s="34" t="n">
        <x:f>-I937</x:f>
        <x:v>-2.7300790043699292</x:v>
      </x:c>
      <x:c r="R937" s="36" t="n">
        <x:f>YEAR(A937)</x:f>
        <x:v>2024</x:v>
      </x:c>
    </x:row>
    <x:row r="938">
      <x:c r="A938" s="30" t="n">
        <x:v>45551</x:v>
      </x:c>
      <x:c r="B938" s="38" t="n">
        <x:v>5633.09</x:v>
      </x:c>
      <x:c r="C938" s="34" t="n">
        <x:f>(B938/B937-1)*100</x:f>
        <x:v>0.12566610143582846</x:v>
      </x:c>
      <x:c r="D938" s="34" t="n">
        <x:f>Assumptions!$B$4*D937+(1-Assumptions!$B$4)*C937^2</x:f>
        <x:v>1.048821839938422</x:v>
      </x:c>
      <x:c r="E938" s="34" t="n">
        <x:f>SQRT(D938)</x:f>
        <x:v>1.0241200319974324</x:v>
      </x:c>
      <x:c r="F938" s="34" t="n">
        <x:f>-Assumptions!$B$7*E938</x:f>
        <x:v>1.6845275490646352</x:v>
      </x:c>
      <x:c r="G938" s="34" t="n">
        <x:f>-Assumptions!$B$8*E938</x:f>
        <x:v>2.3824594591998642</x:v>
      </x:c>
      <x:c r="H938" s="34" t="n">
        <x:f>-Assumptions!$B$9*E938</x:f>
        <x:v>1.5984974798750822</x:v>
      </x:c>
      <x:c r="I938" s="34" t="n">
        <x:f>-Assumptions!$B$10*E938</x:f>
        <x:v>2.669331552901721</x:v>
      </x:c>
      <x:c r="J938" s="36" t="n">
        <x:f>IF(C938&lt;-F938,1,0)</x:f>
        <x:v>0</x:v>
      </x:c>
      <x:c r="K938" s="36" t="n">
        <x:f>IF(C938&lt;-G938,1,0)</x:f>
        <x:v>0</x:v>
      </x:c>
      <x:c r="L938" s="36" t="n">
        <x:f>IF(C938&lt;-H938,1,0)</x:f>
        <x:v>0</x:v>
      </x:c>
      <x:c r="M938" s="36" t="n">
        <x:f>IF(C938&lt;-I938,1,0)</x:f>
        <x:v>0</x:v>
      </x:c>
      <x:c r="N938" s="34" t="n">
        <x:f>-F938</x:f>
        <x:v>-1.6845275490646352</x:v>
      </x:c>
      <x:c r="O938" s="34" t="n">
        <x:f>-H938</x:f>
        <x:v>-1.5984974798750822</x:v>
      </x:c>
      <x:c r="P938" s="34" t="n">
        <x:f>-G938</x:f>
        <x:v>-2.3824594591998642</x:v>
      </x:c>
      <x:c r="Q938" s="34" t="n">
        <x:f>-I938</x:f>
        <x:v>-2.669331552901721</x:v>
      </x:c>
      <x:c r="R938" s="36" t="n">
        <x:f>YEAR(A938)</x:f>
        <x:v>2024</x:v>
      </x:c>
    </x:row>
    <x:row r="939">
      <x:c r="A939" s="30" t="n">
        <x:v>45552</x:v>
      </x:c>
      <x:c r="B939" s="38" t="n">
        <x:v>5634.58</x:v>
      </x:c>
      <x:c r="C939" s="34" t="n">
        <x:f>(B939/B938-1)*100</x:f>
        <x:v>0.026450846693371055</x:v>
      </x:c>
      <x:c r="D939" s="34" t="n">
        <x:f>Assumptions!$B$4*D938+(1-Assumptions!$B$4)*C938^2</x:f>
        <x:v>0.9868400476851213</x:v>
      </x:c>
      <x:c r="E939" s="34" t="n">
        <x:f>SQRT(D939)</x:f>
        <x:v>0.9933982321733421</x:v>
      </x:c>
      <x:c r="F939" s="34" t="n">
        <x:f>-Assumptions!$B$7*E939</x:f>
        <x:v>1.6339946851975031</x:v>
      </x:c>
      <x:c r="G939" s="34" t="n">
        <x:f>-Assumptions!$B$8*E939</x:f>
        <x:v>2.3109898654923837</x:v>
      </x:c>
      <x:c r="H939" s="34" t="n">
        <x:f>-Assumptions!$B$9*E939</x:f>
        <x:v>1.5505453667812157</x:v>
      </x:c>
      <x:c r="I939" s="34" t="n">
        <x:f>-Assumptions!$B$10*E939</x:f>
        <x:v>2.589256300909599</x:v>
      </x:c>
      <x:c r="J939" s="36" t="n">
        <x:f>IF(C939&lt;-F939,1,0)</x:f>
        <x:v>0</x:v>
      </x:c>
      <x:c r="K939" s="36" t="n">
        <x:f>IF(C939&lt;-G939,1,0)</x:f>
        <x:v>0</x:v>
      </x:c>
      <x:c r="L939" s="36" t="n">
        <x:f>IF(C939&lt;-H939,1,0)</x:f>
        <x:v>0</x:v>
      </x:c>
      <x:c r="M939" s="36" t="n">
        <x:f>IF(C939&lt;-I939,1,0)</x:f>
        <x:v>0</x:v>
      </x:c>
      <x:c r="N939" s="34" t="n">
        <x:f>-F939</x:f>
        <x:v>-1.6339946851975031</x:v>
      </x:c>
      <x:c r="O939" s="34" t="n">
        <x:f>-H939</x:f>
        <x:v>-1.5505453667812157</x:v>
      </x:c>
      <x:c r="P939" s="34" t="n">
        <x:f>-G939</x:f>
        <x:v>-2.3109898654923837</x:v>
      </x:c>
      <x:c r="Q939" s="34" t="n">
        <x:f>-I939</x:f>
        <x:v>-2.589256300909599</x:v>
      </x:c>
      <x:c r="R939" s="36" t="n">
        <x:f>YEAR(A939)</x:f>
        <x:v>2024</x:v>
      </x:c>
    </x:row>
    <x:row r="940">
      <x:c r="A940" s="30" t="n">
        <x:v>45553</x:v>
      </x:c>
      <x:c r="B940" s="38" t="n">
        <x:v>5618.26</x:v>
      </x:c>
      <x:c r="C940" s="34" t="n">
        <x:f>(B940/B939-1)*100</x:f>
        <x:v>-0.2896400441559033</x:v>
      </x:c>
      <x:c r="D940" s="34" t="n">
        <x:f>Assumptions!$B$4*D939+(1-Assumptions!$B$4)*C939^2</x:f>
        <x:v>0.9276716236614617</x:v>
      </x:c>
      <x:c r="E940" s="34" t="n">
        <x:f>SQRT(D940)</x:f>
        <x:v>0.9631571126568405</x:v>
      </x:c>
      <x:c r="F940" s="34" t="n">
        <x:f>-Assumptions!$B$7*E940</x:f>
        <x:v>1.5842524700777123</x:v>
      </x:c>
      <x:c r="G940" s="34" t="n">
        <x:f>-Assumptions!$B$8*E940</x:f>
        <x:v>2.240638501396555</x:v>
      </x:c>
      <x:c r="H940" s="34" t="n">
        <x:f>-Assumptions!$B$9*E940</x:f>
        <x:v>1.5033435234177512</x:v>
      </x:c>
      <x:c r="I940" s="34" t="n">
        <x:f>-Assumptions!$B$10*E940</x:f>
        <x:v>2.5104339246271747</x:v>
      </x:c>
      <x:c r="J940" s="36" t="n">
        <x:f>IF(C940&lt;-F940,1,0)</x:f>
        <x:v>0</x:v>
      </x:c>
      <x:c r="K940" s="36" t="n">
        <x:f>IF(C940&lt;-G940,1,0)</x:f>
        <x:v>0</x:v>
      </x:c>
      <x:c r="L940" s="36" t="n">
        <x:f>IF(C940&lt;-H940,1,0)</x:f>
        <x:v>0</x:v>
      </x:c>
      <x:c r="M940" s="36" t="n">
        <x:f>IF(C940&lt;-I940,1,0)</x:f>
        <x:v>0</x:v>
      </x:c>
      <x:c r="N940" s="34" t="n">
        <x:f>-F940</x:f>
        <x:v>-1.5842524700777123</x:v>
      </x:c>
      <x:c r="O940" s="34" t="n">
        <x:f>-H940</x:f>
        <x:v>-1.5033435234177512</x:v>
      </x:c>
      <x:c r="P940" s="34" t="n">
        <x:f>-G940</x:f>
        <x:v>-2.240638501396555</x:v>
      </x:c>
      <x:c r="Q940" s="34" t="n">
        <x:f>-I940</x:f>
        <x:v>-2.5104339246271747</x:v>
      </x:c>
      <x:c r="R940" s="36" t="n">
        <x:f>YEAR(A940)</x:f>
        <x:v>2024</x:v>
      </x:c>
    </x:row>
    <x:row r="941">
      <x:c r="A941" s="30" t="n">
        <x:v>45554</x:v>
      </x:c>
      <x:c r="B941" s="38" t="n">
        <x:v>5713.64</x:v>
      </x:c>
      <x:c r="C941" s="34" t="n">
        <x:f>(B941/B940-1)*100</x:f>
        <x:v>1.6976786407179478</x:v>
      </x:c>
      <x:c r="D941" s="34" t="n">
        <x:f>Assumptions!$B$4*D940+(1-Assumptions!$B$4)*C940^2</x:f>
        <x:v>0.877044807552492</x:v>
      </x:c>
      <x:c r="E941" s="34" t="n">
        <x:f>SQRT(D941)</x:f>
        <x:v>0.9365067044888103</x:v>
      </x:c>
      <x:c r="F941" s="34" t="n">
        <x:f>-Assumptions!$B$7*E941</x:f>
        <x:v>1.540416449542791</x:v>
      </x:c>
      <x:c r="G941" s="34" t="n">
        <x:f>-Assumptions!$B$8*E941</x:f>
        <x:v>2.1786403810125377</x:v>
      </x:c>
      <x:c r="H941" s="34" t="n">
        <x:f>-Assumptions!$B$9*E941</x:f>
        <x:v>1.4617462409086388</x:v>
      </x:c>
      <x:c r="I941" s="34" t="n">
        <x:f>-Assumptions!$B$10*E941</x:f>
        <x:v>2.440970606658592</x:v>
      </x:c>
      <x:c r="J941" s="36" t="n">
        <x:f>IF(C941&lt;-F941,1,0)</x:f>
        <x:v>0</x:v>
      </x:c>
      <x:c r="K941" s="36" t="n">
        <x:f>IF(C941&lt;-G941,1,0)</x:f>
        <x:v>0</x:v>
      </x:c>
      <x:c r="L941" s="36" t="n">
        <x:f>IF(C941&lt;-H941,1,0)</x:f>
        <x:v>0</x:v>
      </x:c>
      <x:c r="M941" s="36" t="n">
        <x:f>IF(C941&lt;-I941,1,0)</x:f>
        <x:v>0</x:v>
      </x:c>
      <x:c r="N941" s="34" t="n">
        <x:f>-F941</x:f>
        <x:v>-1.540416449542791</x:v>
      </x:c>
      <x:c r="O941" s="34" t="n">
        <x:f>-H941</x:f>
        <x:v>-1.4617462409086388</x:v>
      </x:c>
      <x:c r="P941" s="34" t="n">
        <x:f>-G941</x:f>
        <x:v>-2.1786403810125377</x:v>
      </x:c>
      <x:c r="Q941" s="34" t="n">
        <x:f>-I941</x:f>
        <x:v>-2.440970606658592</x:v>
      </x:c>
      <x:c r="R941" s="36" t="n">
        <x:f>YEAR(A941)</x:f>
        <x:v>2024</x:v>
      </x:c>
    </x:row>
    <x:row r="942">
      <x:c r="A942" s="30" t="n">
        <x:v>45555</x:v>
      </x:c>
      <x:c r="B942" s="38" t="n">
        <x:v>5702.55</x:v>
      </x:c>
      <x:c r="C942" s="34" t="n">
        <x:f>(B942/B941-1)*100</x:f>
        <x:v>-0.19409693295342478</x:v>
      </x:c>
      <x:c r="D942" s="34" t="n">
        <x:f>Assumptions!$B$4*D941+(1-Assumptions!$B$4)*C941^2</x:f>
        <x:v>0.997348885128339</x:v>
      </x:c>
      <x:c r="E942" s="34" t="n">
        <x:f>SQRT(D942)</x:f>
        <x:v>0.9986735628464083</x:v>
      </x:c>
      <x:c r="F942" s="34" t="n">
        <x:f>-Assumptions!$B$7*E942</x:f>
        <x:v>1.6426718319884643</x:v>
      </x:c>
      <x:c r="G942" s="34" t="n">
        <x:f>-Assumptions!$B$8*E942</x:f>
        <x:v>2.3232621197885335</x:v>
      </x:c>
      <x:c r="H942" s="34" t="n">
        <x:f>-Assumptions!$B$9*E942</x:f>
        <x:v>1.5587793652608248</x:v>
      </x:c>
      <x:c r="I942" s="34" t="n">
        <x:f>-Assumptions!$B$10*E942</x:f>
        <x:v>2.603006258119342</x:v>
      </x:c>
      <x:c r="J942" s="36" t="n">
        <x:f>IF(C942&lt;-F942,1,0)</x:f>
        <x:v>0</x:v>
      </x:c>
      <x:c r="K942" s="36" t="n">
        <x:f>IF(C942&lt;-G942,1,0)</x:f>
        <x:v>0</x:v>
      </x:c>
      <x:c r="L942" s="36" t="n">
        <x:f>IF(C942&lt;-H942,1,0)</x:f>
        <x:v>0</x:v>
      </x:c>
      <x:c r="M942" s="36" t="n">
        <x:f>IF(C942&lt;-I942,1,0)</x:f>
        <x:v>0</x:v>
      </x:c>
      <x:c r="N942" s="34" t="n">
        <x:f>-F942</x:f>
        <x:v>-1.6426718319884643</x:v>
      </x:c>
      <x:c r="O942" s="34" t="n">
        <x:f>-H942</x:f>
        <x:v>-1.5587793652608248</x:v>
      </x:c>
      <x:c r="P942" s="34" t="n">
        <x:f>-G942</x:f>
        <x:v>-2.3232621197885335</x:v>
      </x:c>
      <x:c r="Q942" s="34" t="n">
        <x:f>-I942</x:f>
        <x:v>-2.603006258119342</x:v>
      </x:c>
      <x:c r="R942" s="36" t="n">
        <x:f>YEAR(A942)</x:f>
        <x:v>2024</x:v>
      </x:c>
    </x:row>
    <x:row r="943">
      <x:c r="A943" s="30" t="n">
        <x:v>45558</x:v>
      </x:c>
      <x:c r="B943" s="38" t="n">
        <x:v>5718.57</x:v>
      </x:c>
      <x:c r="C943" s="34" t="n">
        <x:f>(B943/B942-1)*100</x:f>
        <x:v>0.2809269537312087</x:v>
      </x:c>
      <x:c r="D943" s="34" t="n">
        <x:f>Assumptions!$B$4*D942+(1-Assumptions!$B$4)*C942^2</x:f>
        <x:v>0.9397683691835541</x:v>
      </x:c>
      <x:c r="E943" s="34" t="n">
        <x:f>SQRT(D943)</x:f>
        <x:v>0.9694165096508075</x:v>
      </x:c>
      <x:c r="F943" s="34" t="n">
        <x:f>-Assumptions!$B$7*E943</x:f>
        <x:v>1.5945482619257683</x:v>
      </x:c>
      <x:c r="G943" s="34" t="n">
        <x:f>-Assumptions!$B$8*E943</x:f>
        <x:v>2.2552000362862477</x:v>
      </x:c>
      <x:c r="H943" s="34" t="n">
        <x:f>-Assumptions!$B$9*E943</x:f>
        <x:v>1.513113501552911</x:v>
      </x:c>
      <x:c r="I943" s="34" t="n">
        <x:f>-Assumptions!$B$10*E943</x:f>
        <x:v>2.5267488148510737</x:v>
      </x:c>
      <x:c r="J943" s="36" t="n">
        <x:f>IF(C943&lt;-F943,1,0)</x:f>
        <x:v>0</x:v>
      </x:c>
      <x:c r="K943" s="36" t="n">
        <x:f>IF(C943&lt;-G943,1,0)</x:f>
        <x:v>0</x:v>
      </x:c>
      <x:c r="L943" s="36" t="n">
        <x:f>IF(C943&lt;-H943,1,0)</x:f>
        <x:v>0</x:v>
      </x:c>
      <x:c r="M943" s="36" t="n">
        <x:f>IF(C943&lt;-I943,1,0)</x:f>
        <x:v>0</x:v>
      </x:c>
      <x:c r="N943" s="34" t="n">
        <x:f>-F943</x:f>
        <x:v>-1.5945482619257683</x:v>
      </x:c>
      <x:c r="O943" s="34" t="n">
        <x:f>-H943</x:f>
        <x:v>-1.513113501552911</x:v>
      </x:c>
      <x:c r="P943" s="34" t="n">
        <x:f>-G943</x:f>
        <x:v>-2.2552000362862477</x:v>
      </x:c>
      <x:c r="Q943" s="34" t="n">
        <x:f>-I943</x:f>
        <x:v>-2.5267488148510737</x:v>
      </x:c>
      <x:c r="R943" s="36" t="n">
        <x:f>YEAR(A943)</x:f>
        <x:v>2024</x:v>
      </x:c>
    </x:row>
    <x:row r="944">
      <x:c r="A944" s="30" t="n">
        <x:v>45559</x:v>
      </x:c>
      <x:c r="B944" s="38" t="n">
        <x:v>5732.93</x:v>
      </x:c>
      <x:c r="C944" s="34" t="n">
        <x:f>(B944/B943-1)*100</x:f>
        <x:v>0.2511117289812015</x:v>
      </x:c>
      <x:c r="D944" s="34" t="n">
        <x:f>Assumptions!$B$4*D943+(1-Assumptions!$B$4)*C943^2</x:f>
        <x:v>0.8881174642325027</x:v>
      </x:c>
      <x:c r="E944" s="34" t="n">
        <x:f>SQRT(D944)</x:f>
        <x:v>0.9423998430775032</x:v>
      </x:c>
      <x:c r="F944" s="34" t="n">
        <x:f>-Assumptions!$B$7*E944</x:f>
        <x:v>1.5501097999245301</x:v>
      </x:c>
      <x:c r="G944" s="34" t="n">
        <x:f>-Assumptions!$B$8*E944</x:f>
        <x:v>2.192349871439771</x:v>
      </x:c>
      <x:c r="H944" s="34" t="n">
        <x:f>-Assumptions!$B$9*E944</x:f>
        <x:v>1.4709445447092266</x:v>
      </x:c>
      <x:c r="I944" s="34" t="n">
        <x:f>-Assumptions!$B$10*E944</x:f>
        <x:v>2.4563308576925844</x:v>
      </x:c>
      <x:c r="J944" s="36" t="n">
        <x:f>IF(C944&lt;-F944,1,0)</x:f>
        <x:v>0</x:v>
      </x:c>
      <x:c r="K944" s="36" t="n">
        <x:f>IF(C944&lt;-G944,1,0)</x:f>
        <x:v>0</x:v>
      </x:c>
      <x:c r="L944" s="36" t="n">
        <x:f>IF(C944&lt;-H944,1,0)</x:f>
        <x:v>0</x:v>
      </x:c>
      <x:c r="M944" s="36" t="n">
        <x:f>IF(C944&lt;-I944,1,0)</x:f>
        <x:v>0</x:v>
      </x:c>
      <x:c r="N944" s="34" t="n">
        <x:f>-F944</x:f>
        <x:v>-1.5501097999245301</x:v>
      </x:c>
      <x:c r="O944" s="34" t="n">
        <x:f>-H944</x:f>
        <x:v>-1.4709445447092266</x:v>
      </x:c>
      <x:c r="P944" s="34" t="n">
        <x:f>-G944</x:f>
        <x:v>-2.192349871439771</x:v>
      </x:c>
      <x:c r="Q944" s="34" t="n">
        <x:f>-I944</x:f>
        <x:v>-2.4563308576925844</x:v>
      </x:c>
      <x:c r="R944" s="36" t="n">
        <x:f>YEAR(A944)</x:f>
        <x:v>2024</x:v>
      </x:c>
    </x:row>
    <x:row r="945">
      <x:c r="A945" s="30" t="n">
        <x:v>45560</x:v>
      </x:c>
      <x:c r="B945" s="38" t="n">
        <x:v>5722.26</x:v>
      </x:c>
      <x:c r="C945" s="34" t="n">
        <x:f>(B945/B944-1)*100</x:f>
        <x:v>-0.18611774432969463</x:v>
      </x:c>
      <x:c r="D945" s="34" t="n">
        <x:f>Assumptions!$B$4*D944+(1-Assumptions!$B$4)*C944^2</x:f>
        <x:v>0.8386138424044682</x:v>
      </x:c>
      <x:c r="E945" s="34" t="n">
        <x:f>SQRT(D945)</x:f>
        <x:v>0.9157586157959248</x:v>
      </x:c>
      <x:c r="F945" s="34" t="n">
        <x:f>-Assumptions!$B$7*E945</x:f>
        <x:v>1.5062888806039871</x:v>
      </x:c>
      <x:c r="G945" s="34" t="n">
        <x:f>-Assumptions!$B$8*E945</x:f>
        <x:v>2.1303731089914324</x:v>
      </x:c>
      <x:c r="H945" s="34" t="n">
        <x:f>-Assumptions!$B$9*E945</x:f>
        <x:v>1.4293615921842933</x:v>
      </x:c>
      <x:c r="I945" s="34" t="n">
        <x:f>-Assumptions!$B$10*E945</x:f>
        <x:v>2.3868914693700622</x:v>
      </x:c>
      <x:c r="J945" s="36" t="n">
        <x:f>IF(C945&lt;-F945,1,0)</x:f>
        <x:v>0</x:v>
      </x:c>
      <x:c r="K945" s="36" t="n">
        <x:f>IF(C945&lt;-G945,1,0)</x:f>
        <x:v>0</x:v>
      </x:c>
      <x:c r="L945" s="36" t="n">
        <x:f>IF(C945&lt;-H945,1,0)</x:f>
        <x:v>0</x:v>
      </x:c>
      <x:c r="M945" s="36" t="n">
        <x:f>IF(C945&lt;-I945,1,0)</x:f>
        <x:v>0</x:v>
      </x:c>
      <x:c r="N945" s="34" t="n">
        <x:f>-F945</x:f>
        <x:v>-1.5062888806039871</x:v>
      </x:c>
      <x:c r="O945" s="34" t="n">
        <x:f>-H945</x:f>
        <x:v>-1.4293615921842933</x:v>
      </x:c>
      <x:c r="P945" s="34" t="n">
        <x:f>-G945</x:f>
        <x:v>-2.1303731089914324</x:v>
      </x:c>
      <x:c r="Q945" s="34" t="n">
        <x:f>-I945</x:f>
        <x:v>-2.3868914693700622</x:v>
      </x:c>
      <x:c r="R945" s="36" t="n">
        <x:f>YEAR(A945)</x:f>
        <x:v>2024</x:v>
      </x:c>
    </x:row>
    <x:row r="946">
      <x:c r="A946" s="30" t="n">
        <x:v>45561</x:v>
      </x:c>
      <x:c r="B946" s="38" t="n">
        <x:v>5745.37</x:v>
      </x:c>
      <x:c r="C946" s="34" t="n">
        <x:f>(B946/B945-1)*100</x:f>
        <x:v>0.4038614114003858</x:v>
      </x:c>
      <x:c r="D946" s="34" t="n">
        <x:f>Assumptions!$B$4*D945+(1-Assumptions!$B$4)*C945^2</x:f>
        <x:v>0.7903754007454625</x:v>
      </x:c>
      <x:c r="E946" s="34" t="n">
        <x:f>SQRT(D946)</x:f>
        <x:v>0.889030596068247</x:v>
      </x:c>
      <x:c r="F946" s="34" t="n">
        <x:f>-Assumptions!$B$7*E946</x:f>
        <x:v>1.4623252004136857</x:v>
      </x:c>
      <x:c r="G946" s="34" t="n">
        <x:f>-Assumptions!$B$8*E946</x:f>
        <x:v>2.0681944371206273</x:v>
      </x:c>
      <x:c r="H946" s="34" t="n">
        <x:f>-Assumptions!$B$9*E946</x:f>
        <x:v>1.3876431696929232</x:v>
      </x:c>
      <x:c r="I946" s="34" t="n">
        <x:f>-Assumptions!$B$10*E946</x:f>
        <x:v>2.317225859698784</x:v>
      </x:c>
      <x:c r="J946" s="36" t="n">
        <x:f>IF(C946&lt;-F946,1,0)</x:f>
        <x:v>0</x:v>
      </x:c>
      <x:c r="K946" s="36" t="n">
        <x:f>IF(C946&lt;-G946,1,0)</x:f>
        <x:v>0</x:v>
      </x:c>
      <x:c r="L946" s="36" t="n">
        <x:f>IF(C946&lt;-H946,1,0)</x:f>
        <x:v>0</x:v>
      </x:c>
      <x:c r="M946" s="36" t="n">
        <x:f>IF(C946&lt;-I946,1,0)</x:f>
        <x:v>0</x:v>
      </x:c>
      <x:c r="N946" s="34" t="n">
        <x:f>-F946</x:f>
        <x:v>-1.4623252004136857</x:v>
      </x:c>
      <x:c r="O946" s="34" t="n">
        <x:f>-H946</x:f>
        <x:v>-1.3876431696929232</x:v>
      </x:c>
      <x:c r="P946" s="34" t="n">
        <x:f>-G946</x:f>
        <x:v>-2.0681944371206273</x:v>
      </x:c>
      <x:c r="Q946" s="34" t="n">
        <x:f>-I946</x:f>
        <x:v>-2.317225859698784</x:v>
      </x:c>
      <x:c r="R946" s="36" t="n">
        <x:f>YEAR(A946)</x:f>
        <x:v>2024</x:v>
      </x:c>
    </x:row>
    <x:row r="947">
      <x:c r="A947" s="30" t="n">
        <x:v>45562</x:v>
      </x:c>
      <x:c r="B947" s="38" t="n">
        <x:v>5738.17</x:v>
      </x:c>
      <x:c r="C947" s="34" t="n">
        <x:f>(B947/B946-1)*100</x:f>
        <x:v>-0.12531829977877607</x:v>
      </x:c>
      <x:c r="D947" s="34" t="n">
        <x:f>Assumptions!$B$4*D946+(1-Assumptions!$B$4)*C946^2</x:f>
        <x:v>0.7527391190778334</x:v>
      </x:c>
      <x:c r="E947" s="34" t="n">
        <x:f>SQRT(D947)</x:f>
        <x:v>0.8676053936426591</x:v>
      </x:c>
      <x:c r="F947" s="34" t="n">
        <x:f>-Assumptions!$B$7*E947</x:f>
        <x:v>1.4270838784957882</x:v>
      </x:c>
      <x:c r="G947" s="34" t="n">
        <x:f>-Assumptions!$B$8*E947</x:f>
        <x:v>2.018351963006966</x:v>
      </x:c>
      <x:c r="H947" s="34" t="n">
        <x:f>-Assumptions!$B$9*E947</x:f>
        <x:v>1.3542016481787715</x:v>
      </x:c>
      <x:c r="I947" s="34" t="n">
        <x:f>-Assumptions!$B$10*E947</x:f>
        <x:v>2.261381850134413</x:v>
      </x:c>
      <x:c r="J947" s="36" t="n">
        <x:f>IF(C947&lt;-F947,1,0)</x:f>
        <x:v>0</x:v>
      </x:c>
      <x:c r="K947" s="36" t="n">
        <x:f>IF(C947&lt;-G947,1,0)</x:f>
        <x:v>0</x:v>
      </x:c>
      <x:c r="L947" s="36" t="n">
        <x:f>IF(C947&lt;-H947,1,0)</x:f>
        <x:v>0</x:v>
      </x:c>
      <x:c r="M947" s="36" t="n">
        <x:f>IF(C947&lt;-I947,1,0)</x:f>
        <x:v>0</x:v>
      </x:c>
      <x:c r="N947" s="34" t="n">
        <x:f>-F947</x:f>
        <x:v>-1.4270838784957882</x:v>
      </x:c>
      <x:c r="O947" s="34" t="n">
        <x:f>-H947</x:f>
        <x:v>-1.3542016481787715</x:v>
      </x:c>
      <x:c r="P947" s="34" t="n">
        <x:f>-G947</x:f>
        <x:v>-2.018351963006966</x:v>
      </x:c>
      <x:c r="Q947" s="34" t="n">
        <x:f>-I947</x:f>
        <x:v>-2.261381850134413</x:v>
      </x:c>
      <x:c r="R947" s="36" t="n">
        <x:f>YEAR(A947)</x:f>
        <x:v>2024</x:v>
      </x:c>
    </x:row>
    <x:row r="948">
      <x:c r="A948" s="30" t="n">
        <x:v>45565</x:v>
      </x:c>
      <x:c r="B948" s="38" t="n">
        <x:v>5762.48</x:v>
      </x:c>
      <x:c r="C948" s="34" t="n">
        <x:f>(B948/B947-1)*100</x:f>
        <x:v>0.42365423122701085</x:v>
      </x:c>
      <x:c r="D948" s="34" t="n">
        <x:f>Assumptions!$B$4*D947+(1-Assumptions!$B$4)*C947^2</x:f>
        <x:v>0.70851705250873</x:v>
      </x:c>
      <x:c r="E948" s="34" t="n">
        <x:f>SQRT(D948)</x:f>
        <x:v>0.8417345499079445</x:v>
      </x:c>
      <x:c r="F948" s="34" t="n">
        <x:f>-Assumptions!$B$7*E948</x:f>
        <x:v>1.384530127346448</x:v>
      </x:c>
      <x:c r="G948" s="34" t="n">
        <x:f>-Assumptions!$B$8*E948</x:f>
        <x:v>1.9581673806850703</x:v>
      </x:c>
      <x:c r="H948" s="34" t="n">
        <x:f>-Assumptions!$B$9*E948</x:f>
        <x:v>1.3138211486083002</x:v>
      </x:c>
      <x:c r="I948" s="34" t="n">
        <x:f>-Assumptions!$B$10*E948</x:f>
        <x:v>2.19395043846036</x:v>
      </x:c>
      <x:c r="J948" s="36" t="n">
        <x:f>IF(C948&lt;-F948,1,0)</x:f>
        <x:v>0</x:v>
      </x:c>
      <x:c r="K948" s="36" t="n">
        <x:f>IF(C948&lt;-G948,1,0)</x:f>
        <x:v>0</x:v>
      </x:c>
      <x:c r="L948" s="36" t="n">
        <x:f>IF(C948&lt;-H948,1,0)</x:f>
        <x:v>0</x:v>
      </x:c>
      <x:c r="M948" s="36" t="n">
        <x:f>IF(C948&lt;-I948,1,0)</x:f>
        <x:v>0</x:v>
      </x:c>
      <x:c r="N948" s="34" t="n">
        <x:f>-F948</x:f>
        <x:v>-1.384530127346448</x:v>
      </x:c>
      <x:c r="O948" s="34" t="n">
        <x:f>-H948</x:f>
        <x:v>-1.3138211486083002</x:v>
      </x:c>
      <x:c r="P948" s="34" t="n">
        <x:f>-G948</x:f>
        <x:v>-1.9581673806850703</x:v>
      </x:c>
      <x:c r="Q948" s="34" t="n">
        <x:f>-I948</x:f>
        <x:v>-2.19395043846036</x:v>
      </x:c>
      <x:c r="R948" s="36" t="n">
        <x:f>YEAR(A948)</x:f>
        <x:v>2024</x:v>
      </x:c>
    </x:row>
    <x:row r="949">
      <x:c r="A949" s="30" t="n">
        <x:v>45566</x:v>
      </x:c>
      <x:c r="B949" s="38" t="n">
        <x:v>5708.75</x:v>
      </x:c>
      <x:c r="C949" s="34" t="n">
        <x:f>(B949/B948-1)*100</x:f>
        <x:v>-0.9324110452443968</x:v>
      </x:c>
      <x:c r="D949" s="34" t="n">
        <x:f>Assumptions!$B$4*D948+(1-Assumptions!$B$4)*C948^2</x:f>
        <x:v>0.6767750038163992</x:v>
      </x:c>
      <x:c r="E949" s="34" t="n">
        <x:f>SQRT(D949)</x:f>
        <x:v>0.8226633599574004</x:v>
      </x:c>
      <x:c r="F949" s="34" t="n">
        <x:f>-Assumptions!$B$7*E949</x:f>
        <x:v>1.353160811386015</x:v>
      </x:c>
      <x:c r="G949" s="34" t="n">
        <x:f>-Assumptions!$B$8*E949</x:f>
        <x:v>1.9138011584881929</x:v>
      </x:c>
      <x:c r="H949" s="34" t="n">
        <x:f>-Assumptions!$B$9*E949</x:f>
        <x:v>1.284053886840453</x:v>
      </x:c>
      <x:c r="I949" s="34" t="n">
        <x:f>-Assumptions!$B$10*E949</x:f>
        <x:v>2.1442420766513632</x:v>
      </x:c>
      <x:c r="J949" s="36" t="n">
        <x:f>IF(C949&lt;-F949,1,0)</x:f>
        <x:v>0</x:v>
      </x:c>
      <x:c r="K949" s="36" t="n">
        <x:f>IF(C949&lt;-G949,1,0)</x:f>
        <x:v>0</x:v>
      </x:c>
      <x:c r="L949" s="36" t="n">
        <x:f>IF(C949&lt;-H949,1,0)</x:f>
        <x:v>0</x:v>
      </x:c>
      <x:c r="M949" s="36" t="n">
        <x:f>IF(C949&lt;-I949,1,0)</x:f>
        <x:v>0</x:v>
      </x:c>
      <x:c r="N949" s="34" t="n">
        <x:f>-F949</x:f>
        <x:v>-1.353160811386015</x:v>
      </x:c>
      <x:c r="O949" s="34" t="n">
        <x:f>-H949</x:f>
        <x:v>-1.284053886840453</x:v>
      </x:c>
      <x:c r="P949" s="34" t="n">
        <x:f>-G949</x:f>
        <x:v>-1.9138011584881929</x:v>
      </x:c>
      <x:c r="Q949" s="34" t="n">
        <x:f>-I949</x:f>
        <x:v>-2.1442420766513632</x:v>
      </x:c>
      <x:c r="R949" s="36" t="n">
        <x:f>YEAR(A949)</x:f>
        <x:v>2024</x:v>
      </x:c>
    </x:row>
    <x:row r="950">
      <x:c r="A950" s="30" t="n">
        <x:v>45567</x:v>
      </x:c>
      <x:c r="B950" s="38" t="n">
        <x:v>5709.54</x:v>
      </x:c>
      <x:c r="C950" s="34" t="n">
        <x:f>(B950/B949-1)*100</x:f>
        <x:v>0.013838405955768351</x:v>
      </x:c>
      <x:c r="D950" s="34" t="n">
        <x:f>Assumptions!$B$4*D949+(1-Assumptions!$B$4)*C949^2</x:f>
        <x:v>0.6883319250250401</x:v>
      </x:c>
      <x:c r="E950" s="34" t="n">
        <x:f>SQRT(D950)</x:f>
        <x:v>0.8296577155821792</x:v>
      </x:c>
      <x:c r="F950" s="34" t="n">
        <x:f>-Assumptions!$B$7*E950</x:f>
        <x:v>1.364665502603621</x:v>
      </x:c>
      <x:c r="G950" s="34" t="n">
        <x:f>-Assumptions!$B$8*E950</x:f>
        <x:v>1.9300724628261827</x:v>
      </x:c>
      <x:c r="H950" s="34" t="n">
        <x:f>-Assumptions!$B$9*E950</x:f>
        <x:v>1.2949710249592659</x:v>
      </x:c>
      <x:c r="I950" s="34" t="n">
        <x:f>-Assumptions!$B$10*E950</x:f>
        <x:v>2.1624726097706337</x:v>
      </x:c>
      <x:c r="J950" s="36" t="n">
        <x:f>IF(C950&lt;-F950,1,0)</x:f>
        <x:v>0</x:v>
      </x:c>
      <x:c r="K950" s="36" t="n">
        <x:f>IF(C950&lt;-G950,1,0)</x:f>
        <x:v>0</x:v>
      </x:c>
      <x:c r="L950" s="36" t="n">
        <x:f>IF(C950&lt;-H950,1,0)</x:f>
        <x:v>0</x:v>
      </x:c>
      <x:c r="M950" s="36" t="n">
        <x:f>IF(C950&lt;-I950,1,0)</x:f>
        <x:v>0</x:v>
      </x:c>
      <x:c r="N950" s="34" t="n">
        <x:f>-F950</x:f>
        <x:v>-1.364665502603621</x:v>
      </x:c>
      <x:c r="O950" s="34" t="n">
        <x:f>-H950</x:f>
        <x:v>-1.2949710249592659</x:v>
      </x:c>
      <x:c r="P950" s="34" t="n">
        <x:f>-G950</x:f>
        <x:v>-1.9300724628261827</x:v>
      </x:c>
      <x:c r="Q950" s="34" t="n">
        <x:f>-I950</x:f>
        <x:v>-2.1624726097706337</x:v>
      </x:c>
      <x:c r="R950" s="36" t="n">
        <x:f>YEAR(A950)</x:f>
        <x:v>2024</x:v>
      </x:c>
    </x:row>
    <x:row r="951">
      <x:c r="A951" s="30" t="n">
        <x:v>45568</x:v>
      </x:c>
      <x:c r="B951" s="38" t="n">
        <x:v>5699.94</x:v>
      </x:c>
      <x:c r="C951" s="34" t="n">
        <x:f>(B951/B950-1)*100</x:f>
        <x:v>-0.1681396399709989</x:v>
      </x:c>
      <x:c r="D951" s="34" t="n">
        <x:f>Assumptions!$B$4*D950+(1-Assumptions!$B$4)*C950^2</x:f>
        <x:v>0.6470434996123015</x:v>
      </x:c>
      <x:c r="E951" s="34" t="n">
        <x:f>SQRT(D951)</x:f>
        <x:v>0.8043901414191383</x:v>
      </x:c>
      <x:c r="F951" s="34" t="n">
        <x:f>-Assumptions!$B$7*E951</x:f>
        <x:v>1.323104041597278</x:v>
      </x:c>
      <x:c r="G951" s="34" t="n">
        <x:f>-Assumptions!$B$8*E951</x:f>
        <x:v>1.8712912953898233</x:v>
      </x:c>
      <x:c r="H951" s="34" t="n">
        <x:f>-Assumptions!$B$9*E951</x:f>
        <x:v>1.2555321385394766</x:v>
      </x:c>
      <x:c r="I951" s="34" t="n">
        <x:f>-Assumptions!$B$10*E951</x:f>
        <x:v>2.0966135982569734</x:v>
      </x:c>
      <x:c r="J951" s="36" t="n">
        <x:f>IF(C951&lt;-F951,1,0)</x:f>
        <x:v>0</x:v>
      </x:c>
      <x:c r="K951" s="36" t="n">
        <x:f>IF(C951&lt;-G951,1,0)</x:f>
        <x:v>0</x:v>
      </x:c>
      <x:c r="L951" s="36" t="n">
        <x:f>IF(C951&lt;-H951,1,0)</x:f>
        <x:v>0</x:v>
      </x:c>
      <x:c r="M951" s="36" t="n">
        <x:f>IF(C951&lt;-I951,1,0)</x:f>
        <x:v>0</x:v>
      </x:c>
      <x:c r="N951" s="34" t="n">
        <x:f>-F951</x:f>
        <x:v>-1.323104041597278</x:v>
      </x:c>
      <x:c r="O951" s="34" t="n">
        <x:f>-H951</x:f>
        <x:v>-1.2555321385394766</x:v>
      </x:c>
      <x:c r="P951" s="34" t="n">
        <x:f>-G951</x:f>
        <x:v>-1.8712912953898233</x:v>
      </x:c>
      <x:c r="Q951" s="34" t="n">
        <x:f>-I951</x:f>
        <x:v>-2.0966135982569734</x:v>
      </x:c>
      <x:c r="R951" s="36" t="n">
        <x:f>YEAR(A951)</x:f>
        <x:v>2024</x:v>
      </x:c>
    </x:row>
    <x:row r="952">
      <x:c r="A952" s="30" t="n">
        <x:v>45569</x:v>
      </x:c>
      <x:c r="B952" s="38" t="n">
        <x:v>5751.07</x:v>
      </x:c>
      <x:c r="C952" s="34" t="n">
        <x:f>(B952/B951-1)*100</x:f>
        <x:v>0.8970269862489832</x:v>
      </x:c>
      <x:c r="D952" s="34" t="n">
        <x:f>Assumptions!$B$4*D951+(1-Assumptions!$B$4)*C951^2</x:f>
        <x:v>0.6099171459473379</x:v>
      </x:c>
      <x:c r="E952" s="34" t="n">
        <x:f>SQRT(D952)</x:f>
        <x:v>0.7809719239174594</x:v>
      </x:c>
      <x:c r="F952" s="34" t="n">
        <x:f>-Assumptions!$B$7*E952</x:f>
        <x:v>1.2845845016029027</x:v>
      </x:c>
      <x:c r="G952" s="34" t="n">
        <x:f>-Assumptions!$B$8*E952</x:f>
        <x:v>1.8168123748909666</x:v>
      </x:c>
      <x:c r="H952" s="34" t="n">
        <x:f>-Assumptions!$B$9*E952</x:f>
        <x:v>1.2189798199732735</x:v>
      </x:c>
      <x:c r="I952" s="34" t="n">
        <x:f>-Assumptions!$B$10*E952</x:f>
        <x:v>2.0355748675058267</x:v>
      </x:c>
      <x:c r="J952" s="36" t="n">
        <x:f>IF(C952&lt;-F952,1,0)</x:f>
        <x:v>0</x:v>
      </x:c>
      <x:c r="K952" s="36" t="n">
        <x:f>IF(C952&lt;-G952,1,0)</x:f>
        <x:v>0</x:v>
      </x:c>
      <x:c r="L952" s="36" t="n">
        <x:f>IF(C952&lt;-H952,1,0)</x:f>
        <x:v>0</x:v>
      </x:c>
      <x:c r="M952" s="36" t="n">
        <x:f>IF(C952&lt;-I952,1,0)</x:f>
        <x:v>0</x:v>
      </x:c>
      <x:c r="N952" s="34" t="n">
        <x:f>-F952</x:f>
        <x:v>-1.2845845016029027</x:v>
      </x:c>
      <x:c r="O952" s="34" t="n">
        <x:f>-H952</x:f>
        <x:v>-1.2189798199732735</x:v>
      </x:c>
      <x:c r="P952" s="34" t="n">
        <x:f>-G952</x:f>
        <x:v>-1.8168123748909666</x:v>
      </x:c>
      <x:c r="Q952" s="34" t="n">
        <x:f>-I952</x:f>
        <x:v>-2.0355748675058267</x:v>
      </x:c>
      <x:c r="R952" s="36" t="n">
        <x:f>YEAR(A952)</x:f>
        <x:v>2024</x:v>
      </x:c>
    </x:row>
    <x:row r="953">
      <x:c r="A953" s="30" t="n">
        <x:v>45572</x:v>
      </x:c>
      <x:c r="B953" s="38" t="n">
        <x:v>5695.94</x:v>
      </x:c>
      <x:c r="C953" s="34" t="n">
        <x:f>(B953/B952-1)*100</x:f>
        <x:v>-0.9586042249529192</x:v>
      </x:c>
      <x:c r="D953" s="34" t="n">
        <x:f>Assumptions!$B$4*D952+(1-Assumptions!$B$4)*C952^2</x:f>
        <x:v>0.6216015620340337</x:v>
      </x:c>
      <x:c r="E953" s="34" t="n">
        <x:f>SQRT(D953)</x:f>
        <x:v>0.7884171243916723</x:v>
      </x:c>
      <x:c r="F953" s="34" t="n">
        <x:f>-Assumptions!$B$7*E953</x:f>
        <x:v>1.2968307666062928</x:v>
      </x:c>
      <x:c r="G953" s="34" t="n">
        <x:f>-Assumptions!$B$8*E953</x:f>
        <x:v>1.8341325011859597</x:v>
      </x:c>
      <x:c r="H953" s="34" t="n">
        <x:f>-Assumptions!$B$9*E953</x:f>
        <x:v>1.230600659155554</x:v>
      </x:c>
      <x:c r="I953" s="34" t="n">
        <x:f>-Assumptions!$B$10*E953</x:f>
        <x:v>2.0549805113000743</x:v>
      </x:c>
      <x:c r="J953" s="36" t="n">
        <x:f>IF(C953&lt;-F953,1,0)</x:f>
        <x:v>0</x:v>
      </x:c>
      <x:c r="K953" s="36" t="n">
        <x:f>IF(C953&lt;-G953,1,0)</x:f>
        <x:v>0</x:v>
      </x:c>
      <x:c r="L953" s="36" t="n">
        <x:f>IF(C953&lt;-H953,1,0)</x:f>
        <x:v>0</x:v>
      </x:c>
      <x:c r="M953" s="36" t="n">
        <x:f>IF(C953&lt;-I953,1,0)</x:f>
        <x:v>0</x:v>
      </x:c>
      <x:c r="N953" s="34" t="n">
        <x:f>-F953</x:f>
        <x:v>-1.2968307666062928</x:v>
      </x:c>
      <x:c r="O953" s="34" t="n">
        <x:f>-H953</x:f>
        <x:v>-1.230600659155554</x:v>
      </x:c>
      <x:c r="P953" s="34" t="n">
        <x:f>-G953</x:f>
        <x:v>-1.8341325011859597</x:v>
      </x:c>
      <x:c r="Q953" s="34" t="n">
        <x:f>-I953</x:f>
        <x:v>-2.0549805113000743</x:v>
      </x:c>
      <x:c r="R953" s="36" t="n">
        <x:f>YEAR(A953)</x:f>
        <x:v>2024</x:v>
      </x:c>
    </x:row>
    <x:row r="954">
      <x:c r="A954" s="30" t="n">
        <x:v>45573</x:v>
      </x:c>
      <x:c r="B954" s="38" t="n">
        <x:v>5751.13</x:v>
      </x:c>
      <x:c r="C954" s="34" t="n">
        <x:f>(B954/B953-1)*100</x:f>
        <x:v>0.968935768284096</x:v>
      </x:c>
      <x:c r="D954" s="34" t="n">
        <x:f>Assumptions!$B$4*D953+(1-Assumptions!$B$4)*C953^2</x:f>
        <x:v>0.639440791917847</x:v>
      </x:c>
      <x:c r="E954" s="34" t="n">
        <x:f>SQRT(D954)</x:f>
        <x:v>0.7996504185691689</x:v>
      </x:c>
      <x:c r="F954" s="34" t="n">
        <x:f>-Assumptions!$B$7*E954</x:f>
        <x:v>1.3153078912767608</x:v>
      </x:c>
      <x:c r="G954" s="34" t="n">
        <x:f>-Assumptions!$B$8*E954</x:f>
        <x:v>1.860265051214254</x:v>
      </x:c>
      <x:c r="H954" s="34" t="n">
        <x:f>-Assumptions!$B$9*E954</x:f>
        <x:v>1.2481341433882585</x:v>
      </x:c>
      <x:c r="I954" s="34" t="n">
        <x:f>-Assumptions!$B$10*E954</x:f>
        <x:v>2.0842596833249933</x:v>
      </x:c>
      <x:c r="J954" s="36" t="n">
        <x:f>IF(C954&lt;-F954,1,0)</x:f>
        <x:v>0</x:v>
      </x:c>
      <x:c r="K954" s="36" t="n">
        <x:f>IF(C954&lt;-G954,1,0)</x:f>
        <x:v>0</x:v>
      </x:c>
      <x:c r="L954" s="36" t="n">
        <x:f>IF(C954&lt;-H954,1,0)</x:f>
        <x:v>0</x:v>
      </x:c>
      <x:c r="M954" s="36" t="n">
        <x:f>IF(C954&lt;-I954,1,0)</x:f>
        <x:v>0</x:v>
      </x:c>
      <x:c r="N954" s="34" t="n">
        <x:f>-F954</x:f>
        <x:v>-1.3153078912767608</x:v>
      </x:c>
      <x:c r="O954" s="34" t="n">
        <x:f>-H954</x:f>
        <x:v>-1.2481341433882585</x:v>
      </x:c>
      <x:c r="P954" s="34" t="n">
        <x:f>-G954</x:f>
        <x:v>-1.860265051214254</x:v>
      </x:c>
      <x:c r="Q954" s="34" t="n">
        <x:f>-I954</x:f>
        <x:v>-2.0842596833249933</x:v>
      </x:c>
      <x:c r="R954" s="36" t="n">
        <x:f>YEAR(A954)</x:f>
        <x:v>2024</x:v>
      </x:c>
    </x:row>
    <x:row r="955">
      <x:c r="A955" s="30" t="n">
        <x:v>45574</x:v>
      </x:c>
      <x:c r="B955" s="38" t="n">
        <x:v>5792.04</x:v>
      </x:c>
      <x:c r="C955" s="34" t="n">
        <x:f>(B955/B954-1)*100</x:f>
        <x:v>0.7113384673968381</x:v>
      </x:c>
      <x:c r="D955" s="34" t="n">
        <x:f>Assumptions!$B$4*D954+(1-Assumptions!$B$4)*C954^2</x:f>
        <x:v>0.6574045357863936</x:v>
      </x:c>
      <x:c r="E955" s="34" t="n">
        <x:f>SQRT(D955)</x:f>
        <x:v>0.8108048691185775</x:v>
      </x:c>
      <x:c r="F955" s="34" t="n">
        <x:f>-Assumptions!$B$7*E955</x:f>
        <x:v>1.3336553297196065</x:v>
      </x:c>
      <x:c r="G955" s="34" t="n">
        <x:f>-Assumptions!$B$8*E955</x:f>
        <x:v>1.8862141835359645</x:v>
      </x:c>
      <x:c r="H955" s="34" t="n">
        <x:f>-Assumptions!$B$9*E955</x:f>
        <x:v>1.2655445645650074</x:v>
      </x:c>
      <x:c r="I955" s="34" t="n">
        <x:f>-Assumptions!$B$10*E955</x:f>
        <x:v>2.1133333523057143</x:v>
      </x:c>
      <x:c r="J955" s="36" t="n">
        <x:f>IF(C955&lt;-F955,1,0)</x:f>
        <x:v>0</x:v>
      </x:c>
      <x:c r="K955" s="36" t="n">
        <x:f>IF(C955&lt;-G955,1,0)</x:f>
        <x:v>0</x:v>
      </x:c>
      <x:c r="L955" s="36" t="n">
        <x:f>IF(C955&lt;-H955,1,0)</x:f>
        <x:v>0</x:v>
      </x:c>
      <x:c r="M955" s="36" t="n">
        <x:f>IF(C955&lt;-I955,1,0)</x:f>
        <x:v>0</x:v>
      </x:c>
      <x:c r="N955" s="34" t="n">
        <x:f>-F955</x:f>
        <x:v>-1.3336553297196065</x:v>
      </x:c>
      <x:c r="O955" s="34" t="n">
        <x:f>-H955</x:f>
        <x:v>-1.2655445645650074</x:v>
      </x:c>
      <x:c r="P955" s="34" t="n">
        <x:f>-G955</x:f>
        <x:v>-1.8862141835359645</x:v>
      </x:c>
      <x:c r="Q955" s="34" t="n">
        <x:f>-I955</x:f>
        <x:v>-2.1133333523057143</x:v>
      </x:c>
      <x:c r="R955" s="36" t="n">
        <x:f>YEAR(A955)</x:f>
        <x:v>2024</x:v>
      </x:c>
    </x:row>
    <x:row r="956">
      <x:c r="A956" s="30" t="n">
        <x:v>45575</x:v>
      </x:c>
      <x:c r="B956" s="38" t="n">
        <x:v>5780.05</x:v>
      </x:c>
      <x:c r="C956" s="34" t="n">
        <x:f>(B956/B955-1)*100</x:f>
        <x:v>-0.20700823889336917</x:v>
      </x:c>
      <x:c r="D956" s="34" t="n">
        <x:f>Assumptions!$B$4*D955+(1-Assumptions!$B$4)*C955^2</x:f>
        <x:v>0.6483204085511189</x:v>
      </x:c>
      <x:c r="E956" s="34" t="n">
        <x:f>SQRT(D956)</x:f>
        <x:v>0.805183462666192</x:v>
      </x:c>
      <x:c r="F956" s="34" t="n">
        <x:f>-Assumptions!$B$7*E956</x:f>
        <x:v>1.3244089389278317</x:v>
      </x:c>
      <x:c r="G956" s="34" t="n">
        <x:f>-Assumptions!$B$8*E956</x:f>
        <x:v>1.8731368365863381</x:v>
      </x:c>
      <x:c r="H956" s="34" t="n">
        <x:f>-Assumptions!$B$9*E956</x:f>
        <x:v>1.2567703937971864</x:v>
      </x:c>
      <x:c r="I956" s="34" t="n">
        <x:f>-Assumptions!$B$10*E956</x:f>
        <x:v>2.098681361185326</x:v>
      </x:c>
      <x:c r="J956" s="36" t="n">
        <x:f>IF(C956&lt;-F956,1,0)</x:f>
        <x:v>0</x:v>
      </x:c>
      <x:c r="K956" s="36" t="n">
        <x:f>IF(C956&lt;-G956,1,0)</x:f>
        <x:v>0</x:v>
      </x:c>
      <x:c r="L956" s="36" t="n">
        <x:f>IF(C956&lt;-H956,1,0)</x:f>
        <x:v>0</x:v>
      </x:c>
      <x:c r="M956" s="36" t="n">
        <x:f>IF(C956&lt;-I956,1,0)</x:f>
        <x:v>0</x:v>
      </x:c>
      <x:c r="N956" s="34" t="n">
        <x:f>-F956</x:f>
        <x:v>-1.3244089389278317</x:v>
      </x:c>
      <x:c r="O956" s="34" t="n">
        <x:f>-H956</x:f>
        <x:v>-1.2567703937971864</x:v>
      </x:c>
      <x:c r="P956" s="34" t="n">
        <x:f>-G956</x:f>
        <x:v>-1.8731368365863381</x:v>
      </x:c>
      <x:c r="Q956" s="34" t="n">
        <x:f>-I956</x:f>
        <x:v>-2.098681361185326</x:v>
      </x:c>
      <x:c r="R956" s="36" t="n">
        <x:f>YEAR(A956)</x:f>
        <x:v>2024</x:v>
      </x:c>
    </x:row>
    <x:row r="957">
      <x:c r="A957" s="30" t="n">
        <x:v>45576</x:v>
      </x:c>
      <x:c r="B957" s="38" t="n">
        <x:v>5815.03</x:v>
      </x:c>
      <x:c r="C957" s="34" t="n">
        <x:f>(B957/B956-1)*100</x:f>
        <x:v>0.605185076253667</x:v>
      </x:c>
      <x:c r="D957" s="34" t="n">
        <x:f>Assumptions!$B$4*D956+(1-Assumptions!$B$4)*C956^2</x:f>
        <x:v>0.6119923286962359</x:v>
      </x:c>
      <x:c r="E957" s="34" t="n">
        <x:f>SQRT(D957)</x:f>
        <x:v>0.7822993855911149</x:v>
      </x:c>
      <x:c r="F957" s="34" t="n">
        <x:f>-Assumptions!$B$7*E957</x:f>
        <x:v>1.2867679817514541</x:v>
      </x:c>
      <x:c r="G957" s="34" t="n">
        <x:f>-Assumptions!$B$8*E957</x:f>
        <x:v>1.8199005125333456</x:v>
      </x:c>
      <x:c r="H957" s="34" t="n">
        <x:f>-Assumptions!$B$9*E957</x:f>
        <x:v>1.2210517881739449</x:v>
      </x:c>
      <x:c r="I957" s="34" t="n">
        <x:f>-Assumptions!$B$10*E957</x:f>
        <x:v>2.0390348479964393</x:v>
      </x:c>
      <x:c r="J957" s="36" t="n">
        <x:f>IF(C957&lt;-F957,1,0)</x:f>
        <x:v>0</x:v>
      </x:c>
      <x:c r="K957" s="36" t="n">
        <x:f>IF(C957&lt;-G957,1,0)</x:f>
        <x:v>0</x:v>
      </x:c>
      <x:c r="L957" s="36" t="n">
        <x:f>IF(C957&lt;-H957,1,0)</x:f>
        <x:v>0</x:v>
      </x:c>
      <x:c r="M957" s="36" t="n">
        <x:f>IF(C957&lt;-I957,1,0)</x:f>
        <x:v>0</x:v>
      </x:c>
      <x:c r="N957" s="34" t="n">
        <x:f>-F957</x:f>
        <x:v>-1.2867679817514541</x:v>
      </x:c>
      <x:c r="O957" s="34" t="n">
        <x:f>-H957</x:f>
        <x:v>-1.2210517881739449</x:v>
      </x:c>
      <x:c r="P957" s="34" t="n">
        <x:f>-G957</x:f>
        <x:v>-1.8199005125333456</x:v>
      </x:c>
      <x:c r="Q957" s="34" t="n">
        <x:f>-I957</x:f>
        <x:v>-2.0390348479964393</x:v>
      </x:c>
      <x:c r="R957" s="36" t="n">
        <x:f>YEAR(A957)</x:f>
        <x:v>2024</x:v>
      </x:c>
    </x:row>
    <x:row r="958">
      <x:c r="A958" s="30" t="n">
        <x:v>45579</x:v>
      </x:c>
      <x:c r="B958" s="38" t="n">
        <x:v>5859.85</x:v>
      </x:c>
      <x:c r="C958" s="34" t="n">
        <x:f>(B958/B957-1)*100</x:f>
        <x:v>0.7707612858403268</x:v>
      </x:c>
      <x:c r="D958" s="34" t="n">
        <x:f>Assumptions!$B$4*D957+(1-Assumptions!$B$4)*C957^2</x:f>
        <x:v>0.5972477275656711</x:v>
      </x:c>
      <x:c r="E958" s="34" t="n">
        <x:f>SQRT(D958)</x:f>
        <x:v>0.7728180429866213</x:v>
      </x:c>
      <x:c r="F958" s="34" t="n">
        <x:f>-Assumptions!$B$7*E958</x:f>
        <x:v>1.2711725609800832</x:v>
      </x:c>
      <x:c r="G958" s="34" t="n">
        <x:f>-Assumptions!$B$8*E958</x:f>
        <x:v>1.797843611322329</x:v>
      </x:c>
      <x:c r="H958" s="34" t="n">
        <x:f>-Assumptions!$B$9*E958</x:f>
        <x:v>1.206252837088538</x:v>
      </x:c>
      <x:c r="I958" s="34" t="n">
        <x:f>-Assumptions!$B$10*E958</x:f>
        <x:v>2.0143220739198653</x:v>
      </x:c>
      <x:c r="J958" s="36" t="n">
        <x:f>IF(C958&lt;-F958,1,0)</x:f>
        <x:v>0</x:v>
      </x:c>
      <x:c r="K958" s="36" t="n">
        <x:f>IF(C958&lt;-G958,1,0)</x:f>
        <x:v>0</x:v>
      </x:c>
      <x:c r="L958" s="36" t="n">
        <x:f>IF(C958&lt;-H958,1,0)</x:f>
        <x:v>0</x:v>
      </x:c>
      <x:c r="M958" s="36" t="n">
        <x:f>IF(C958&lt;-I958,1,0)</x:f>
        <x:v>0</x:v>
      </x:c>
      <x:c r="N958" s="34" t="n">
        <x:f>-F958</x:f>
        <x:v>-1.2711725609800832</x:v>
      </x:c>
      <x:c r="O958" s="34" t="n">
        <x:f>-H958</x:f>
        <x:v>-1.206252837088538</x:v>
      </x:c>
      <x:c r="P958" s="34" t="n">
        <x:f>-G958</x:f>
        <x:v>-1.797843611322329</x:v>
      </x:c>
      <x:c r="Q958" s="34" t="n">
        <x:f>-I958</x:f>
        <x:v>-2.0143220739198653</x:v>
      </x:c>
      <x:c r="R958" s="36" t="n">
        <x:f>YEAR(A958)</x:f>
        <x:v>2024</x:v>
      </x:c>
    </x:row>
    <x:row r="959">
      <x:c r="A959" s="30" t="n">
        <x:v>45580</x:v>
      </x:c>
      <x:c r="B959" s="38" t="n">
        <x:v>5815.26</x:v>
      </x:c>
      <x:c r="C959" s="34" t="n">
        <x:f>(B959/B958-1)*100</x:f>
        <x:v>-0.7609409797179167</x:v>
      </x:c>
      <x:c r="D959" s="34" t="n">
        <x:f>Assumptions!$B$4*D958+(1-Assumptions!$B$4)*C958^2</x:f>
        <x:v>0.5970572414967449</x:v>
      </x:c>
      <x:c r="E959" s="34" t="n">
        <x:f>SQRT(D959)</x:f>
        <x:v>0.7726947919435881</x:v>
      </x:c>
      <x:c r="F959" s="34" t="n">
        <x:f>-Assumptions!$B$7*E959</x:f>
        <x:v>1.2709698310549247</x:v>
      </x:c>
      <x:c r="G959" s="34" t="n">
        <x:f>-Assumptions!$B$8*E959</x:f>
        <x:v>1.7975568865203957</x:v>
      </x:c>
      <x:c r="H959" s="34" t="n">
        <x:f>-Assumptions!$B$9*E959</x:f>
        <x:v>1.2060604607307626</x:v>
      </x:c>
      <x:c r="I959" s="34" t="n">
        <x:f>-Assumptions!$B$10*E959</x:f>
        <x:v>2.0140008245664522</x:v>
      </x:c>
      <x:c r="J959" s="36" t="n">
        <x:f>IF(C959&lt;-F959,1,0)</x:f>
        <x:v>0</x:v>
      </x:c>
      <x:c r="K959" s="36" t="n">
        <x:f>IF(C959&lt;-G959,1,0)</x:f>
        <x:v>0</x:v>
      </x:c>
      <x:c r="L959" s="36" t="n">
        <x:f>IF(C959&lt;-H959,1,0)</x:f>
        <x:v>0</x:v>
      </x:c>
      <x:c r="M959" s="36" t="n">
        <x:f>IF(C959&lt;-I959,1,0)</x:f>
        <x:v>0</x:v>
      </x:c>
      <x:c r="N959" s="34" t="n">
        <x:f>-F959</x:f>
        <x:v>-1.2709698310549247</x:v>
      </x:c>
      <x:c r="O959" s="34" t="n">
        <x:f>-H959</x:f>
        <x:v>-1.2060604607307626</x:v>
      </x:c>
      <x:c r="P959" s="34" t="n">
        <x:f>-G959</x:f>
        <x:v>-1.7975568865203957</x:v>
      </x:c>
      <x:c r="Q959" s="34" t="n">
        <x:f>-I959</x:f>
        <x:v>-2.0140008245664522</x:v>
      </x:c>
      <x:c r="R959" s="36" t="n">
        <x:f>YEAR(A959)</x:f>
        <x:v>2024</x:v>
      </x:c>
    </x:row>
    <x:row r="960">
      <x:c r="A960" s="30" t="n">
        <x:v>45581</x:v>
      </x:c>
      <x:c r="B960" s="38" t="n">
        <x:v>5842.47</x:v>
      </x:c>
      <x:c r="C960" s="34" t="n">
        <x:f>(B960/B959-1)*100</x:f>
        <x:v>0.4679068519722218</x:v>
      </x:c>
      <x:c r="D960" s="34" t="n">
        <x:f>Assumptions!$B$4*D959+(1-Assumptions!$B$4)*C959^2</x:f>
        <x:v>0.595975677483784</x:v>
      </x:c>
      <x:c r="E960" s="34" t="n">
        <x:f>SQRT(D960)</x:f>
        <x:v>0.7719946097504723</x:v>
      </x:c>
      <x:c r="F960" s="34" t="n">
        <x:f>-Assumptions!$B$7*E960</x:f>
        <x:v>1.2698181338350512</x:v>
      </x:c>
      <x:c r="G960" s="34" t="n">
        <x:f>-Assumptions!$B$8*E960</x:f>
        <x:v>1.7959280191639995</x:v>
      </x:c>
      <x:c r="H960" s="34" t="n">
        <x:f>-Assumptions!$B$9*E960</x:f>
        <x:v>1.2049675815406484</x:v>
      </x:c>
      <x:c r="I960" s="34" t="n">
        <x:f>-Assumptions!$B$10*E960</x:f>
        <x:v>2.0121758251889683</x:v>
      </x:c>
      <x:c r="J960" s="36" t="n">
        <x:f>IF(C960&lt;-F960,1,0)</x:f>
        <x:v>0</x:v>
      </x:c>
      <x:c r="K960" s="36" t="n">
        <x:f>IF(C960&lt;-G960,1,0)</x:f>
        <x:v>0</x:v>
      </x:c>
      <x:c r="L960" s="36" t="n">
        <x:f>IF(C960&lt;-H960,1,0)</x:f>
        <x:v>0</x:v>
      </x:c>
      <x:c r="M960" s="36" t="n">
        <x:f>IF(C960&lt;-I960,1,0)</x:f>
        <x:v>0</x:v>
      </x:c>
      <x:c r="N960" s="34" t="n">
        <x:f>-F960</x:f>
        <x:v>-1.2698181338350512</x:v>
      </x:c>
      <x:c r="O960" s="34" t="n">
        <x:f>-H960</x:f>
        <x:v>-1.2049675815406484</x:v>
      </x:c>
      <x:c r="P960" s="34" t="n">
        <x:f>-G960</x:f>
        <x:v>-1.7959280191639995</x:v>
      </x:c>
      <x:c r="Q960" s="34" t="n">
        <x:f>-I960</x:f>
        <x:v>-2.0121758251889683</x:v>
      </x:c>
      <x:c r="R960" s="36" t="n">
        <x:f>YEAR(A960)</x:f>
        <x:v>2024</x:v>
      </x:c>
    </x:row>
    <x:row r="961">
      <x:c r="A961" s="30" t="n">
        <x:v>45582</x:v>
      </x:c>
      <x:c r="B961" s="38" t="n">
        <x:v>5841.47</x:v>
      </x:c>
      <x:c r="C961" s="34" t="n">
        <x:f>(B961/B960-1)*100</x:f>
        <x:v>-0.017116048520571248</x:v>
      </x:c>
      <x:c r="D961" s="34" t="n">
        <x:f>Assumptions!$B$4*D960+(1-Assumptions!$B$4)*C960^2</x:f>
        <x:v>0.5733533461621102</x:v>
      </x:c>
      <x:c r="E961" s="34" t="n">
        <x:f>SQRT(D961)</x:f>
        <x:v>0.7572009945596415</x:v>
      </x:c>
      <x:c r="F961" s="34" t="n">
        <x:f>-Assumptions!$B$7*E961</x:f>
        <x:v>1.2454848022326888</x:v>
      </x:c>
      <x:c r="G961" s="34" t="n">
        <x:f>-Assumptions!$B$8*E961</x:f>
        <x:v>1.761512923915432</x:v>
      </x:c>
      <x:c r="H961" s="34" t="n">
        <x:f>-Assumptions!$B$9*E961</x:f>
        <x:v>1.1818769712001176</x:v>
      </x:c>
      <x:c r="I961" s="34" t="n">
        <x:f>-Assumptions!$B$10*E961</x:f>
        <x:v>1.9736168061515693</x:v>
      </x:c>
      <x:c r="J961" s="36" t="n">
        <x:f>IF(C961&lt;-F961,1,0)</x:f>
        <x:v>0</x:v>
      </x:c>
      <x:c r="K961" s="36" t="n">
        <x:f>IF(C961&lt;-G961,1,0)</x:f>
        <x:v>0</x:v>
      </x:c>
      <x:c r="L961" s="36" t="n">
        <x:f>IF(C961&lt;-H961,1,0)</x:f>
        <x:v>0</x:v>
      </x:c>
      <x:c r="M961" s="36" t="n">
        <x:f>IF(C961&lt;-I961,1,0)</x:f>
        <x:v>0</x:v>
      </x:c>
      <x:c r="N961" s="34" t="n">
        <x:f>-F961</x:f>
        <x:v>-1.2454848022326888</x:v>
      </x:c>
      <x:c r="O961" s="34" t="n">
        <x:f>-H961</x:f>
        <x:v>-1.1818769712001176</x:v>
      </x:c>
      <x:c r="P961" s="34" t="n">
        <x:f>-G961</x:f>
        <x:v>-1.761512923915432</x:v>
      </x:c>
      <x:c r="Q961" s="34" t="n">
        <x:f>-I961</x:f>
        <x:v>-1.9736168061515693</x:v>
      </x:c>
      <x:c r="R961" s="36" t="n">
        <x:f>YEAR(A961)</x:f>
        <x:v>2024</x:v>
      </x:c>
    </x:row>
    <x:row r="962">
      <x:c r="A962" s="30" t="n">
        <x:v>45583</x:v>
      </x:c>
      <x:c r="B962" s="38" t="n">
        <x:v>5864.67</x:v>
      </x:c>
      <x:c r="C962" s="34" t="n">
        <x:f>(B962/B961-1)*100</x:f>
        <x:v>0.39716030382763723</x:v>
      </x:c>
      <x:c r="D962" s="34" t="n">
        <x:f>Assumptions!$B$4*D961+(1-Assumptions!$B$4)*C961^2</x:f>
        <x:v>0.538969722939401</x:v>
      </x:c>
      <x:c r="E962" s="34" t="n">
        <x:f>SQRT(D962)</x:f>
        <x:v>0.734145573397675</x:v>
      </x:c>
      <x:c r="F962" s="34" t="n">
        <x:f>-Assumptions!$B$7*E962</x:f>
        <x:v>1.2075620091135346</x:v>
      </x:c>
      <x:c r="G962" s="34" t="n">
        <x:f>-Assumptions!$B$8*E962</x:f>
        <x:v>1.7078779939101751</x:v>
      </x:c>
      <x:c r="H962" s="34" t="n">
        <x:f>-Assumptions!$B$9*E962</x:f>
        <x:v>1.145890923204374</x:v>
      </x:c>
      <x:c r="I962" s="34" t="n">
        <x:f>-Assumptions!$B$10*E962</x:f>
        <x:v>1.9135236908425726</x:v>
      </x:c>
      <x:c r="J962" s="36" t="n">
        <x:f>IF(C962&lt;-F962,1,0)</x:f>
        <x:v>0</x:v>
      </x:c>
      <x:c r="K962" s="36" t="n">
        <x:f>IF(C962&lt;-G962,1,0)</x:f>
        <x:v>0</x:v>
      </x:c>
      <x:c r="L962" s="36" t="n">
        <x:f>IF(C962&lt;-H962,1,0)</x:f>
        <x:v>0</x:v>
      </x:c>
      <x:c r="M962" s="36" t="n">
        <x:f>IF(C962&lt;-I962,1,0)</x:f>
        <x:v>0</x:v>
      </x:c>
      <x:c r="N962" s="34" t="n">
        <x:f>-F962</x:f>
        <x:v>-1.2075620091135346</x:v>
      </x:c>
      <x:c r="O962" s="34" t="n">
        <x:f>-H962</x:f>
        <x:v>-1.145890923204374</x:v>
      </x:c>
      <x:c r="P962" s="34" t="n">
        <x:f>-G962</x:f>
        <x:v>-1.7078779939101751</x:v>
      </x:c>
      <x:c r="Q962" s="34" t="n">
        <x:f>-I962</x:f>
        <x:v>-1.9135236908425726</x:v>
      </x:c>
      <x:c r="R962" s="36" t="n">
        <x:f>YEAR(A962)</x:f>
        <x:v>2024</x:v>
      </x:c>
    </x:row>
    <x:row r="963">
      <x:c r="A963" s="30" t="n">
        <x:v>45586</x:v>
      </x:c>
      <x:c r="B963" s="38" t="n">
        <x:v>5853.98</x:v>
      </x:c>
      <x:c r="C963" s="34" t="n">
        <x:f>(B963/B962-1)*100</x:f>
        <x:v>-0.18227794573267841</x:v>
      </x:c>
      <x:c r="D963" s="34" t="n">
        <x:f>Assumptions!$B$4*D962+(1-Assumptions!$B$4)*C962^2</x:f>
        <x:v>0.5160957179792246</x:v>
      </x:c>
      <x:c r="E963" s="34" t="n">
        <x:f>SQRT(D963)</x:f>
        <x:v>0.7183980219761359</x:v>
      </x:c>
      <x:c r="F963" s="34" t="n">
        <x:f>-Assumptions!$B$7*E963</x:f>
        <x:v>1.181659592042211</x:v>
      </x:c>
      <x:c r="G963" s="34" t="n">
        <x:f>-Assumptions!$B$8*E963</x:f>
        <x:v>1.6712437111393286</x:v>
      </x:c>
      <x:c r="H963" s="34" t="n">
        <x:f>-Assumptions!$B$9*E963</x:f>
        <x:v>1.1213113617515649</x:v>
      </x:c>
      <x:c r="I963" s="34" t="n">
        <x:f>-Assumptions!$B$10*E963</x:f>
        <x:v>1.8724782717734119</x:v>
      </x:c>
      <x:c r="J963" s="36" t="n">
        <x:f>IF(C963&lt;-F963,1,0)</x:f>
        <x:v>0</x:v>
      </x:c>
      <x:c r="K963" s="36" t="n">
        <x:f>IF(C963&lt;-G963,1,0)</x:f>
        <x:v>0</x:v>
      </x:c>
      <x:c r="L963" s="36" t="n">
        <x:f>IF(C963&lt;-H963,1,0)</x:f>
        <x:v>0</x:v>
      </x:c>
      <x:c r="M963" s="36" t="n">
        <x:f>IF(C963&lt;-I963,1,0)</x:f>
        <x:v>0</x:v>
      </x:c>
      <x:c r="N963" s="34" t="n">
        <x:f>-F963</x:f>
        <x:v>-1.181659592042211</x:v>
      </x:c>
      <x:c r="O963" s="34" t="n">
        <x:f>-H963</x:f>
        <x:v>-1.1213113617515649</x:v>
      </x:c>
      <x:c r="P963" s="34" t="n">
        <x:f>-G963</x:f>
        <x:v>-1.6712437111393286</x:v>
      </x:c>
      <x:c r="Q963" s="34" t="n">
        <x:f>-I963</x:f>
        <x:v>-1.8724782717734119</x:v>
      </x:c>
      <x:c r="R963" s="36" t="n">
        <x:f>YEAR(A963)</x:f>
        <x:v>2024</x:v>
      </x:c>
    </x:row>
    <x:row r="964">
      <x:c r="A964" s="30" t="n">
        <x:v>45587</x:v>
      </x:c>
      <x:c r="B964" s="38" t="n">
        <x:v>5851.2</x:v>
      </x:c>
      <x:c r="C964" s="34" t="n">
        <x:f>(B964/B963-1)*100</x:f>
        <x:v>-0.04748905872585807</x:v>
      </x:c>
      <x:c r="D964" s="34" t="n">
        <x:f>Assumptions!$B$4*D963+(1-Assumptions!$B$4)*C963^2</x:f>
        <x:v>0.48712348987050264</x:v>
      </x:c>
      <x:c r="E964" s="34" t="n">
        <x:f>SQRT(D964)</x:f>
        <x:v>0.697942325604704</x:v>
      </x:c>
      <x:c r="F964" s="34" t="n">
        <x:f>-Assumptions!$B$7*E964</x:f>
        <x:v>1.1480129656738434</x:v>
      </x:c>
      <x:c r="G964" s="34" t="n">
        <x:f>-Assumptions!$B$8*E964</x:f>
        <x:v>1.6236566453736232</x:v>
      </x:c>
      <x:c r="H964" s="34" t="n">
        <x:f>-Assumptions!$B$9*E964</x:f>
        <x:v>1.0893830935044835</x:v>
      </x:c>
      <x:c r="I964" s="34" t="n">
        <x:f>-Assumptions!$B$10*E964</x:f>
        <x:v>1.819161244418383</x:v>
      </x:c>
      <x:c r="J964" s="36" t="n">
        <x:f>IF(C964&lt;-F964,1,0)</x:f>
        <x:v>0</x:v>
      </x:c>
      <x:c r="K964" s="36" t="n">
        <x:f>IF(C964&lt;-G964,1,0)</x:f>
        <x:v>0</x:v>
      </x:c>
      <x:c r="L964" s="36" t="n">
        <x:f>IF(C964&lt;-H964,1,0)</x:f>
        <x:v>0</x:v>
      </x:c>
      <x:c r="M964" s="36" t="n">
        <x:f>IF(C964&lt;-I964,1,0)</x:f>
        <x:v>0</x:v>
      </x:c>
      <x:c r="N964" s="34" t="n">
        <x:f>-F964</x:f>
        <x:v>-1.1480129656738434</x:v>
      </x:c>
      <x:c r="O964" s="34" t="n">
        <x:f>-H964</x:f>
        <x:v>-1.0893830935044835</x:v>
      </x:c>
      <x:c r="P964" s="34" t="n">
        <x:f>-G964</x:f>
        <x:v>-1.6236566453736232</x:v>
      </x:c>
      <x:c r="Q964" s="34" t="n">
        <x:f>-I964</x:f>
        <x:v>-1.819161244418383</x:v>
      </x:c>
      <x:c r="R964" s="36" t="n">
        <x:f>YEAR(A964)</x:f>
        <x:v>2024</x:v>
      </x:c>
    </x:row>
    <x:row r="965">
      <x:c r="A965" s="30" t="n">
        <x:v>45588</x:v>
      </x:c>
      <x:c r="B965" s="38" t="n">
        <x:v>5797.42</x:v>
      </x:c>
      <x:c r="C965" s="34" t="n">
        <x:f>(B965/B964-1)*100</x:f>
        <x:v>-0.9191277003007925</x:v>
      </x:c>
      <x:c r="D965" s="34" t="n">
        <x:f>Assumptions!$B$4*D964+(1-Assumptions!$B$4)*C964^2</x:f>
        <x:v>0.45803139312019253</x:v>
      </x:c>
      <x:c r="E965" s="34" t="n">
        <x:f>SQRT(D965)</x:f>
        <x:v>0.6767801660215764</x:v>
      </x:c>
      <x:c r="F965" s="34" t="n">
        <x:f>-Assumptions!$B$7*E965</x:f>
        <x:v>1.1132043107294098</x:v>
      </x:c>
      <x:c r="G965" s="34" t="n">
        <x:f>-Assumptions!$B$8*E965</x:f>
        <x:v>1.5744261004173012</x:v>
      </x:c>
      <x:c r="H965" s="34" t="n">
        <x:f>-Assumptions!$B$9*E965</x:f>
        <x:v>1.056352142341106</x:v>
      </x:c>
      <x:c r="I965" s="34" t="n">
        <x:f>-Assumptions!$B$10*E965</x:f>
        <x:v>1.7640028464397701</x:v>
      </x:c>
      <x:c r="J965" s="36" t="n">
        <x:f>IF(C965&lt;-F965,1,0)</x:f>
        <x:v>0</x:v>
      </x:c>
      <x:c r="K965" s="36" t="n">
        <x:f>IF(C965&lt;-G965,1,0)</x:f>
        <x:v>0</x:v>
      </x:c>
      <x:c r="L965" s="36" t="n">
        <x:f>IF(C965&lt;-H965,1,0)</x:f>
        <x:v>0</x:v>
      </x:c>
      <x:c r="M965" s="36" t="n">
        <x:f>IF(C965&lt;-I965,1,0)</x:f>
        <x:v>0</x:v>
      </x:c>
      <x:c r="N965" s="34" t="n">
        <x:f>-F965</x:f>
        <x:v>-1.1132043107294098</x:v>
      </x:c>
      <x:c r="O965" s="34" t="n">
        <x:f>-H965</x:f>
        <x:v>-1.056352142341106</x:v>
      </x:c>
      <x:c r="P965" s="34" t="n">
        <x:f>-G965</x:f>
        <x:v>-1.5744261004173012</x:v>
      </x:c>
      <x:c r="Q965" s="34" t="n">
        <x:f>-I965</x:f>
        <x:v>-1.7640028464397701</x:v>
      </x:c>
      <x:c r="R965" s="36" t="n">
        <x:f>YEAR(A965)</x:f>
        <x:v>2024</x:v>
      </x:c>
    </x:row>
    <x:row r="966">
      <x:c r="A966" s="30" t="n">
        <x:v>45589</x:v>
      </x:c>
      <x:c r="B966" s="38" t="n">
        <x:v>5809.86</x:v>
      </x:c>
      <x:c r="C966" s="34" t="n">
        <x:f>(B966/B965-1)*100</x:f>
        <x:v>0.2145782089274073</x:v>
      </x:c>
      <x:c r="D966" s="34" t="n">
        <x:f>Assumptions!$B$4*D965+(1-Assumptions!$B$4)*C965^2</x:f>
        <x:v>0.4812372533005944</x:v>
      </x:c>
      <x:c r="E966" s="34" t="n">
        <x:f>SQRT(D966)</x:f>
        <x:v>0.693712659031529</x:v>
      </x:c>
      <x:c r="F966" s="34" t="n">
        <x:f>-Assumptions!$B$7*E966</x:f>
        <x:v>1.1410557832701609</x:v>
      </x:c>
      <x:c r="G966" s="34" t="n">
        <x:f>-Assumptions!$B$8*E966</x:f>
        <x:v>1.6138169695332159</x:v>
      </x:c>
      <x:c r="H966" s="34" t="n">
        <x:f>-Assumptions!$B$9*E966</x:f>
        <x:v>1.082781219557398</x:v>
      </x:c>
      <x:c r="I966" s="34" t="n">
        <x:f>-Assumptions!$B$10*E966</x:f>
        <x:v>1.8081367725896178</x:v>
      </x:c>
      <x:c r="J966" s="36" t="n">
        <x:f>IF(C966&lt;-F966,1,0)</x:f>
        <x:v>0</x:v>
      </x:c>
      <x:c r="K966" s="36" t="n">
        <x:f>IF(C966&lt;-G966,1,0)</x:f>
        <x:v>0</x:v>
      </x:c>
      <x:c r="L966" s="36" t="n">
        <x:f>IF(C966&lt;-H966,1,0)</x:f>
        <x:v>0</x:v>
      </x:c>
      <x:c r="M966" s="36" t="n">
        <x:f>IF(C966&lt;-I966,1,0)</x:f>
        <x:v>0</x:v>
      </x:c>
      <x:c r="N966" s="34" t="n">
        <x:f>-F966</x:f>
        <x:v>-1.1410557832701609</x:v>
      </x:c>
      <x:c r="O966" s="34" t="n">
        <x:f>-H966</x:f>
        <x:v>-1.082781219557398</x:v>
      </x:c>
      <x:c r="P966" s="34" t="n">
        <x:f>-G966</x:f>
        <x:v>-1.6138169695332159</x:v>
      </x:c>
      <x:c r="Q966" s="34" t="n">
        <x:f>-I966</x:f>
        <x:v>-1.8081367725896178</x:v>
      </x:c>
      <x:c r="R966" s="36" t="n">
        <x:f>YEAR(A966)</x:f>
        <x:v>2024</x:v>
      </x:c>
    </x:row>
    <x:row r="967">
      <x:c r="A967" s="30" t="n">
        <x:v>45590</x:v>
      </x:c>
      <x:c r="B967" s="38" t="n">
        <x:v>5808.12</x:v>
      </x:c>
      <x:c r="C967" s="34" t="n">
        <x:f>(B967/B966-1)*100</x:f>
        <x:v>-0.02994908655286066</x:v>
      </x:c>
      <x:c r="D967" s="34" t="n">
        <x:f>Assumptions!$B$4*D966+(1-Assumptions!$B$4)*C966^2</x:f>
        <x:v>0.4551256465673484</x:v>
      </x:c>
      <x:c r="E967" s="34" t="n">
        <x:f>SQRT(D967)</x:f>
        <x:v>0.6746300071649262</x:v>
      </x:c>
      <x:c r="F967" s="34" t="n">
        <x:f>-Assumptions!$B$7*E967</x:f>
        <x:v>1.1096676141355268</x:v>
      </x:c>
      <x:c r="G967" s="34" t="n">
        <x:f>-Assumptions!$B$8*E967</x:f>
        <x:v>1.5694240829322827</x:v>
      </x:c>
      <x:c r="H967" s="34" t="n">
        <x:f>-Assumptions!$B$9*E967</x:f>
        <x:v>1.0529960674609153</x:v>
      </x:c>
      <x:c r="I967" s="34" t="n">
        <x:f>-Assumptions!$B$10*E967</x:f>
        <x:v>1.7583985357139917</x:v>
      </x:c>
      <x:c r="J967" s="36" t="n">
        <x:f>IF(C967&lt;-F967,1,0)</x:f>
        <x:v>0</x:v>
      </x:c>
      <x:c r="K967" s="36" t="n">
        <x:f>IF(C967&lt;-G967,1,0)</x:f>
        <x:v>0</x:v>
      </x:c>
      <x:c r="L967" s="36" t="n">
        <x:f>IF(C967&lt;-H967,1,0)</x:f>
        <x:v>0</x:v>
      </x:c>
      <x:c r="M967" s="36" t="n">
        <x:f>IF(C967&lt;-I967,1,0)</x:f>
        <x:v>0</x:v>
      </x:c>
      <x:c r="N967" s="34" t="n">
        <x:f>-F967</x:f>
        <x:v>-1.1096676141355268</x:v>
      </x:c>
      <x:c r="O967" s="34" t="n">
        <x:f>-H967</x:f>
        <x:v>-1.0529960674609153</x:v>
      </x:c>
      <x:c r="P967" s="34" t="n">
        <x:f>-G967</x:f>
        <x:v>-1.5694240829322827</x:v>
      </x:c>
      <x:c r="Q967" s="34" t="n">
        <x:f>-I967</x:f>
        <x:v>-1.7583985357139917</x:v>
      </x:c>
      <x:c r="R967" s="36" t="n">
        <x:f>YEAR(A967)</x:f>
        <x:v>2024</x:v>
      </x:c>
    </x:row>
    <x:row r="968">
      <x:c r="A968" s="30" t="n">
        <x:v>45593</x:v>
      </x:c>
      <x:c r="B968" s="38" t="n">
        <x:v>5823.52</x:v>
      </x:c>
      <x:c r="C968" s="34" t="n">
        <x:f>(B968/B967-1)*100</x:f>
        <x:v>0.2651460369276215</x:v>
      </x:c>
      <x:c r="D968" s="34" t="n">
        <x:f>Assumptions!$B$4*D967+(1-Assumptions!$B$4)*C967^2</x:f>
        <x:v>0.4278719246404285</x:v>
      </x:c>
      <x:c r="E968" s="34" t="n">
        <x:f>SQRT(D968)</x:f>
        <x:v>0.6541191975782613</x:v>
      </x:c>
      <x:c r="F968" s="34" t="n">
        <x:f>-Assumptions!$B$7*E968</x:f>
        <x:v>1.0759303345951903</x:v>
      </x:c>
      <x:c r="G968" s="34" t="n">
        <x:f>-Assumptions!$B$8*E968</x:f>
        <x:v>1.5217088046554885</x:v>
      </x:c>
      <x:c r="H968" s="34" t="n">
        <x:f>-Assumptions!$B$9*E968</x:f>
        <x:v>1.020981775766479</x:v>
      </x:c>
      <x:c r="I968" s="34" t="n">
        <x:f>-Assumptions!$B$10*E968</x:f>
        <x:v>1.7049378577713297</x:v>
      </x:c>
      <x:c r="J968" s="36" t="n">
        <x:f>IF(C968&lt;-F968,1,0)</x:f>
        <x:v>0</x:v>
      </x:c>
      <x:c r="K968" s="36" t="n">
        <x:f>IF(C968&lt;-G968,1,0)</x:f>
        <x:v>0</x:v>
      </x:c>
      <x:c r="L968" s="36" t="n">
        <x:f>IF(C968&lt;-H968,1,0)</x:f>
        <x:v>0</x:v>
      </x:c>
      <x:c r="M968" s="36" t="n">
        <x:f>IF(C968&lt;-I968,1,0)</x:f>
        <x:v>0</x:v>
      </x:c>
      <x:c r="N968" s="34" t="n">
        <x:f>-F968</x:f>
        <x:v>-1.0759303345951903</x:v>
      </x:c>
      <x:c r="O968" s="34" t="n">
        <x:f>-H968</x:f>
        <x:v>-1.020981775766479</x:v>
      </x:c>
      <x:c r="P968" s="34" t="n">
        <x:f>-G968</x:f>
        <x:v>-1.5217088046554885</x:v>
      </x:c>
      <x:c r="Q968" s="34" t="n">
        <x:f>-I968</x:f>
        <x:v>-1.7049378577713297</x:v>
      </x:c>
      <x:c r="R968" s="36" t="n">
        <x:f>YEAR(A968)</x:f>
        <x:v>2024</x:v>
      </x:c>
    </x:row>
    <x:row r="969">
      <x:c r="A969" s="30" t="n">
        <x:v>45594</x:v>
      </x:c>
      <x:c r="B969" s="38" t="n">
        <x:v>5832.92</x:v>
      </x:c>
      <x:c r="C969" s="34" t="n">
        <x:f>(B969/B968-1)*100</x:f>
        <x:v>0.16141440228589765</x:v>
      </x:c>
      <x:c r="D969" s="34" t="n">
        <x:f>Assumptions!$B$4*D968+(1-Assumptions!$B$4)*C968^2</x:f>
        <x:v>0.40641775441590816</x:v>
      </x:c>
      <x:c r="E969" s="34" t="n">
        <x:f>SQRT(D969)</x:f>
        <x:v>0.6375090230074458</x:v>
      </x:c>
      <x:c r="F969" s="34" t="n">
        <x:f>-Assumptions!$B$7*E969</x:f>
        <x:v>1.0486090287080871</x:v>
      </x:c>
      <x:c r="G969" s="34" t="n">
        <x:f>-Assumptions!$B$8*E969</x:f>
        <x:v>1.4830677603552247</x:v>
      </x:c>
      <x:c r="H969" s="34" t="n">
        <x:f>-Assumptions!$B$9*E969</x:f>
        <x:v>0.9950557892002867</x:v>
      </x:c>
      <x:c r="I969" s="34" t="n">
        <x:f>-Assumptions!$B$10*E969</x:f>
        <x:v>1.6616440428904635</x:v>
      </x:c>
      <x:c r="J969" s="36" t="n">
        <x:f>IF(C969&lt;-F969,1,0)</x:f>
        <x:v>0</x:v>
      </x:c>
      <x:c r="K969" s="36" t="n">
        <x:f>IF(C969&lt;-G969,1,0)</x:f>
        <x:v>0</x:v>
      </x:c>
      <x:c r="L969" s="36" t="n">
        <x:f>IF(C969&lt;-H969,1,0)</x:f>
        <x:v>0</x:v>
      </x:c>
      <x:c r="M969" s="36" t="n">
        <x:f>IF(C969&lt;-I969,1,0)</x:f>
        <x:v>0</x:v>
      </x:c>
      <x:c r="N969" s="34" t="n">
        <x:f>-F969</x:f>
        <x:v>-1.0486090287080871</x:v>
      </x:c>
      <x:c r="O969" s="34" t="n">
        <x:f>-H969</x:f>
        <x:v>-0.9950557892002867</x:v>
      </x:c>
      <x:c r="P969" s="34" t="n">
        <x:f>-G969</x:f>
        <x:v>-1.4830677603552247</x:v>
      </x:c>
      <x:c r="Q969" s="34" t="n">
        <x:f>-I969</x:f>
        <x:v>-1.6616440428904635</x:v>
      </x:c>
      <x:c r="R969" s="36" t="n">
        <x:f>YEAR(A969)</x:f>
        <x:v>2024</x:v>
      </x:c>
    </x:row>
    <x:row r="970">
      <x:c r="A970" s="30" t="n">
        <x:v>45595</x:v>
      </x:c>
      <x:c r="B970" s="38" t="n">
        <x:v>5813.67</x:v>
      </x:c>
      <x:c r="C970" s="34" t="n">
        <x:f>(B970/B969-1)*100</x:f>
        <x:v>-0.33002338451409985</x:v>
      </x:c>
      <x:c r="D970" s="34" t="n">
        <x:f>Assumptions!$B$4*D969+(1-Assumptions!$B$4)*C969^2</x:f>
        <x:v>0.3835959657068725</x:v>
      </x:c>
      <x:c r="E970" s="34" t="n">
        <x:f>SQRT(D970)</x:f>
        <x:v>0.6193512458265281</x:v>
      </x:c>
      <x:c r="F970" s="34" t="n">
        <x:f>-Assumptions!$B$7*E970</x:f>
        <x:v>1.0187421430546781</x:v>
      </x:c>
      <x:c r="G970" s="34" t="n">
        <x:f>-Assumptions!$B$8*E970</x:f>
        <x:v>1.4408264540130895</x:v>
      </x:c>
      <x:c r="H970" s="34" t="n">
        <x:f>-Assumptions!$B$9*E970</x:f>
        <x:v>0.9667142275112531</x:v>
      </x:c>
      <x:c r="I970" s="34" t="n">
        <x:f>-Assumptions!$B$10*E970</x:f>
        <x:v>1.6143164581882594</x:v>
      </x:c>
      <x:c r="J970" s="36" t="n">
        <x:f>IF(C970&lt;-F970,1,0)</x:f>
        <x:v>0</x:v>
      </x:c>
      <x:c r="K970" s="36" t="n">
        <x:f>IF(C970&lt;-G970,1,0)</x:f>
        <x:v>0</x:v>
      </x:c>
      <x:c r="L970" s="36" t="n">
        <x:f>IF(C970&lt;-H970,1,0)</x:f>
        <x:v>0</x:v>
      </x:c>
      <x:c r="M970" s="36" t="n">
        <x:f>IF(C970&lt;-I970,1,0)</x:f>
        <x:v>0</x:v>
      </x:c>
      <x:c r="N970" s="34" t="n">
        <x:f>-F970</x:f>
        <x:v>-1.0187421430546781</x:v>
      </x:c>
      <x:c r="O970" s="34" t="n">
        <x:f>-H970</x:f>
        <x:v>-0.9667142275112531</x:v>
      </x:c>
      <x:c r="P970" s="34" t="n">
        <x:f>-G970</x:f>
        <x:v>-1.4408264540130895</x:v>
      </x:c>
      <x:c r="Q970" s="34" t="n">
        <x:f>-I970</x:f>
        <x:v>-1.6143164581882594</x:v>
      </x:c>
      <x:c r="R970" s="36" t="n">
        <x:f>YEAR(A970)</x:f>
        <x:v>2024</x:v>
      </x:c>
    </x:row>
    <x:row r="971">
      <x:c r="A971" s="30" t="n">
        <x:v>45596</x:v>
      </x:c>
      <x:c r="B971" s="38" t="n">
        <x:v>5705.45</x:v>
      </x:c>
      <x:c r="C971" s="34" t="n">
        <x:f>(B971/B970-1)*100</x:f>
        <x:v>-1.8614747655095742</x:v>
      </x:c>
      <x:c r="D971" s="34" t="n">
        <x:f>Assumptions!$B$4*D970+(1-Assumptions!$B$4)*C970^2</x:f>
        <x:v>0.3671151338240286</x:v>
      </x:c>
      <x:c r="E971" s="34" t="n">
        <x:f>SQRT(D971)</x:f>
        <x:v>0.6059002672255794</x:v>
      </x:c>
      <x:c r="F971" s="34" t="n">
        <x:f>-Assumptions!$B$7*E971</x:f>
        <x:v>0.9966172521168609</x:v>
      </x:c>
      <x:c r="G971" s="34" t="n">
        <x:f>-Assumptions!$B$8*E971</x:f>
        <x:v>1.4095347985410038</x:v>
      </x:c>
      <x:c r="H971" s="34" t="n">
        <x:f>-Assumptions!$B$9*E971</x:f>
        <x:v>0.9457192711353545</x:v>
      </x:c>
      <x:c r="I971" s="34" t="n">
        <x:f>-Assumptions!$B$10*E971</x:f>
        <x:v>1.579256972507768</x:v>
      </x:c>
      <x:c r="J971" s="36" t="n">
        <x:f>IF(C971&lt;-F971,1,0)</x:f>
        <x:v>1</x:v>
      </x:c>
      <x:c r="K971" s="36" t="n">
        <x:f>IF(C971&lt;-G971,1,0)</x:f>
        <x:v>1</x:v>
      </x:c>
      <x:c r="L971" s="36" t="n">
        <x:f>IF(C971&lt;-H971,1,0)</x:f>
        <x:v>1</x:v>
      </x:c>
      <x:c r="M971" s="36" t="n">
        <x:f>IF(C971&lt;-I971,1,0)</x:f>
        <x:v>1</x:v>
      </x:c>
      <x:c r="N971" s="34" t="n">
        <x:f>-F971</x:f>
        <x:v>-0.9966172521168609</x:v>
      </x:c>
      <x:c r="O971" s="34" t="n">
        <x:f>-H971</x:f>
        <x:v>-0.9457192711353545</x:v>
      </x:c>
      <x:c r="P971" s="34" t="n">
        <x:f>-G971</x:f>
        <x:v>-1.4095347985410038</x:v>
      </x:c>
      <x:c r="Q971" s="34" t="n">
        <x:f>-I971</x:f>
        <x:v>-1.579256972507768</x:v>
      </x:c>
      <x:c r="R971" s="36" t="n">
        <x:f>YEAR(A971)</x:f>
        <x:v>2024</x:v>
      </x:c>
    </x:row>
    <x:row r="972">
      <x:c r="A972" s="30" t="n">
        <x:v>45597</x:v>
      </x:c>
      <x:c r="B972" s="38" t="n">
        <x:v>5728.8</x:v>
      </x:c>
      <x:c r="C972" s="34" t="n">
        <x:f>(B972/B971-1)*100</x:f>
        <x:v>0.4092578148962911</x:v>
      </x:c>
      <x:c r="D972" s="34" t="n">
        <x:f>Assumptions!$B$4*D971+(1-Assumptions!$B$4)*C971^2</x:f>
        <x:v>0.5529935239523225</x:v>
      </x:c>
      <x:c r="E972" s="34" t="n">
        <x:f>SQRT(D972)</x:f>
        <x:v>0.7436353433991169</x:v>
      </x:c>
      <x:c r="F972" s="34" t="n">
        <x:f>-Assumptions!$B$7*E972</x:f>
        <x:v>1.2231712917193414</x:v>
      </x:c>
      <x:c r="G972" s="34" t="n">
        <x:f>-Assumptions!$B$8*E972</x:f>
        <x:v>1.7299545001781658</x:v>
      </x:c>
      <x:c r="H972" s="34" t="n">
        <x:f>-Assumptions!$B$9*E972</x:f>
        <x:v>1.1607030281900685</x:v>
      </x:c>
      <x:c r="I972" s="34" t="n">
        <x:f>-Assumptions!$B$10*E972</x:f>
        <x:v>1.938258430622267</x:v>
      </x:c>
      <x:c r="J972" s="36" t="n">
        <x:f>IF(C972&lt;-F972,1,0)</x:f>
        <x:v>0</x:v>
      </x:c>
      <x:c r="K972" s="36" t="n">
        <x:f>IF(C972&lt;-G972,1,0)</x:f>
        <x:v>0</x:v>
      </x:c>
      <x:c r="L972" s="36" t="n">
        <x:f>IF(C972&lt;-H972,1,0)</x:f>
        <x:v>0</x:v>
      </x:c>
      <x:c r="M972" s="36" t="n">
        <x:f>IF(C972&lt;-I972,1,0)</x:f>
        <x:v>0</x:v>
      </x:c>
      <x:c r="N972" s="34" t="n">
        <x:f>-F972</x:f>
        <x:v>-1.2231712917193414</x:v>
      </x:c>
      <x:c r="O972" s="34" t="n">
        <x:f>-H972</x:f>
        <x:v>-1.1607030281900685</x:v>
      </x:c>
      <x:c r="P972" s="34" t="n">
        <x:f>-G972</x:f>
        <x:v>-1.7299545001781658</x:v>
      </x:c>
      <x:c r="Q972" s="34" t="n">
        <x:f>-I972</x:f>
        <x:v>-1.938258430622267</x:v>
      </x:c>
      <x:c r="R972" s="36" t="n">
        <x:f>YEAR(A972)</x:f>
        <x:v>2024</x:v>
      </x:c>
    </x:row>
    <x:row r="973">
      <x:c r="A973" s="30" t="n">
        <x:v>45600</x:v>
      </x:c>
      <x:c r="B973" s="38" t="n">
        <x:v>5712.69</x:v>
      </x:c>
      <x:c r="C973" s="34" t="n">
        <x:f>(B973/B972-1)*100</x:f>
        <x:v>-0.2812107247591178</x:v>
      </x:c>
      <x:c r="D973" s="34" t="n">
        <x:f>Assumptions!$B$4*D972+(1-Assumptions!$B$4)*C972^2</x:f>
        <x:v>0.5298634300584043</x:v>
      </x:c>
      <x:c r="E973" s="34" t="n">
        <x:f>SQRT(D973)</x:f>
        <x:v>0.7279171862639351</x:v>
      </x:c>
      <x:c r="F973" s="34" t="n">
        <x:f>-Assumptions!$B$7*E973</x:f>
        <x:v>1.1973172239465444</x:v>
      </x:c>
      <x:c r="G973" s="34" t="n">
        <x:f>-Assumptions!$B$8*E973</x:f>
        <x:v>1.6933885987428958</x:v>
      </x:c>
      <x:c r="H973" s="34" t="n">
        <x:f>-Assumptions!$B$9*E973</x:f>
        <x:v>1.1361693468013117</x:v>
      </x:c>
      <x:c r="I973" s="34" t="n">
        <x:f>-Assumptions!$B$10*E973</x:f>
        <x:v>1.897289626689611</x:v>
      </x:c>
      <x:c r="J973" s="36" t="n">
        <x:f>IF(C973&lt;-F973,1,0)</x:f>
        <x:v>0</x:v>
      </x:c>
      <x:c r="K973" s="36" t="n">
        <x:f>IF(C973&lt;-G973,1,0)</x:f>
        <x:v>0</x:v>
      </x:c>
      <x:c r="L973" s="36" t="n">
        <x:f>IF(C973&lt;-H973,1,0)</x:f>
        <x:v>0</x:v>
      </x:c>
      <x:c r="M973" s="36" t="n">
        <x:f>IF(C973&lt;-I973,1,0)</x:f>
        <x:v>0</x:v>
      </x:c>
      <x:c r="N973" s="34" t="n">
        <x:f>-F973</x:f>
        <x:v>-1.1973172239465444</x:v>
      </x:c>
      <x:c r="O973" s="34" t="n">
        <x:f>-H973</x:f>
        <x:v>-1.1361693468013117</x:v>
      </x:c>
      <x:c r="P973" s="34" t="n">
        <x:f>-G973</x:f>
        <x:v>-1.6933885987428958</x:v>
      </x:c>
      <x:c r="Q973" s="34" t="n">
        <x:f>-I973</x:f>
        <x:v>-1.897289626689611</x:v>
      </x:c>
      <x:c r="R973" s="36" t="n">
        <x:f>YEAR(A973)</x:f>
        <x:v>2024</x:v>
      </x:c>
    </x:row>
    <x:row r="974">
      <x:c r="A974" s="30" t="n">
        <x:v>45601</x:v>
      </x:c>
      <x:c r="B974" s="38" t="n">
        <x:v>5782.76</x:v>
      </x:c>
      <x:c r="C974" s="34" t="n">
        <x:f>(B974/B973-1)*100</x:f>
        <x:v>1.2265675189796932</x:v>
      </x:c>
      <x:c r="D974" s="34" t="n">
        <x:f>Assumptions!$B$4*D973+(1-Assumptions!$B$4)*C973^2</x:f>
        <x:v>0.502816392558073</x:v>
      </x:c>
      <x:c r="E974" s="34" t="n">
        <x:f>SQRT(D974)</x:f>
        <x:v>0.7090954749242678</x:v>
      </x:c>
      <x:c r="F974" s="34" t="n">
        <x:f>-Assumptions!$B$7*E974</x:f>
        <x:v>1.166358263784059</x:v>
      </x:c>
      <x:c r="G974" s="34" t="n">
        <x:f>-Assumptions!$B$8*E974</x:f>
        <x:v>1.6496027505820505</x:v>
      </x:c>
      <x:c r="H974" s="34" t="n">
        <x:f>-Assumptions!$B$9*E974</x:f>
        <x:v>1.1067914836569748</x:v>
      </x:c>
      <x:c r="I974" s="34" t="n">
        <x:f>-Assumptions!$B$10*E974</x:f>
        <x:v>1.848231521790919</x:v>
      </x:c>
      <x:c r="J974" s="36" t="n">
        <x:f>IF(C974&lt;-F974,1,0)</x:f>
        <x:v>0</x:v>
      </x:c>
      <x:c r="K974" s="36" t="n">
        <x:f>IF(C974&lt;-G974,1,0)</x:f>
        <x:v>0</x:v>
      </x:c>
      <x:c r="L974" s="36" t="n">
        <x:f>IF(C974&lt;-H974,1,0)</x:f>
        <x:v>0</x:v>
      </x:c>
      <x:c r="M974" s="36" t="n">
        <x:f>IF(C974&lt;-I974,1,0)</x:f>
        <x:v>0</x:v>
      </x:c>
      <x:c r="N974" s="34" t="n">
        <x:f>-F974</x:f>
        <x:v>-1.166358263784059</x:v>
      </x:c>
      <x:c r="O974" s="34" t="n">
        <x:f>-H974</x:f>
        <x:v>-1.1067914836569748</x:v>
      </x:c>
      <x:c r="P974" s="34" t="n">
        <x:f>-G974</x:f>
        <x:v>-1.6496027505820505</x:v>
      </x:c>
      <x:c r="Q974" s="34" t="n">
        <x:f>-I974</x:f>
        <x:v>-1.848231521790919</x:v>
      </x:c>
      <x:c r="R974" s="36" t="n">
        <x:f>YEAR(A974)</x:f>
        <x:v>2024</x:v>
      </x:c>
    </x:row>
    <x:row r="975">
      <x:c r="A975" s="30" t="n">
        <x:v>45602</x:v>
      </x:c>
      <x:c r="B975" s="38" t="n">
        <x:v>5929.04</x:v>
      </x:c>
      <x:c r="C975" s="34" t="n">
        <x:f>(B975/B974-1)*100</x:f>
        <x:v>2.5295879476236127</x:v>
      </x:c>
      <x:c r="D975" s="34" t="n">
        <x:f>Assumptions!$B$4*D974+(1-Assumptions!$B$4)*C974^2</x:f>
        <x:v>0.5629154817215487</x:v>
      </x:c>
      <x:c r="E975" s="34" t="n">
        <x:f>SQRT(D975)</x:f>
        <x:v>0.7502769366850808</x:v>
      </x:c>
      <x:c r="F975" s="34" t="n">
        <x:f>-Assumptions!$B$7*E975</x:f>
        <x:v>1.2340957405244957</x:v>
      </x:c>
      <x:c r="G975" s="34" t="n">
        <x:f>-Assumptions!$B$8*E975</x:f>
        <x:v>1.745405156599212</x:v>
      </x:c>
      <x:c r="H975" s="34" t="n">
        <x:f>-Assumptions!$B$9*E975</x:f>
        <x:v>1.1710695573060572</x:v>
      </x:c>
      <x:c r="I975" s="34" t="n">
        <x:f>-Assumptions!$B$10*E975</x:f>
        <x:v>1.955569501557171</x:v>
      </x:c>
      <x:c r="J975" s="36" t="n">
        <x:f>IF(C975&lt;-F975,1,0)</x:f>
        <x:v>0</x:v>
      </x:c>
      <x:c r="K975" s="36" t="n">
        <x:f>IF(C975&lt;-G975,1,0)</x:f>
        <x:v>0</x:v>
      </x:c>
      <x:c r="L975" s="36" t="n">
        <x:f>IF(C975&lt;-H975,1,0)</x:f>
        <x:v>0</x:v>
      </x:c>
      <x:c r="M975" s="36" t="n">
        <x:f>IF(C975&lt;-I975,1,0)</x:f>
        <x:v>0</x:v>
      </x:c>
      <x:c r="N975" s="34" t="n">
        <x:f>-F975</x:f>
        <x:v>-1.2340957405244957</x:v>
      </x:c>
      <x:c r="O975" s="34" t="n">
        <x:f>-H975</x:f>
        <x:v>-1.1710695573060572</x:v>
      </x:c>
      <x:c r="P975" s="34" t="n">
        <x:f>-G975</x:f>
        <x:v>-1.745405156599212</x:v>
      </x:c>
      <x:c r="Q975" s="34" t="n">
        <x:f>-I975</x:f>
        <x:v>-1.955569501557171</x:v>
      </x:c>
      <x:c r="R975" s="36" t="n">
        <x:f>YEAR(A975)</x:f>
        <x:v>2024</x:v>
      </x:c>
    </x:row>
    <x:row r="976">
      <x:c r="A976" s="30" t="n">
        <x:v>45603</x:v>
      </x:c>
      <x:c r="B976" s="38" t="n">
        <x:v>5973.1</x:v>
      </x:c>
      <x:c r="C976" s="34" t="n">
        <x:f>(B976/B975-1)*100</x:f>
        <x:v>0.7431219893945906</x:v>
      </x:c>
      <x:c r="D976" s="34" t="n">
        <x:f>Assumptions!$B$4*D975+(1-Assumptions!$B$4)*C975^2</x:f>
        <x:v>0.9130694639040147</x:v>
      </x:c>
      <x:c r="E976" s="34" t="n">
        <x:f>SQRT(D976)</x:f>
        <x:v>0.9555466832677588</x:v>
      </x:c>
      <x:c r="F976" s="34" t="n">
        <x:f>-Assumptions!$B$7*E976</x:f>
        <x:v>1.5717344276944234</x:v>
      </x:c>
      <x:c r="G976" s="34" t="n">
        <x:f>-Assumptions!$B$8*E976</x:f>
        <x:v>2.222933995166727</x:v>
      </x:c>
      <x:c r="H976" s="34" t="n">
        <x:f>-Assumptions!$B$9*E976</x:f>
        <x:v>1.4914647867275928</x:v>
      </x:c>
      <x:c r="I976" s="34" t="n">
        <x:f>-Assumptions!$B$10*E976</x:f>
        <x:v>2.4905976176859026</x:v>
      </x:c>
      <x:c r="J976" s="36" t="n">
        <x:f>IF(C976&lt;-F976,1,0)</x:f>
        <x:v>0</x:v>
      </x:c>
      <x:c r="K976" s="36" t="n">
        <x:f>IF(C976&lt;-G976,1,0)</x:f>
        <x:v>0</x:v>
      </x:c>
      <x:c r="L976" s="36" t="n">
        <x:f>IF(C976&lt;-H976,1,0)</x:f>
        <x:v>0</x:v>
      </x:c>
      <x:c r="M976" s="36" t="n">
        <x:f>IF(C976&lt;-I976,1,0)</x:f>
        <x:v>0</x:v>
      </x:c>
      <x:c r="N976" s="34" t="n">
        <x:f>-F976</x:f>
        <x:v>-1.5717344276944234</x:v>
      </x:c>
      <x:c r="O976" s="34" t="n">
        <x:f>-H976</x:f>
        <x:v>-1.4914647867275928</x:v>
      </x:c>
      <x:c r="P976" s="34" t="n">
        <x:f>-G976</x:f>
        <x:v>-2.222933995166727</x:v>
      </x:c>
      <x:c r="Q976" s="34" t="n">
        <x:f>-I976</x:f>
        <x:v>-2.4905976176859026</x:v>
      </x:c>
      <x:c r="R976" s="36" t="n">
        <x:f>YEAR(A976)</x:f>
        <x:v>2024</x:v>
      </x:c>
    </x:row>
    <x:row r="977">
      <x:c r="A977" s="30" t="n">
        <x:v>45604</x:v>
      </x:c>
      <x:c r="B977" s="38" t="n">
        <x:v>5995.54</x:v>
      </x:c>
      <x:c r="C977" s="34" t="n">
        <x:f>(B977/B976-1)*100</x:f>
        <x:v>0.37568431802581514</x:v>
      </x:c>
      <x:c r="D977" s="34" t="n">
        <x:f>Assumptions!$B$4*D976+(1-Assumptions!$B$4)*C976^2</x:f>
        <x:v>0.8914191135370803</x:v>
      </x:c>
      <x:c r="E977" s="34" t="n">
        <x:f>SQRT(D977)</x:f>
        <x:v>0.9441499422957564</x:v>
      </x:c>
      <x:c r="F977" s="34" t="n">
        <x:f>-Assumptions!$B$7*E977</x:f>
        <x:v>1.5529884569711987</x:v>
      </x:c>
      <x:c r="G977" s="34" t="n">
        <x:f>-Assumptions!$B$8*E977</x:f>
        <x:v>2.1964212110355152</x:v>
      </x:c>
      <x:c r="H977" s="34" t="n">
        <x:f>-Assumptions!$B$9*E977</x:f>
        <x:v>1.4736761866091053</x:v>
      </x:c>
      <x:c r="I977" s="34" t="n">
        <x:f>-Assumptions!$B$10*E977</x:f>
        <x:v>2.460892427545759</x:v>
      </x:c>
      <x:c r="J977" s="36" t="n">
        <x:f>IF(C977&lt;-F977,1,0)</x:f>
        <x:v>0</x:v>
      </x:c>
      <x:c r="K977" s="36" t="n">
        <x:f>IF(C977&lt;-G977,1,0)</x:f>
        <x:v>0</x:v>
      </x:c>
      <x:c r="L977" s="36" t="n">
        <x:f>IF(C977&lt;-H977,1,0)</x:f>
        <x:v>0</x:v>
      </x:c>
      <x:c r="M977" s="36" t="n">
        <x:f>IF(C977&lt;-I977,1,0)</x:f>
        <x:v>0</x:v>
      </x:c>
      <x:c r="N977" s="34" t="n">
        <x:f>-F977</x:f>
        <x:v>-1.5529884569711987</x:v>
      </x:c>
      <x:c r="O977" s="34" t="n">
        <x:f>-H977</x:f>
        <x:v>-1.4736761866091053</x:v>
      </x:c>
      <x:c r="P977" s="34" t="n">
        <x:f>-G977</x:f>
        <x:v>-2.1964212110355152</x:v>
      </x:c>
      <x:c r="Q977" s="34" t="n">
        <x:f>-I977</x:f>
        <x:v>-2.460892427545759</x:v>
      </x:c>
      <x:c r="R977" s="36" t="n">
        <x:f>YEAR(A977)</x:f>
        <x:v>2024</x:v>
      </x:c>
    </x:row>
    <x:row r="978">
      <x:c r="A978" s="30" t="n">
        <x:v>45607</x:v>
      </x:c>
      <x:c r="B978" s="38" t="n">
        <x:v>6001.35</x:v>
      </x:c>
      <x:c r="C978" s="34" t="n">
        <x:f>(B978/B977-1)*100</x:f>
        <x:v>0.0969053663222974</x:v>
      </x:c>
      <x:c r="D978" s="34" t="n">
        <x:f>Assumptions!$B$4*D977+(1-Assumptions!$B$4)*C977^2</x:f>
        <x:v>0.8464022891334867</x:v>
      </x:c>
      <x:c r="E978" s="34" t="n">
        <x:f>SQRT(D978)</x:f>
        <x:v>0.9200012440934451</x:v>
      </x:c>
      <x:c r="F978" s="34" t="n">
        <x:f>-Assumptions!$B$7*E978</x:f>
        <x:v>1.5132673831469705</x:v>
      </x:c>
      <x:c r="G978" s="34" t="n">
        <x:f>-Assumptions!$B$8*E978</x:f>
        <x:v>2.1402429383117143</x:v>
      </x:c>
      <x:c r="H978" s="34" t="n">
        <x:f>-Assumptions!$B$9*E978</x:f>
        <x:v>1.4359836974353797</x:v>
      </x:c>
      <x:c r="I978" s="34" t="n">
        <x:f>-Assumptions!$B$10*E978</x:f>
        <x:v>2.397949725461115</x:v>
      </x:c>
      <x:c r="J978" s="36" t="n">
        <x:f>IF(C978&lt;-F978,1,0)</x:f>
        <x:v>0</x:v>
      </x:c>
      <x:c r="K978" s="36" t="n">
        <x:f>IF(C978&lt;-G978,1,0)</x:f>
        <x:v>0</x:v>
      </x:c>
      <x:c r="L978" s="36" t="n">
        <x:f>IF(C978&lt;-H978,1,0)</x:f>
        <x:v>0</x:v>
      </x:c>
      <x:c r="M978" s="36" t="n">
        <x:f>IF(C978&lt;-I978,1,0)</x:f>
        <x:v>0</x:v>
      </x:c>
      <x:c r="N978" s="34" t="n">
        <x:f>-F978</x:f>
        <x:v>-1.5132673831469705</x:v>
      </x:c>
      <x:c r="O978" s="34" t="n">
        <x:f>-H978</x:f>
        <x:v>-1.4359836974353797</x:v>
      </x:c>
      <x:c r="P978" s="34" t="n">
        <x:f>-G978</x:f>
        <x:v>-2.1402429383117143</x:v>
      </x:c>
      <x:c r="Q978" s="34" t="n">
        <x:f>-I978</x:f>
        <x:v>-2.397949725461115</x:v>
      </x:c>
      <x:c r="R978" s="36" t="n">
        <x:f>YEAR(A978)</x:f>
        <x:v>2024</x:v>
      </x:c>
    </x:row>
    <x:row r="979">
      <x:c r="A979" s="30" t="n">
        <x:v>45608</x:v>
      </x:c>
      <x:c r="B979" s="38" t="n">
        <x:v>5983.99</x:v>
      </x:c>
      <x:c r="C979" s="34" t="n">
        <x:f>(B979/B978-1)*100</x:f>
        <x:v>-0.2892682479775477</x:v>
      </x:c>
      <x:c r="D979" s="34" t="n">
        <x:f>Assumptions!$B$4*D978+(1-Assumptions!$B$4)*C978^2</x:f>
        <x:v>0.796181590786801</x:v>
      </x:c>
      <x:c r="E979" s="34" t="n">
        <x:f>SQRT(D979)</x:f>
        <x:v>0.8922900821968162</x:v>
      </x:c>
      <x:c r="F979" s="34" t="n">
        <x:f>-Assumptions!$B$7*E979</x:f>
        <x:v>1.467686577994261</x:v>
      </x:c>
      <x:c r="G979" s="34" t="n">
        <x:f>-Assumptions!$B$8*E979</x:f>
        <x:v>2.0757771357462897</x:v>
      </x:c>
      <x:c r="H979" s="34" t="n">
        <x:f>-Assumptions!$B$9*E979</x:f>
        <x:v>1.392730737750784</x:v>
      </x:c>
      <x:c r="I979" s="34" t="n">
        <x:f>-Assumptions!$B$10*E979</x:f>
        <x:v>2.3257215915440694</x:v>
      </x:c>
      <x:c r="J979" s="36" t="n">
        <x:f>IF(C979&lt;-F979,1,0)</x:f>
        <x:v>0</x:v>
      </x:c>
      <x:c r="K979" s="36" t="n">
        <x:f>IF(C979&lt;-G979,1,0)</x:f>
        <x:v>0</x:v>
      </x:c>
      <x:c r="L979" s="36" t="n">
        <x:f>IF(C979&lt;-H979,1,0)</x:f>
        <x:v>0</x:v>
      </x:c>
      <x:c r="M979" s="36" t="n">
        <x:f>IF(C979&lt;-I979,1,0)</x:f>
        <x:v>0</x:v>
      </x:c>
      <x:c r="N979" s="34" t="n">
        <x:f>-F979</x:f>
        <x:v>-1.467686577994261</x:v>
      </x:c>
      <x:c r="O979" s="34" t="n">
        <x:f>-H979</x:f>
        <x:v>-1.392730737750784</x:v>
      </x:c>
      <x:c r="P979" s="34" t="n">
        <x:f>-G979</x:f>
        <x:v>-2.0757771357462897</x:v>
      </x:c>
      <x:c r="Q979" s="34" t="n">
        <x:f>-I979</x:f>
        <x:v>-2.3257215915440694</x:v>
      </x:c>
      <x:c r="R979" s="36" t="n">
        <x:f>YEAR(A979)</x:f>
        <x:v>2024</x:v>
      </x:c>
    </x:row>
    <x:row r="980">
      <x:c r="A980" s="30" t="n">
        <x:v>45609</x:v>
      </x:c>
      <x:c r="B980" s="38" t="n">
        <x:v>5985.38</x:v>
      </x:c>
      <x:c r="C980" s="34" t="n">
        <x:f>(B980/B979-1)*100</x:f>
        <x:v>0.023228648443596178</x:v>
      </x:c>
      <x:c r="D980" s="34" t="n">
        <x:f>Assumptions!$B$4*D979+(1-Assumptions!$B$4)*C979^2</x:f>
        <x:v>0.7534312624968729</x:v>
      </x:c>
      <x:c r="E980" s="34" t="n">
        <x:f>SQRT(D980)</x:f>
        <x:v>0.8680041834558592</x:v>
      </x:c>
      <x:c r="F980" s="34" t="n">
        <x:f>-Assumptions!$B$7*E980</x:f>
        <x:v>1.4277398293664216</x:v>
      </x:c>
      <x:c r="G980" s="34" t="n">
        <x:f>-Assumptions!$B$8*E980</x:f>
        <x:v>2.0192796868410934</x:v>
      </x:c>
      <x:c r="H980" s="34" t="n">
        <x:f>-Assumptions!$B$9*E980</x:f>
        <x:v>1.3548240991527623</x:v>
      </x:c>
      <x:c r="I980" s="34" t="n">
        <x:f>-Assumptions!$B$10*E980</x:f>
        <x:v>2.2624212812539026</x:v>
      </x:c>
      <x:c r="J980" s="36" t="n">
        <x:f>IF(C980&lt;-F980,1,0)</x:f>
        <x:v>0</x:v>
      </x:c>
      <x:c r="K980" s="36" t="n">
        <x:f>IF(C980&lt;-G980,1,0)</x:f>
        <x:v>0</x:v>
      </x:c>
      <x:c r="L980" s="36" t="n">
        <x:f>IF(C980&lt;-H980,1,0)</x:f>
        <x:v>0</x:v>
      </x:c>
      <x:c r="M980" s="36" t="n">
        <x:f>IF(C980&lt;-I980,1,0)</x:f>
        <x:v>0</x:v>
      </x:c>
      <x:c r="N980" s="34" t="n">
        <x:f>-F980</x:f>
        <x:v>-1.4277398293664216</x:v>
      </x:c>
      <x:c r="O980" s="34" t="n">
        <x:f>-H980</x:f>
        <x:v>-1.3548240991527623</x:v>
      </x:c>
      <x:c r="P980" s="34" t="n">
        <x:f>-G980</x:f>
        <x:v>-2.0192796868410934</x:v>
      </x:c>
      <x:c r="Q980" s="34" t="n">
        <x:f>-I980</x:f>
        <x:v>-2.2624212812539026</x:v>
      </x:c>
      <x:c r="R980" s="36" t="n">
        <x:f>YEAR(A980)</x:f>
        <x:v>2024</x:v>
      </x:c>
    </x:row>
    <x:row r="981">
      <x:c r="A981" s="30" t="n">
        <x:v>45610</x:v>
      </x:c>
      <x:c r="B981" s="38" t="n">
        <x:v>5949.17</x:v>
      </x:c>
      <x:c r="C981" s="34" t="n">
        <x:f>(B981/B980-1)*100</x:f>
        <x:v>-0.6049741202730607</x:v>
      </x:c>
      <x:c r="D981" s="34" t="n">
        <x:f>Assumptions!$B$4*D980+(1-Assumptions!$B$4)*C980^2</x:f>
        <x:v>0.7082577609535714</x:v>
      </x:c>
      <x:c r="E981" s="34" t="n">
        <x:f>SQRT(D981)</x:f>
        <x:v>0.8415805136489148</x:v>
      </x:c>
      <x:c r="F981" s="34" t="n">
        <x:f>-Assumptions!$B$7*E981</x:f>
        <x:v>1.3842767602471011</x:v>
      </x:c>
      <x:c r="G981" s="34" t="n">
        <x:f>-Assumptions!$B$8*E981</x:f>
        <x:v>1.9578090387613514</x:v>
      </x:c>
      <x:c r="H981" s="34" t="n">
        <x:f>-Assumptions!$B$9*E981</x:f>
        <x:v>1.3135807211543151</x:v>
      </x:c>
      <x:c r="I981" s="34" t="n">
        <x:f>-Assumptions!$B$10*E981</x:f>
        <x:v>2.193548948563012</x:v>
      </x:c>
      <x:c r="J981" s="36" t="n">
        <x:f>IF(C981&lt;-F981,1,0)</x:f>
        <x:v>0</x:v>
      </x:c>
      <x:c r="K981" s="36" t="n">
        <x:f>IF(C981&lt;-G981,1,0)</x:f>
        <x:v>0</x:v>
      </x:c>
      <x:c r="L981" s="36" t="n">
        <x:f>IF(C981&lt;-H981,1,0)</x:f>
        <x:v>0</x:v>
      </x:c>
      <x:c r="M981" s="36" t="n">
        <x:f>IF(C981&lt;-I981,1,0)</x:f>
        <x:v>0</x:v>
      </x:c>
      <x:c r="N981" s="34" t="n">
        <x:f>-F981</x:f>
        <x:v>-1.3842767602471011</x:v>
      </x:c>
      <x:c r="O981" s="34" t="n">
        <x:f>-H981</x:f>
        <x:v>-1.3135807211543151</x:v>
      </x:c>
      <x:c r="P981" s="34" t="n">
        <x:f>-G981</x:f>
        <x:v>-1.9578090387613514</x:v>
      </x:c>
      <x:c r="Q981" s="34" t="n">
        <x:f>-I981</x:f>
        <x:v>-2.193548948563012</x:v>
      </x:c>
      <x:c r="R981" s="36" t="n">
        <x:f>YEAR(A981)</x:f>
        <x:v>2024</x:v>
      </x:c>
    </x:row>
    <x:row r="982">
      <x:c r="A982" s="30" t="n">
        <x:v>45611</x:v>
      </x:c>
      <x:c r="B982" s="38" t="n">
        <x:v>5870.62</x:v>
      </x:c>
      <x:c r="C982" s="34" t="n">
        <x:f>(B982/B981-1)*100</x:f>
        <x:v>-1.3203522508181798</x:v>
      </x:c>
      <x:c r="D982" s="34" t="n">
        <x:f>Assumptions!$B$4*D981+(1-Assumptions!$B$4)*C981^2</x:f>
        <x:v>0.687721916468367</x:v>
      </x:c>
      <x:c r="E982" s="34" t="n">
        <x:f>SQRT(D982)</x:f>
        <x:v>0.8292900074572025</x:v>
      </x:c>
      <x:c r="F982" s="34" t="n">
        <x:f>-Assumptions!$B$7*E982</x:f>
        <x:v>1.3640606765605936</x:v>
      </x:c>
      <x:c r="G982" s="34" t="n">
        <x:f>-Assumptions!$B$8*E982</x:f>
        <x:v>1.9292170458113755</x:v>
      </x:c>
      <x:c r="H982" s="34" t="n">
        <x:f>-Assumptions!$B$9*E982</x:f>
        <x:v>1.2943970878300814</x:v>
      </x:c>
      <x:c r="I982" s="34" t="n">
        <x:f>-Assumptions!$B$10*E982</x:f>
        <x:v>2.161514191939138</x:v>
      </x:c>
      <x:c r="J982" s="36" t="n">
        <x:f>IF(C982&lt;-F982,1,0)</x:f>
        <x:v>0</x:v>
      </x:c>
      <x:c r="K982" s="36" t="n">
        <x:f>IF(C982&lt;-G982,1,0)</x:f>
        <x:v>0</x:v>
      </x:c>
      <x:c r="L982" s="36" t="n">
        <x:f>IF(C982&lt;-H982,1,0)</x:f>
        <x:v>1</x:v>
      </x:c>
      <x:c r="M982" s="36" t="n">
        <x:f>IF(C982&lt;-I982,1,0)</x:f>
        <x:v>0</x:v>
      </x:c>
      <x:c r="N982" s="34" t="n">
        <x:f>-F982</x:f>
        <x:v>-1.3640606765605936</x:v>
      </x:c>
      <x:c r="O982" s="34" t="n">
        <x:f>-H982</x:f>
        <x:v>-1.2943970878300814</x:v>
      </x:c>
      <x:c r="P982" s="34" t="n">
        <x:f>-G982</x:f>
        <x:v>-1.9292170458113755</x:v>
      </x:c>
      <x:c r="Q982" s="34" t="n">
        <x:f>-I982</x:f>
        <x:v>-2.161514191939138</x:v>
      </x:c>
      <x:c r="R982" s="36" t="n">
        <x:f>YEAR(A982)</x:f>
        <x:v>2024</x:v>
      </x:c>
    </x:row>
    <x:row r="983">
      <x:c r="A983" s="30" t="n">
        <x:v>45614</x:v>
      </x:c>
      <x:c r="B983" s="38" t="n">
        <x:v>5893.62</x:v>
      </x:c>
      <x:c r="C983" s="34" t="n">
        <x:f>(B983/B982-1)*100</x:f>
        <x:v>0.3917814472747416</x:v>
      </x:c>
      <x:c r="D983" s="34" t="n">
        <x:f>Assumptions!$B$4*D982+(1-Assumptions!$B$4)*C982^2</x:f>
        <x:v>0.751058405454703</x:v>
      </x:c>
      <x:c r="E983" s="34" t="n">
        <x:f>SQRT(D983)</x:f>
        <x:v>0.8666362590237631</x:v>
      </x:c>
      <x:c r="F983" s="34" t="n">
        <x:f>-Assumptions!$B$7*E983</x:f>
        <x:v>1.4254897939028928</x:v>
      </x:c>
      <x:c r="G983" s="34" t="n">
        <x:f>-Assumptions!$B$8*E983</x:f>
        <x:v>2.016097418746638</x:v>
      </x:c>
      <x:c r="H983" s="34" t="n">
        <x:f>-Assumptions!$B$9*E983</x:f>
        <x:v>1.3526889746663284</x:v>
      </x:c>
      <x:c r="I983" s="34" t="n">
        <x:f>-Assumptions!$B$10*E983</x:f>
        <x:v>2.2588558360575446</x:v>
      </x:c>
      <x:c r="J983" s="36" t="n">
        <x:f>IF(C983&lt;-F983,1,0)</x:f>
        <x:v>0</x:v>
      </x:c>
      <x:c r="K983" s="36" t="n">
        <x:f>IF(C983&lt;-G983,1,0)</x:f>
        <x:v>0</x:v>
      </x:c>
      <x:c r="L983" s="36" t="n">
        <x:f>IF(C983&lt;-H983,1,0)</x:f>
        <x:v>0</x:v>
      </x:c>
      <x:c r="M983" s="36" t="n">
        <x:f>IF(C983&lt;-I983,1,0)</x:f>
        <x:v>0</x:v>
      </x:c>
      <x:c r="N983" s="34" t="n">
        <x:f>-F983</x:f>
        <x:v>-1.4254897939028928</x:v>
      </x:c>
      <x:c r="O983" s="34" t="n">
        <x:f>-H983</x:f>
        <x:v>-1.3526889746663284</x:v>
      </x:c>
      <x:c r="P983" s="34" t="n">
        <x:f>-G983</x:f>
        <x:v>-2.016097418746638</x:v>
      </x:c>
      <x:c r="Q983" s="34" t="n">
        <x:f>-I983</x:f>
        <x:v>-2.2588558360575446</x:v>
      </x:c>
      <x:c r="R983" s="36" t="n">
        <x:f>YEAR(A983)</x:f>
        <x:v>2024</x:v>
      </x:c>
    </x:row>
    <x:row r="984">
      <x:c r="A984" s="30" t="n">
        <x:v>45615</x:v>
      </x:c>
      <x:c r="B984" s="38" t="n">
        <x:v>5916.98</x:v>
      </x:c>
      <x:c r="C984" s="34" t="n">
        <x:f>(B984/B983-1)*100</x:f>
        <x:v>0.39636081050355987</x:v>
      </x:c>
      <x:c r="D984" s="34" t="n">
        <x:f>Assumptions!$B$4*D983+(1-Assumptions!$B$4)*C983^2</x:f>
        <x:v>0.7152044632731422</x:v>
      </x:c>
      <x:c r="E984" s="34" t="n">
        <x:f>SQRT(D984)</x:f>
        <x:v>0.8456976192902178</x:v>
      </x:c>
      <x:c r="F984" s="34" t="n">
        <x:f>-Assumptions!$B$7*E984</x:f>
        <x:v>1.3910487963937406</x:v>
      </x:c>
      <x:c r="G984" s="34" t="n">
        <x:f>-Assumptions!$B$8*E984</x:f>
        <x:v>1.967386858717198</x:v>
      </x:c>
      <x:c r="H984" s="34" t="n">
        <x:f>-Assumptions!$B$9*E984</x:f>
        <x:v>1.3200069044007912</x:v>
      </x:c>
      <x:c r="I984" s="34" t="n">
        <x:f>-Assumptions!$B$10*E984</x:f>
        <x:v>2.204280034423646</x:v>
      </x:c>
      <x:c r="J984" s="36" t="n">
        <x:f>IF(C984&lt;-F984,1,0)</x:f>
        <x:v>0</x:v>
      </x:c>
      <x:c r="K984" s="36" t="n">
        <x:f>IF(C984&lt;-G984,1,0)</x:f>
        <x:v>0</x:v>
      </x:c>
      <x:c r="L984" s="36" t="n">
        <x:f>IF(C984&lt;-H984,1,0)</x:f>
        <x:v>0</x:v>
      </x:c>
      <x:c r="M984" s="36" t="n">
        <x:f>IF(C984&lt;-I984,1,0)</x:f>
        <x:v>0</x:v>
      </x:c>
      <x:c r="N984" s="34" t="n">
        <x:f>-F984</x:f>
        <x:v>-1.3910487963937406</x:v>
      </x:c>
      <x:c r="O984" s="34" t="n">
        <x:f>-H984</x:f>
        <x:v>-1.3200069044007912</x:v>
      </x:c>
      <x:c r="P984" s="34" t="n">
        <x:f>-G984</x:f>
        <x:v>-1.967386858717198</x:v>
      </x:c>
      <x:c r="Q984" s="34" t="n">
        <x:f>-I984</x:f>
        <x:v>-2.204280034423646</x:v>
      </x:c>
      <x:c r="R984" s="36" t="n">
        <x:f>YEAR(A984)</x:f>
        <x:v>2024</x:v>
      </x:c>
    </x:row>
    <x:row r="985">
      <x:c r="A985" s="30" t="n">
        <x:v>45616</x:v>
      </x:c>
      <x:c r="B985" s="38" t="n">
        <x:v>5917.11</x:v>
      </x:c>
      <x:c r="C985" s="34" t="n">
        <x:f>(B985/B984-1)*100</x:f>
        <x:v>0.0021970667468895755</x:v>
      </x:c>
      <x:c r="D985" s="34" t="n">
        <x:f>Assumptions!$B$4*D984+(1-Assumptions!$B$4)*C984^2</x:f>
        <x:v>0.6817183090029361</x:v>
      </x:c>
      <x:c r="E985" s="34" t="n">
        <x:f>SQRT(D985)</x:f>
        <x:v>0.8256623456370867</x:v>
      </x:c>
      <x:c r="F985" s="34" t="n">
        <x:f>-Assumptions!$B$7*E985</x:f>
        <x:v>1.3580937038584227</x:v>
      </x:c>
      <x:c r="G985" s="34" t="n">
        <x:f>-Assumptions!$B$8*E985</x:f>
        <x:v>1.9207778424484103</x:v>
      </x:c>
      <x:c r="H985" s="34" t="n">
        <x:f>-Assumptions!$B$9*E985</x:f>
        <x:v>1.2887348528418798</x:v>
      </x:c>
      <x:c r="I985" s="34" t="n">
        <x:f>-Assumptions!$B$10*E985</x:f>
        <x:v>2.1520588235671263</x:v>
      </x:c>
      <x:c r="J985" s="36" t="n">
        <x:f>IF(C985&lt;-F985,1,0)</x:f>
        <x:v>0</x:v>
      </x:c>
      <x:c r="K985" s="36" t="n">
        <x:f>IF(C985&lt;-G985,1,0)</x:f>
        <x:v>0</x:v>
      </x:c>
      <x:c r="L985" s="36" t="n">
        <x:f>IF(C985&lt;-H985,1,0)</x:f>
        <x:v>0</x:v>
      </x:c>
      <x:c r="M985" s="36" t="n">
        <x:f>IF(C985&lt;-I985,1,0)</x:f>
        <x:v>0</x:v>
      </x:c>
      <x:c r="N985" s="34" t="n">
        <x:f>-F985</x:f>
        <x:v>-1.3580937038584227</x:v>
      </x:c>
      <x:c r="O985" s="34" t="n">
        <x:f>-H985</x:f>
        <x:v>-1.2887348528418798</x:v>
      </x:c>
      <x:c r="P985" s="34" t="n">
        <x:f>-G985</x:f>
        <x:v>-1.9207778424484103</x:v>
      </x:c>
      <x:c r="Q985" s="34" t="n">
        <x:f>-I985</x:f>
        <x:v>-2.1520588235671263</x:v>
      </x:c>
      <x:c r="R985" s="36" t="n">
        <x:f>YEAR(A985)</x:f>
        <x:v>2024</x:v>
      </x:c>
    </x:row>
    <x:row r="986">
      <x:c r="A986" s="30" t="n">
        <x:v>45617</x:v>
      </x:c>
      <x:c r="B986" s="38" t="n">
        <x:v>5948.71</x:v>
      </x:c>
      <x:c r="C986" s="34" t="n">
        <x:f>(B986/B985-1)*100</x:f>
        <x:v>0.5340444913141784</x:v>
      </x:c>
      <x:c r="D986" s="34" t="n">
        <x:f>Assumptions!$B$4*D985+(1-Assumptions!$B$4)*C985^2</x:f>
        <x:v>0.6408155000888973</x:v>
      </x:c>
      <x:c r="E986" s="34" t="n">
        <x:f>SQRT(D986)</x:f>
        <x:v>0.8005095252955441</x:v>
      </x:c>
      <x:c r="F986" s="34" t="n">
        <x:f>-Assumptions!$B$7*E986</x:f>
        <x:v>1.3167209960915776</x:v>
      </x:c>
      <x:c r="G986" s="34" t="n">
        <x:f>-Assumptions!$B$8*E986</x:f>
        <x:v>1.8622636323207313</x:v>
      </x:c>
      <x:c r="H986" s="34" t="n">
        <x:f>-Assumptions!$B$9*E986</x:f>
        <x:v>1.2494750798938905</x:v>
      </x:c>
      <x:c r="I986" s="34" t="n">
        <x:f>-Assumptions!$B$10*E986</x:f>
        <x:v>2.086498913708517</x:v>
      </x:c>
      <x:c r="J986" s="36" t="n">
        <x:f>IF(C986&lt;-F986,1,0)</x:f>
        <x:v>0</x:v>
      </x:c>
      <x:c r="K986" s="36" t="n">
        <x:f>IF(C986&lt;-G986,1,0)</x:f>
        <x:v>0</x:v>
      </x:c>
      <x:c r="L986" s="36" t="n">
        <x:f>IF(C986&lt;-H986,1,0)</x:f>
        <x:v>0</x:v>
      </x:c>
      <x:c r="M986" s="36" t="n">
        <x:f>IF(C986&lt;-I986,1,0)</x:f>
        <x:v>0</x:v>
      </x:c>
      <x:c r="N986" s="34" t="n">
        <x:f>-F986</x:f>
        <x:v>-1.3167209960915776</x:v>
      </x:c>
      <x:c r="O986" s="34" t="n">
        <x:f>-H986</x:f>
        <x:v>-1.2494750798938905</x:v>
      </x:c>
      <x:c r="P986" s="34" t="n">
        <x:f>-G986</x:f>
        <x:v>-1.8622636323207313</x:v>
      </x:c>
      <x:c r="Q986" s="34" t="n">
        <x:f>-I986</x:f>
        <x:v>-2.086498913708517</x:v>
      </x:c>
      <x:c r="R986" s="36" t="n">
        <x:f>YEAR(A986)</x:f>
        <x:v>2024</x:v>
      </x:c>
    </x:row>
    <x:row r="987">
      <x:c r="A987" s="30" t="n">
        <x:v>45618</x:v>
      </x:c>
      <x:c r="B987" s="38" t="n">
        <x:v>5969.34</x:v>
      </x:c>
      <x:c r="C987" s="34" t="n">
        <x:f>(B987/B986-1)*100</x:f>
        <x:v>0.34679787718681077</x:v>
      </x:c>
      <x:c r="D987" s="34" t="n">
        <x:f>Assumptions!$B$4*D986+(1-Assumptions!$B$4)*C986^2</x:f>
        <x:v>0.6194787812057446</x:v>
      </x:c>
      <x:c r="E987" s="34" t="n">
        <x:f>SQRT(D987)</x:f>
        <x:v>0.7870697435461134</x:v>
      </x:c>
      <x:c r="F987" s="34" t="n">
        <x:f>-Assumptions!$B$7*E987</x:f>
        <x:v>1.2946145223355903</x:v>
      </x:c>
      <x:c r="G987" s="34" t="n">
        <x:f>-Assumptions!$B$8*E987</x:f>
        <x:v>1.8309980246203703</x:v>
      </x:c>
      <x:c r="H987" s="34" t="n">
        <x:f>-Assumptions!$B$9*E987</x:f>
        <x:v>1.228497600120709</x:v>
      </x:c>
      <x:c r="I987" s="34" t="n">
        <x:f>-Assumptions!$B$10*E987</x:f>
        <x:v>2.0514686122135863</x:v>
      </x:c>
      <x:c r="J987" s="36" t="n">
        <x:f>IF(C987&lt;-F987,1,0)</x:f>
        <x:v>0</x:v>
      </x:c>
      <x:c r="K987" s="36" t="n">
        <x:f>IF(C987&lt;-G987,1,0)</x:f>
        <x:v>0</x:v>
      </x:c>
      <x:c r="L987" s="36" t="n">
        <x:f>IF(C987&lt;-H987,1,0)</x:f>
        <x:v>0</x:v>
      </x:c>
      <x:c r="M987" s="36" t="n">
        <x:f>IF(C987&lt;-I987,1,0)</x:f>
        <x:v>0</x:v>
      </x:c>
      <x:c r="N987" s="34" t="n">
        <x:f>-F987</x:f>
        <x:v>-1.2946145223355903</x:v>
      </x:c>
      <x:c r="O987" s="34" t="n">
        <x:f>-H987</x:f>
        <x:v>-1.228497600120709</x:v>
      </x:c>
      <x:c r="P987" s="34" t="n">
        <x:f>-G987</x:f>
        <x:v>-1.8309980246203703</x:v>
      </x:c>
      <x:c r="Q987" s="34" t="n">
        <x:f>-I987</x:f>
        <x:v>-2.0514686122135863</x:v>
      </x:c>
      <x:c r="R987" s="36" t="n">
        <x:f>YEAR(A987)</x:f>
        <x:v>2024</x:v>
      </x:c>
    </x:row>
    <x:row r="988">
      <x:c r="A988" s="30" t="n">
        <x:v>45621</x:v>
      </x:c>
      <x:c r="B988" s="38" t="n">
        <x:v>5987.37</x:v>
      </x:c>
      <x:c r="C988" s="34" t="n">
        <x:f>(B988/B987-1)*100</x:f>
        <x:v>0.30204344198856425</x:v>
      </x:c>
      <x:c r="D988" s="34" t="n">
        <x:f>Assumptions!$B$4*D987+(1-Assumptions!$B$4)*C987^2</x:f>
        <x:v>0.5895261803906766</x:v>
      </x:c>
      <x:c r="E988" s="34" t="n">
        <x:f>SQRT(D988)</x:f>
        <x:v>0.7678060825434223</x:v>
      </x:c>
      <x:c r="F988" s="34" t="n">
        <x:f>-Assumptions!$B$7*E988</x:f>
        <x:v>1.26292861966695</x:v>
      </x:c>
      <x:c r="G988" s="34" t="n">
        <x:f>-Assumptions!$B$8*E988</x:f>
        <x:v>1.7861840478005164</x:v>
      </x:c>
      <x:c r="H988" s="34" t="n">
        <x:f>-Assumptions!$B$9*E988</x:f>
        <x:v>1.1984299199622501</x:v>
      </x:c>
      <x:c r="I988" s="34" t="n">
        <x:f>-Assumptions!$B$10*E988</x:f>
        <x:v>2.0012585816192283</x:v>
      </x:c>
      <x:c r="J988" s="36" t="n">
        <x:f>IF(C988&lt;-F988,1,0)</x:f>
        <x:v>0</x:v>
      </x:c>
      <x:c r="K988" s="36" t="n">
        <x:f>IF(C988&lt;-G988,1,0)</x:f>
        <x:v>0</x:v>
      </x:c>
      <x:c r="L988" s="36" t="n">
        <x:f>IF(C988&lt;-H988,1,0)</x:f>
        <x:v>0</x:v>
      </x:c>
      <x:c r="M988" s="36" t="n">
        <x:f>IF(C988&lt;-I988,1,0)</x:f>
        <x:v>0</x:v>
      </x:c>
      <x:c r="N988" s="34" t="n">
        <x:f>-F988</x:f>
        <x:v>-1.26292861966695</x:v>
      </x:c>
      <x:c r="O988" s="34" t="n">
        <x:f>-H988</x:f>
        <x:v>-1.1984299199622501</x:v>
      </x:c>
      <x:c r="P988" s="34" t="n">
        <x:f>-G988</x:f>
        <x:v>-1.7861840478005164</x:v>
      </x:c>
      <x:c r="Q988" s="34" t="n">
        <x:f>-I988</x:f>
        <x:v>-2.0012585816192283</x:v>
      </x:c>
      <x:c r="R988" s="36" t="n">
        <x:f>YEAR(A988)</x:f>
        <x:v>2024</x:v>
      </x:c>
    </x:row>
    <x:row r="989">
      <x:c r="A989" s="30" t="n">
        <x:v>45622</x:v>
      </x:c>
      <x:c r="B989" s="38" t="n">
        <x:v>6021.63</x:v>
      </x:c>
      <x:c r="C989" s="34" t="n">
        <x:f>(B989/B988-1)*100</x:f>
        <x:v>0.5722044904524104</x:v>
      </x:c>
      <x:c r="D989" s="34" t="n">
        <x:f>Assumptions!$B$4*D988+(1-Assumptions!$B$4)*C988^2</x:f>
        <x:v>0.559628424018134</x:v>
      </x:c>
      <x:c r="E989" s="34" t="n">
        <x:f>SQRT(D989)</x:f>
        <x:v>0.7480831665116746</x:v>
      </x:c>
      <x:c r="F989" s="34" t="n">
        <x:f>-Assumptions!$B$7*E989</x:f>
        <x:v>1.2304873096980706</x:v>
      </x:c>
      <x:c r="G989" s="34" t="n">
        <x:f>-Assumptions!$B$8*E989</x:f>
        <x:v>1.7403016840201742</x:v>
      </x:c>
      <x:c r="H989" s="34" t="n">
        <x:f>-Assumptions!$B$9*E989</x:f>
        <x:v>1.167645411713694</x:v>
      </x:c>
      <x:c r="I989" s="34" t="n">
        <x:f>-Assumptions!$B$10*E989</x:f>
        <x:v>1.9498515195231056</x:v>
      </x:c>
      <x:c r="J989" s="36" t="n">
        <x:f>IF(C989&lt;-F989,1,0)</x:f>
        <x:v>0</x:v>
      </x:c>
      <x:c r="K989" s="36" t="n">
        <x:f>IF(C989&lt;-G989,1,0)</x:f>
        <x:v>0</x:v>
      </x:c>
      <x:c r="L989" s="36" t="n">
        <x:f>IF(C989&lt;-H989,1,0)</x:f>
        <x:v>0</x:v>
      </x:c>
      <x:c r="M989" s="36" t="n">
        <x:f>IF(C989&lt;-I989,1,0)</x:f>
        <x:v>0</x:v>
      </x:c>
      <x:c r="N989" s="34" t="n">
        <x:f>-F989</x:f>
        <x:v>-1.2304873096980706</x:v>
      </x:c>
      <x:c r="O989" s="34" t="n">
        <x:f>-H989</x:f>
        <x:v>-1.167645411713694</x:v>
      </x:c>
      <x:c r="P989" s="34" t="n">
        <x:f>-G989</x:f>
        <x:v>-1.7403016840201742</x:v>
      </x:c>
      <x:c r="Q989" s="34" t="n">
        <x:f>-I989</x:f>
        <x:v>-1.9498515195231056</x:v>
      </x:c>
      <x:c r="R989" s="36" t="n">
        <x:f>YEAR(A989)</x:f>
        <x:v>2024</x:v>
      </x:c>
    </x:row>
    <x:row r="990">
      <x:c r="A990" s="30" t="n">
        <x:v>45623</x:v>
      </x:c>
      <x:c r="B990" s="38" t="n">
        <x:v>5998.74</x:v>
      </x:c>
      <x:c r="C990" s="34" t="n">
        <x:f>(B990/B989-1)*100</x:f>
        <x:v>-0.38012963267421984</x:v>
      </x:c>
      <x:c r="D990" s="34" t="n">
        <x:f>Assumptions!$B$4*D989+(1-Assumptions!$B$4)*C989^2</x:f>
        <x:v>0.5456957973106801</x:v>
      </x:c>
      <x:c r="E990" s="34" t="n">
        <x:f>SQRT(D990)</x:f>
        <x:v>0.7387122560988684</x:v>
      </x:c>
      <x:c r="F990" s="34" t="n">
        <x:f>-Assumptions!$B$7*E990</x:f>
        <x:v>1.215073533717729</x:v>
      </x:c>
      <x:c r="G990" s="34" t="n">
        <x:f>-Assumptions!$B$8*E990</x:f>
        <x:v>1.7185016865035152</x:v>
      </x:c>
      <x:c r="H990" s="34" t="n">
        <x:f>-Assumptions!$B$9*E990</x:f>
        <x:v>1.1530188286853449</x:v>
      </x:c>
      <x:c r="I990" s="34" t="n">
        <x:f>-Assumptions!$B$10*E990</x:f>
        <x:v>1.9254265829309254</x:v>
      </x:c>
      <x:c r="J990" s="36" t="n">
        <x:f>IF(C990&lt;-F990,1,0)</x:f>
        <x:v>0</x:v>
      </x:c>
      <x:c r="K990" s="36" t="n">
        <x:f>IF(C990&lt;-G990,1,0)</x:f>
        <x:v>0</x:v>
      </x:c>
      <x:c r="L990" s="36" t="n">
        <x:f>IF(C990&lt;-H990,1,0)</x:f>
        <x:v>0</x:v>
      </x:c>
      <x:c r="M990" s="36" t="n">
        <x:f>IF(C990&lt;-I990,1,0)</x:f>
        <x:v>0</x:v>
      </x:c>
      <x:c r="N990" s="34" t="n">
        <x:f>-F990</x:f>
        <x:v>-1.215073533717729</x:v>
      </x:c>
      <x:c r="O990" s="34" t="n">
        <x:f>-H990</x:f>
        <x:v>-1.1530188286853449</x:v>
      </x:c>
      <x:c r="P990" s="34" t="n">
        <x:f>-G990</x:f>
        <x:v>-1.7185016865035152</x:v>
      </x:c>
      <x:c r="Q990" s="34" t="n">
        <x:f>-I990</x:f>
        <x:v>-1.9254265829309254</x:v>
      </x:c>
      <x:c r="R990" s="36" t="n">
        <x:f>YEAR(A990)</x:f>
        <x:v>2024</x:v>
      </x:c>
    </x:row>
    <x:row r="991">
      <x:c r="A991" s="30" t="n">
        <x:v>45625</x:v>
      </x:c>
      <x:c r="B991" s="38" t="n">
        <x:v>6032.38</x:v>
      </x:c>
      <x:c r="C991" s="34" t="n">
        <x:f>(B991/B990-1)*100</x:f>
        <x:v>0.5607844313972654</x:v>
      </x:c>
      <x:c r="D991" s="34" t="n">
        <x:f>Assumptions!$B$4*D990+(1-Assumptions!$B$4)*C990^2</x:f>
        <x:v>0.5216239617302615</x:v>
      </x:c>
      <x:c r="E991" s="34" t="n">
        <x:f>SQRT(D991)</x:f>
        <x:v>0.7222353921889051</x:v>
      </x:c>
      <x:c r="F991" s="34" t="n">
        <x:f>-Assumptions!$B$7*E991</x:f>
        <x:v>1.18797150435464</x:v>
      </x:c>
      <x:c r="G991" s="34" t="n">
        <x:f>-Assumptions!$B$8*E991</x:f>
        <x:v>1.680170769175712</x:v>
      </x:c>
      <x:c r="H991" s="34" t="n">
        <x:f>-Assumptions!$B$9*E991</x:f>
        <x:v>1.1273009200287285</x:v>
      </x:c>
      <x:c r="I991" s="34" t="n">
        <x:f>-Assumptions!$B$10*E991</x:f>
        <x:v>1.8824802374308278</x:v>
      </x:c>
      <x:c r="J991" s="36" t="n">
        <x:f>IF(C991&lt;-F991,1,0)</x:f>
        <x:v>0</x:v>
      </x:c>
      <x:c r="K991" s="36" t="n">
        <x:f>IF(C991&lt;-G991,1,0)</x:f>
        <x:v>0</x:v>
      </x:c>
      <x:c r="L991" s="36" t="n">
        <x:f>IF(C991&lt;-H991,1,0)</x:f>
        <x:v>0</x:v>
      </x:c>
      <x:c r="M991" s="36" t="n">
        <x:f>IF(C991&lt;-I991,1,0)</x:f>
        <x:v>0</x:v>
      </x:c>
      <x:c r="N991" s="34" t="n">
        <x:f>-F991</x:f>
        <x:v>-1.18797150435464</x:v>
      </x:c>
      <x:c r="O991" s="34" t="n">
        <x:f>-H991</x:f>
        <x:v>-1.1273009200287285</x:v>
      </x:c>
      <x:c r="P991" s="34" t="n">
        <x:f>-G991</x:f>
        <x:v>-1.680170769175712</x:v>
      </x:c>
      <x:c r="Q991" s="34" t="n">
        <x:f>-I991</x:f>
        <x:v>-1.8824802374308278</x:v>
      </x:c>
      <x:c r="R991" s="36" t="n">
        <x:f>YEAR(A991)</x:f>
        <x:v>2024</x:v>
      </x:c>
    </x:row>
    <x:row r="992">
      <x:c r="A992" s="30" t="n">
        <x:v>45628</x:v>
      </x:c>
      <x:c r="B992" s="38" t="n">
        <x:v>6047.15</x:v>
      </x:c>
      <x:c r="C992" s="34" t="n">
        <x:f>(B992/B991-1)*100</x:f>
        <x:v>0.24484531809998433</x:v>
      </x:c>
      <x:c r="D992" s="34" t="n">
        <x:f>Assumptions!$B$4*D991+(1-Assumptions!$B$4)*C991^2</x:f>
        <x:v>0.509195274736299</x:v>
      </x:c>
      <x:c r="E992" s="34" t="n">
        <x:f>SQRT(D992)</x:f>
        <x:v>0.7135792000446054</x:v>
      </x:c>
      <x:c r="F992" s="34" t="n">
        <x:f>-Assumptions!$B$7*E992</x:f>
        <x:v>1.1737333353104997</x:v>
      </x:c>
      <x:c r="G992" s="34" t="n">
        <x:f>-Assumptions!$B$8*E992</x:f>
        <x:v>1.6600334549835312</x:v>
      </x:c>
      <x:c r="H992" s="34" t="n">
        <x:f>-Assumptions!$B$9*E992</x:f>
        <x:v>1.1137899048199056</x:v>
      </x:c>
      <x:c r="I992" s="34" t="n">
        <x:f>-Assumptions!$B$10*E992</x:f>
        <x:v>1.8599181879670623</x:v>
      </x:c>
      <x:c r="J992" s="36" t="n">
        <x:f>IF(C992&lt;-F992,1,0)</x:f>
        <x:v>0</x:v>
      </x:c>
      <x:c r="K992" s="36" t="n">
        <x:f>IF(C992&lt;-G992,1,0)</x:f>
        <x:v>0</x:v>
      </x:c>
      <x:c r="L992" s="36" t="n">
        <x:f>IF(C992&lt;-H992,1,0)</x:f>
        <x:v>0</x:v>
      </x:c>
      <x:c r="M992" s="36" t="n">
        <x:f>IF(C992&lt;-I992,1,0)</x:f>
        <x:v>0</x:v>
      </x:c>
      <x:c r="N992" s="34" t="n">
        <x:f>-F992</x:f>
        <x:v>-1.1737333353104997</x:v>
      </x:c>
      <x:c r="O992" s="34" t="n">
        <x:f>-H992</x:f>
        <x:v>-1.1137899048199056</x:v>
      </x:c>
      <x:c r="P992" s="34" t="n">
        <x:f>-G992</x:f>
        <x:v>-1.6600334549835312</x:v>
      </x:c>
      <x:c r="Q992" s="34" t="n">
        <x:f>-I992</x:f>
        <x:v>-1.8599181879670623</x:v>
      </x:c>
      <x:c r="R992" s="36" t="n">
        <x:f>YEAR(A992)</x:f>
        <x:v>2024</x:v>
      </x:c>
    </x:row>
    <x:row r="993">
      <x:c r="A993" s="30" t="n">
        <x:v>45629</x:v>
      </x:c>
      <x:c r="B993" s="38" t="n">
        <x:v>6049.88</x:v>
      </x:c>
      <x:c r="C993" s="34" t="n">
        <x:f>(B993/B992-1)*100</x:f>
        <x:v>0.04514523370513501</x:v>
      </x:c>
      <x:c r="D993" s="34" t="n">
        <x:f>Assumptions!$B$4*D992+(1-Assumptions!$B$4)*C992^2</x:f>
        <x:v>0.48224051203984997</x:v>
      </x:c>
      <x:c r="E993" s="34" t="n">
        <x:f>SQRT(D993)</x:f>
        <x:v>0.6944353908318973</x:v>
      </x:c>
      <x:c r="F993" s="34" t="n">
        <x:f>-Assumptions!$B$7*E993</x:f>
        <x:v>1.1422445712933098</x:v>
      </x:c>
      <x:c r="G993" s="34" t="n">
        <x:f>-Assumptions!$B$8*E993</x:f>
        <x:v>1.6154982951205044</x:v>
      </x:c>
      <x:c r="H993" s="34" t="n">
        <x:f>-Assumptions!$B$9*E993</x:f>
        <x:v>1.0839092952960017</x:v>
      </x:c>
      <x:c r="I993" s="34" t="n">
        <x:f>-Assumptions!$B$10*E993</x:f>
        <x:v>1.810020546696883</x:v>
      </x:c>
      <x:c r="J993" s="36" t="n">
        <x:f>IF(C993&lt;-F993,1,0)</x:f>
        <x:v>0</x:v>
      </x:c>
      <x:c r="K993" s="36" t="n">
        <x:f>IF(C993&lt;-G993,1,0)</x:f>
        <x:v>0</x:v>
      </x:c>
      <x:c r="L993" s="36" t="n">
        <x:f>IF(C993&lt;-H993,1,0)</x:f>
        <x:v>0</x:v>
      </x:c>
      <x:c r="M993" s="36" t="n">
        <x:f>IF(C993&lt;-I993,1,0)</x:f>
        <x:v>0</x:v>
      </x:c>
      <x:c r="N993" s="34" t="n">
        <x:f>-F993</x:f>
        <x:v>-1.1422445712933098</x:v>
      </x:c>
      <x:c r="O993" s="34" t="n">
        <x:f>-H993</x:f>
        <x:v>-1.0839092952960017</x:v>
      </x:c>
      <x:c r="P993" s="34" t="n">
        <x:f>-G993</x:f>
        <x:v>-1.6154982951205044</x:v>
      </x:c>
      <x:c r="Q993" s="34" t="n">
        <x:f>-I993</x:f>
        <x:v>-1.810020546696883</x:v>
      </x:c>
      <x:c r="R993" s="36" t="n">
        <x:f>YEAR(A993)</x:f>
        <x:v>2024</x:v>
      </x:c>
    </x:row>
    <x:row r="994">
      <x:c r="A994" s="30" t="n">
        <x:v>45630</x:v>
      </x:c>
      <x:c r="B994" s="38" t="n">
        <x:v>6086.49</x:v>
      </x:c>
      <x:c r="C994" s="34" t="n">
        <x:f>(B994/B993-1)*100</x:f>
        <x:v>0.6051359696390701</x:v>
      </x:c>
      <x:c r="D994" s="34" t="n">
        <x:f>Assumptions!$B$4*D993+(1-Assumptions!$B$4)*C993^2</x:f>
        <x:v>0.4534283668450364</x:v>
      </x:c>
      <x:c r="E994" s="34" t="n">
        <x:f>SQRT(D994)</x:f>
        <x:v>0.6733708984245135</x:v>
      </x:c>
      <x:c r="F994" s="34" t="n">
        <x:f>-Assumptions!$B$7*E994</x:f>
        <x:v>1.1075965645571328</x:v>
      </x:c>
      <x:c r="G994" s="34" t="n">
        <x:f>-Assumptions!$B$8*E994</x:f>
        <x:v>1.5664949579908376</x:v>
      </x:c>
      <x:c r="H994" s="34" t="n">
        <x:f>-Assumptions!$B$9*E994</x:f>
        <x:v>1.0510307879179375</x:v>
      </x:c>
      <x:c r="I994" s="34" t="n">
        <x:f>-Assumptions!$B$10*E994</x:f>
        <x:v>1.755116714653659</x:v>
      </x:c>
      <x:c r="J994" s="36" t="n">
        <x:f>IF(C994&lt;-F994,1,0)</x:f>
        <x:v>0</x:v>
      </x:c>
      <x:c r="K994" s="36" t="n">
        <x:f>IF(C994&lt;-G994,1,0)</x:f>
        <x:v>0</x:v>
      </x:c>
      <x:c r="L994" s="36" t="n">
        <x:f>IF(C994&lt;-H994,1,0)</x:f>
        <x:v>0</x:v>
      </x:c>
      <x:c r="M994" s="36" t="n">
        <x:f>IF(C994&lt;-I994,1,0)</x:f>
        <x:v>0</x:v>
      </x:c>
      <x:c r="N994" s="34" t="n">
        <x:f>-F994</x:f>
        <x:v>-1.1075965645571328</x:v>
      </x:c>
      <x:c r="O994" s="34" t="n">
        <x:f>-H994</x:f>
        <x:v>-1.0510307879179375</x:v>
      </x:c>
      <x:c r="P994" s="34" t="n">
        <x:f>-G994</x:f>
        <x:v>-1.5664949579908376</x:v>
      </x:c>
      <x:c r="Q994" s="34" t="n">
        <x:f>-I994</x:f>
        <x:v>-1.755116714653659</x:v>
      </x:c>
      <x:c r="R994" s="36" t="n">
        <x:f>YEAR(A994)</x:f>
        <x:v>2024</x:v>
      </x:c>
    </x:row>
    <x:row r="995">
      <x:c r="A995" s="30" t="n">
        <x:v>45631</x:v>
      </x:c>
      <x:c r="B995" s="38" t="n">
        <x:v>6075.11</x:v>
      </x:c>
      <x:c r="C995" s="34" t="n">
        <x:f>(B995/B994-1)*100</x:f>
        <x:v>-0.18697147288503357</x:v>
      </x:c>
      <x:c r="D995" s="34" t="n">
        <x:f>Assumptions!$B$4*D994+(1-Assumptions!$B$4)*C994^2</x:f>
        <x:v>0.4481940373393953</x:v>
      </x:c>
      <x:c r="E995" s="34" t="n">
        <x:f>SQRT(D995)</x:f>
        <x:v>0.6694729548976532</x:v>
      </x:c>
      <x:c r="F995" s="34" t="n">
        <x:f>-Assumptions!$B$7*E995</x:f>
        <x:v>1.1011850180093248</x:v>
      </x:c>
      <x:c r="G995" s="34" t="n">
        <x:f>-Assumptions!$B$8*E995</x:f>
        <x:v>1.557426985353995</x:v>
      </x:c>
      <x:c r="H995" s="34" t="n">
        <x:f>-Assumptions!$B$9*E995</x:f>
        <x:v>1.044946683799567</x:v>
      </x:c>
      <x:c r="I995" s="34" t="n">
        <x:f>-Assumptions!$B$10*E995</x:f>
        <x:v>1.7449568668598574</x:v>
      </x:c>
      <x:c r="J995" s="36" t="n">
        <x:f>IF(C995&lt;-F995,1,0)</x:f>
        <x:v>0</x:v>
      </x:c>
      <x:c r="K995" s="36" t="n">
        <x:f>IF(C995&lt;-G995,1,0)</x:f>
        <x:v>0</x:v>
      </x:c>
      <x:c r="L995" s="36" t="n">
        <x:f>IF(C995&lt;-H995,1,0)</x:f>
        <x:v>0</x:v>
      </x:c>
      <x:c r="M995" s="36" t="n">
        <x:f>IF(C995&lt;-I995,1,0)</x:f>
        <x:v>0</x:v>
      </x:c>
      <x:c r="N995" s="34" t="n">
        <x:f>-F995</x:f>
        <x:v>-1.1011850180093248</x:v>
      </x:c>
      <x:c r="O995" s="34" t="n">
        <x:f>-H995</x:f>
        <x:v>-1.044946683799567</x:v>
      </x:c>
      <x:c r="P995" s="34" t="n">
        <x:f>-G995</x:f>
        <x:v>-1.557426985353995</x:v>
      </x:c>
      <x:c r="Q995" s="34" t="n">
        <x:f>-I995</x:f>
        <x:v>-1.7449568668598574</x:v>
      </x:c>
      <x:c r="R995" s="36" t="n">
        <x:f>YEAR(A995)</x:f>
        <x:v>2024</x:v>
      </x:c>
    </x:row>
    <x:row r="996">
      <x:c r="A996" s="30" t="n">
        <x:v>45632</x:v>
      </x:c>
      <x:c r="B996" s="38" t="n">
        <x:v>6090.27</x:v>
      </x:c>
      <x:c r="C996" s="34" t="n">
        <x:f>(B996/B995-1)*100</x:f>
        <x:v>0.2495428066323191</x:v>
      </x:c>
      <x:c r="D996" s="34" t="n">
        <x:f>Assumptions!$B$4*D995+(1-Assumptions!$B$4)*C995^2</x:f>
        <x:v>0.4233998949993995</x:v>
      </x:c>
      <x:c r="E996" s="34" t="n">
        <x:f>SQRT(D996)</x:f>
        <x:v>0.6506918587160896</x:v>
      </x:c>
      <x:c r="F996" s="34" t="n">
        <x:f>-Assumptions!$B$7*E996</x:f>
        <x:v>1.0702928638369553</x:v>
      </x:c>
      <x:c r="G996" s="34" t="n">
        <x:f>-Assumptions!$B$8*E996</x:f>
        <x:v>1.513735622179858</x:v>
      </x:c>
      <x:c r="H996" s="34" t="n">
        <x:f>-Assumptions!$B$9*E996</x:f>
        <x:v>1.0156322148139663</x:v>
      </x:c>
      <x:c r="I996" s="34" t="n">
        <x:f>-Assumptions!$B$10*E996</x:f>
        <x:v>1.6960046238910804</x:v>
      </x:c>
      <x:c r="J996" s="36" t="n">
        <x:f>IF(C996&lt;-F996,1,0)</x:f>
        <x:v>0</x:v>
      </x:c>
      <x:c r="K996" s="36" t="n">
        <x:f>IF(C996&lt;-G996,1,0)</x:f>
        <x:v>0</x:v>
      </x:c>
      <x:c r="L996" s="36" t="n">
        <x:f>IF(C996&lt;-H996,1,0)</x:f>
        <x:v>0</x:v>
      </x:c>
      <x:c r="M996" s="36" t="n">
        <x:f>IF(C996&lt;-I996,1,0)</x:f>
        <x:v>0</x:v>
      </x:c>
      <x:c r="N996" s="34" t="n">
        <x:f>-F996</x:f>
        <x:v>-1.0702928638369553</x:v>
      </x:c>
      <x:c r="O996" s="34" t="n">
        <x:f>-H996</x:f>
        <x:v>-1.0156322148139663</x:v>
      </x:c>
      <x:c r="P996" s="34" t="n">
        <x:f>-G996</x:f>
        <x:v>-1.513735622179858</x:v>
      </x:c>
      <x:c r="Q996" s="34" t="n">
        <x:f>-I996</x:f>
        <x:v>-1.6960046238910804</x:v>
      </x:c>
      <x:c r="R996" s="36" t="n">
        <x:f>YEAR(A996)</x:f>
        <x:v>2024</x:v>
      </x:c>
    </x:row>
    <x:row r="997">
      <x:c r="A997" s="30" t="n">
        <x:v>45635</x:v>
      </x:c>
      <x:c r="B997" s="38" t="n">
        <x:v>6052.85</x:v>
      </x:c>
      <x:c r="C997" s="34" t="n">
        <x:f>(B997/B996-1)*100</x:f>
        <x:v>-0.6144226774839168</x:v>
      </x:c>
      <x:c r="D997" s="34" t="n">
        <x:f>Assumptions!$B$4*D996+(1-Assumptions!$B$4)*C996^2</x:f>
        <x:v>0.40173219803995164</x:v>
      </x:c>
      <x:c r="E997" s="34" t="n">
        <x:f>SQRT(D997)</x:f>
        <x:v>0.633823475456654</x:v>
      </x:c>
      <x:c r="F997" s="34" t="n">
        <x:f>-Assumptions!$B$7*E997</x:f>
        <x:v>1.0425468424518651</x:v>
      </x:c>
      <x:c r="G997" s="34" t="n">
        <x:f>-Assumptions!$B$8*E997</x:f>
        <x:v>1.4744938946457637</x:v>
      </x:c>
      <x:c r="H997" s="34" t="n">
        <x:f>-Assumptions!$B$9*E997</x:f>
        <x:v>0.9893032032847372</x:v>
      </x:c>
      <x:c r="I997" s="34" t="n">
        <x:f>-Assumptions!$B$10*E997</x:f>
        <x:v>1.652037797470324</x:v>
      </x:c>
      <x:c r="J997" s="36" t="n">
        <x:f>IF(C997&lt;-F997,1,0)</x:f>
        <x:v>0</x:v>
      </x:c>
      <x:c r="K997" s="36" t="n">
        <x:f>IF(C997&lt;-G997,1,0)</x:f>
        <x:v>0</x:v>
      </x:c>
      <x:c r="L997" s="36" t="n">
        <x:f>IF(C997&lt;-H997,1,0)</x:f>
        <x:v>0</x:v>
      </x:c>
      <x:c r="M997" s="36" t="n">
        <x:f>IF(C997&lt;-I997,1,0)</x:f>
        <x:v>0</x:v>
      </x:c>
      <x:c r="N997" s="34" t="n">
        <x:f>-F997</x:f>
        <x:v>-1.0425468424518651</x:v>
      </x:c>
      <x:c r="O997" s="34" t="n">
        <x:f>-H997</x:f>
        <x:v>-0.9893032032847372</x:v>
      </x:c>
      <x:c r="P997" s="34" t="n">
        <x:f>-G997</x:f>
        <x:v>-1.4744938946457637</x:v>
      </x:c>
      <x:c r="Q997" s="34" t="n">
        <x:f>-I997</x:f>
        <x:v>-1.652037797470324</x:v>
      </x:c>
      <x:c r="R997" s="36" t="n">
        <x:f>YEAR(A997)</x:f>
        <x:v>2024</x:v>
      </x:c>
    </x:row>
    <x:row r="998">
      <x:c r="A998" s="30" t="n">
        <x:v>45636</x:v>
      </x:c>
      <x:c r="B998" s="38" t="n">
        <x:v>6034.91</x:v>
      </x:c>
      <x:c r="C998" s="34" t="n">
        <x:f>(B998/B997-1)*100</x:f>
        <x:v>-0.29638930421207466</x:v>
      </x:c>
      <x:c r="D998" s="34" t="n">
        <x:f>Assumptions!$B$4*D997+(1-Assumptions!$B$4)*C997^2</x:f>
        <x:v>0.40027917975394484</x:v>
      </x:c>
      <x:c r="E998" s="34" t="n">
        <x:f>SQRT(D998)</x:f>
        <x:v>0.6326762045106049</x:v>
      </x:c>
      <x:c r="F998" s="34" t="n">
        <x:f>-Assumptions!$B$7*E998</x:f>
        <x:v>1.0406597496751602</x:v>
      </x:c>
      <x:c r="G998" s="34" t="n">
        <x:f>-Assumptions!$B$8*E998</x:f>
        <x:v>1.4718249433194737</x:v>
      </x:c>
      <x:c r="H998" s="34" t="n">
        <x:f>-Assumptions!$B$9*E998</x:f>
        <x:v>0.9875124857333809</x:v>
      </x:c>
      <x:c r="I998" s="34" t="n">
        <x:f>-Assumptions!$B$10*E998</x:f>
        <x:v>1.6490474775465518</x:v>
      </x:c>
      <x:c r="J998" s="36" t="n">
        <x:f>IF(C998&lt;-F998,1,0)</x:f>
        <x:v>0</x:v>
      </x:c>
      <x:c r="K998" s="36" t="n">
        <x:f>IF(C998&lt;-G998,1,0)</x:f>
        <x:v>0</x:v>
      </x:c>
      <x:c r="L998" s="36" t="n">
        <x:f>IF(C998&lt;-H998,1,0)</x:f>
        <x:v>0</x:v>
      </x:c>
      <x:c r="M998" s="36" t="n">
        <x:f>IF(C998&lt;-I998,1,0)</x:f>
        <x:v>0</x:v>
      </x:c>
      <x:c r="N998" s="34" t="n">
        <x:f>-F998</x:f>
        <x:v>-1.0406597496751602</x:v>
      </x:c>
      <x:c r="O998" s="34" t="n">
        <x:f>-H998</x:f>
        <x:v>-0.9875124857333809</x:v>
      </x:c>
      <x:c r="P998" s="34" t="n">
        <x:f>-G998</x:f>
        <x:v>-1.4718249433194737</x:v>
      </x:c>
      <x:c r="Q998" s="34" t="n">
        <x:f>-I998</x:f>
        <x:v>-1.6490474775465518</x:v>
      </x:c>
      <x:c r="R998" s="36" t="n">
        <x:f>YEAR(A998)</x:f>
        <x:v>2024</x:v>
      </x:c>
    </x:row>
    <x:row r="999">
      <x:c r="A999" s="30" t="n">
        <x:v>45637</x:v>
      </x:c>
      <x:c r="B999" s="38" t="n">
        <x:v>6084.19</x:v>
      </x:c>
      <x:c r="C999" s="34" t="n">
        <x:f>(B999/B998-1)*100</x:f>
        <x:v>0.8165821859812183</x:v>
      </x:c>
      <x:c r="D999" s="34" t="n">
        <x:f>Assumptions!$B$4*D998+(1-Assumptions!$B$4)*C998^2</x:f>
        <x:v>0.38153322614778723</x:v>
      </x:c>
      <x:c r="E999" s="34" t="n">
        <x:f>SQRT(D999)</x:f>
        <x:v>0.6176837590124798</x:v>
      </x:c>
      <x:c r="F999" s="34" t="n">
        <x:f>-Assumptions!$B$7*E999</x:f>
        <x:v>1.015999371320697</x:v>
      </x:c>
      <x:c r="G999" s="34" t="n">
        <x:f>-Assumptions!$B$8*E999</x:f>
        <x:v>1.4369472996082373</x:v>
      </x:c>
      <x:c r="H999" s="34" t="n">
        <x:f>-Assumptions!$B$9*E999</x:f>
        <x:v>0.964111531160531</x:v>
      </x:c>
      <x:c r="I999" s="34" t="n">
        <x:f>-Assumptions!$B$10*E999</x:f>
        <x:v>1.609970214556929</x:v>
      </x:c>
      <x:c r="J999" s="36" t="n">
        <x:f>IF(C999&lt;-F999,1,0)</x:f>
        <x:v>0</x:v>
      </x:c>
      <x:c r="K999" s="36" t="n">
        <x:f>IF(C999&lt;-G999,1,0)</x:f>
        <x:v>0</x:v>
      </x:c>
      <x:c r="L999" s="36" t="n">
        <x:f>IF(C999&lt;-H999,1,0)</x:f>
        <x:v>0</x:v>
      </x:c>
      <x:c r="M999" s="36" t="n">
        <x:f>IF(C999&lt;-I999,1,0)</x:f>
        <x:v>0</x:v>
      </x:c>
      <x:c r="N999" s="34" t="n">
        <x:f>-F999</x:f>
        <x:v>-1.015999371320697</x:v>
      </x:c>
      <x:c r="O999" s="34" t="n">
        <x:f>-H999</x:f>
        <x:v>-0.964111531160531</x:v>
      </x:c>
      <x:c r="P999" s="34" t="n">
        <x:f>-G999</x:f>
        <x:v>-1.4369472996082373</x:v>
      </x:c>
      <x:c r="Q999" s="34" t="n">
        <x:f>-I999</x:f>
        <x:v>-1.609970214556929</x:v>
      </x:c>
      <x:c r="R999" s="36" t="n">
        <x:f>YEAR(A999)</x:f>
        <x:v>2024</x:v>
      </x:c>
    </x:row>
    <x:row r="1000">
      <x:c r="A1000" s="30" t="n">
        <x:v>45638</x:v>
      </x:c>
      <x:c r="B1000" s="38" t="n">
        <x:v>6051.25</x:v>
      </x:c>
      <x:c r="C1000" s="34" t="n">
        <x:f>(B1000/B999-1)*100</x:f>
        <x:v>-0.5414032106163646</x:v>
      </x:c>
      <x:c r="D1000" s="34" t="n">
        <x:f>Assumptions!$B$4*D999+(1-Assumptions!$B$4)*C999^2</x:f>
        <x:v>0.39864962056663195</x:v>
      </x:c>
      <x:c r="E1000" s="34" t="n">
        <x:f>SQRT(D1000)</x:f>
        <x:v>0.6313870608166056</x:v>
      </x:c>
      <x:c r="F1000" s="34" t="n">
        <x:f>-Assumptions!$B$7*E1000</x:f>
        <x:v>1.0385392969944238</x:v>
      </x:c>
      <x:c r="G1000" s="34" t="n">
        <x:f>-Assumptions!$B$8*E1000</x:f>
        <x:v>1.468825946627605</x:v>
      </x:c>
      <x:c r="H1000" s="34" t="n">
        <x:f>-Assumptions!$B$9*E1000</x:f>
        <x:v>0.9855003261410764</x:v>
      </x:c>
      <x:c r="I1000" s="34" t="n">
        <x:f>-Assumptions!$B$10*E1000</x:f>
        <x:v>1.6456873714739217</x:v>
      </x:c>
      <x:c r="J1000" s="36" t="n">
        <x:f>IF(C1000&lt;-F1000,1,0)</x:f>
        <x:v>0</x:v>
      </x:c>
      <x:c r="K1000" s="36" t="n">
        <x:f>IF(C1000&lt;-G1000,1,0)</x:f>
        <x:v>0</x:v>
      </x:c>
      <x:c r="L1000" s="36" t="n">
        <x:f>IF(C1000&lt;-H1000,1,0)</x:f>
        <x:v>0</x:v>
      </x:c>
      <x:c r="M1000" s="36" t="n">
        <x:f>IF(C1000&lt;-I1000,1,0)</x:f>
        <x:v>0</x:v>
      </x:c>
      <x:c r="N1000" s="34" t="n">
        <x:f>-F1000</x:f>
        <x:v>-1.0385392969944238</x:v>
      </x:c>
      <x:c r="O1000" s="34" t="n">
        <x:f>-H1000</x:f>
        <x:v>-0.9855003261410764</x:v>
      </x:c>
      <x:c r="P1000" s="34" t="n">
        <x:f>-G1000</x:f>
        <x:v>-1.468825946627605</x:v>
      </x:c>
      <x:c r="Q1000" s="34" t="n">
        <x:f>-I1000</x:f>
        <x:v>-1.6456873714739217</x:v>
      </x:c>
      <x:c r="R1000" s="36" t="n">
        <x:f>YEAR(A1000)</x:f>
        <x:v>2024</x:v>
      </x:c>
    </x:row>
    <x:row r="1001">
      <x:c r="A1001" s="30" t="n">
        <x:v>45639</x:v>
      </x:c>
      <x:c r="B1001" s="38" t="n">
        <x:v>6051.09</x:v>
      </x:c>
      <x:c r="C1001" s="34" t="n">
        <x:f>(B1001/B1000-1)*100</x:f>
        <x:v>-0.0026440818012729572</x:v>
      </x:c>
      <x:c r="D1001" s="34" t="n">
        <x:f>Assumptions!$B$4*D1000+(1-Assumptions!$B$4)*C1000^2</x:f>
        <x:v>0.3923176895205765</x:v>
      </x:c>
      <x:c r="E1001" s="34" t="n">
        <x:f>SQRT(D1001)</x:f>
        <x:v>0.626352687805023</x:v>
      </x:c>
      <x:c r="F1001" s="34" t="n">
        <x:f>-Assumptions!$B$7*E1001</x:f>
        <x:v>1.0302584902868956</x:v>
      </x:c>
      <x:c r="G1001" s="34" t="n">
        <x:f>-Assumptions!$B$8*E1001</x:f>
        <x:v>1.4571142436749813</x:v>
      </x:c>
      <x:c r="H1001" s="34" t="n">
        <x:f>-Assumptions!$B$9*E1001</x:f>
        <x:v>0.9776424263633812</x:v>
      </x:c>
      <x:c r="I1001" s="34" t="n">
        <x:f>-Assumptions!$B$10*E1001</x:f>
        <x:v>1.6325654616303225</x:v>
      </x:c>
      <x:c r="J1001" s="36" t="n">
        <x:f>IF(C1001&lt;-F1001,1,0)</x:f>
        <x:v>0</x:v>
      </x:c>
      <x:c r="K1001" s="36" t="n">
        <x:f>IF(C1001&lt;-G1001,1,0)</x:f>
        <x:v>0</x:v>
      </x:c>
      <x:c r="L1001" s="36" t="n">
        <x:f>IF(C1001&lt;-H1001,1,0)</x:f>
        <x:v>0</x:v>
      </x:c>
      <x:c r="M1001" s="36" t="n">
        <x:f>IF(C1001&lt;-I1001,1,0)</x:f>
        <x:v>0</x:v>
      </x:c>
      <x:c r="N1001" s="34" t="n">
        <x:f>-F1001</x:f>
        <x:v>-1.0302584902868956</x:v>
      </x:c>
      <x:c r="O1001" s="34" t="n">
        <x:f>-H1001</x:f>
        <x:v>-0.9776424263633812</x:v>
      </x:c>
      <x:c r="P1001" s="34" t="n">
        <x:f>-G1001</x:f>
        <x:v>-1.4571142436749813</x:v>
      </x:c>
      <x:c r="Q1001" s="34" t="n">
        <x:f>-I1001</x:f>
        <x:v>-1.6325654616303225</x:v>
      </x:c>
      <x:c r="R1001" s="36" t="n">
        <x:f>YEAR(A1001)</x:f>
        <x:v>2024</x:v>
      </x:c>
    </x:row>
    <x:row r="1002">
      <x:c r="A1002" s="30" t="n">
        <x:v>45642</x:v>
      </x:c>
      <x:c r="B1002" s="38" t="n">
        <x:v>6074.08</x:v>
      </x:c>
      <x:c r="C1002" s="34" t="n">
        <x:f>(B1002/B1001-1)*100</x:f>
        <x:v>0.379931549522472</x:v>
      </x:c>
      <x:c r="D1002" s="34" t="n">
        <x:f>Assumptions!$B$4*D1001+(1-Assumptions!$B$4)*C1001^2</x:f>
        <x:v>0.3687790476194562</x:v>
      </x:c>
      <x:c r="E1002" s="34" t="n">
        <x:f>SQRT(D1002)</x:f>
        <x:v>0.6072718070349192</x:v>
      </x:c>
      <x:c r="F1002" s="34" t="n">
        <x:f>-Assumptions!$B$7*E1002</x:f>
        <x:v>0.9988732343467619</x:v>
      </x:c>
      <x:c r="G1002" s="34" t="n">
        <x:f>-Assumptions!$B$8*E1002</x:f>
        <x:v>1.4127254772606237</x:v>
      </x:c>
      <x:c r="H1002" s="34" t="n">
        <x:f>-Assumptions!$B$9*E1002</x:f>
        <x:v>0.9478600386823987</x:v>
      </x:c>
      <x:c r="I1002" s="34" t="n">
        <x:f>-Assumptions!$B$10*E1002</x:f>
        <x:v>1.5828318410531972</x:v>
      </x:c>
      <x:c r="J1002" s="36" t="n">
        <x:f>IF(C1002&lt;-F1002,1,0)</x:f>
        <x:v>0</x:v>
      </x:c>
      <x:c r="K1002" s="36" t="n">
        <x:f>IF(C1002&lt;-G1002,1,0)</x:f>
        <x:v>0</x:v>
      </x:c>
      <x:c r="L1002" s="36" t="n">
        <x:f>IF(C1002&lt;-H1002,1,0)</x:f>
        <x:v>0</x:v>
      </x:c>
      <x:c r="M1002" s="36" t="n">
        <x:f>IF(C1002&lt;-I1002,1,0)</x:f>
        <x:v>0</x:v>
      </x:c>
      <x:c r="N1002" s="34" t="n">
        <x:f>-F1002</x:f>
        <x:v>-0.9988732343467619</x:v>
      </x:c>
      <x:c r="O1002" s="34" t="n">
        <x:f>-H1002</x:f>
        <x:v>-0.9478600386823987</x:v>
      </x:c>
      <x:c r="P1002" s="34" t="n">
        <x:f>-G1002</x:f>
        <x:v>-1.4127254772606237</x:v>
      </x:c>
      <x:c r="Q1002" s="34" t="n">
        <x:f>-I1002</x:f>
        <x:v>-1.5828318410531972</x:v>
      </x:c>
      <x:c r="R1002" s="36" t="n">
        <x:f>YEAR(A1002)</x:f>
        <x:v>2024</x:v>
      </x:c>
    </x:row>
    <x:row r="1003">
      <x:c r="A1003" s="30" t="n">
        <x:v>45643</x:v>
      </x:c>
      <x:c r="B1003" s="38" t="n">
        <x:v>6050.61</x:v>
      </x:c>
      <x:c r="C1003" s="34" t="n">
        <x:f>(B1003/B1002-1)*100</x:f>
        <x:v>-0.38639596449174807</x:v>
      </x:c>
      <x:c r="D1003" s="34" t="n">
        <x:f>Assumptions!$B$4*D1002+(1-Assumptions!$B$4)*C1002^2</x:f>
        <x:v>0.3553131837016416</x:v>
      </x:c>
      <x:c r="E1003" s="34" t="n">
        <x:f>SQRT(D1003)</x:f>
        <x:v>0.5960815243753506</x:v>
      </x:c>
      <x:c r="F1003" s="34" t="n">
        <x:f>-Assumptions!$B$7*E1003</x:f>
        <x:v>0.9804668573275581</x:v>
      </x:c>
      <x:c r="G1003" s="34" t="n">
        <x:f>-Assumptions!$B$8*E1003</x:f>
        <x:v>1.3866929869856202</x:v>
      </x:c>
      <x:c r="H1003" s="34" t="n">
        <x:f>-Assumptions!$B$9*E1003</x:f>
        <x:v>0.9303936889660256</x:v>
      </x:c>
      <x:c r="I1003" s="34" t="n">
        <x:f>-Assumptions!$B$10*E1003</x:f>
        <x:v>1.5536647769827714</x:v>
      </x:c>
      <x:c r="J1003" s="36" t="n">
        <x:f>IF(C1003&lt;-F1003,1,0)</x:f>
        <x:v>0</x:v>
      </x:c>
      <x:c r="K1003" s="36" t="n">
        <x:f>IF(C1003&lt;-G1003,1,0)</x:f>
        <x:v>0</x:v>
      </x:c>
      <x:c r="L1003" s="36" t="n">
        <x:f>IF(C1003&lt;-H1003,1,0)</x:f>
        <x:v>0</x:v>
      </x:c>
      <x:c r="M1003" s="36" t="n">
        <x:f>IF(C1003&lt;-I1003,1,0)</x:f>
        <x:v>0</x:v>
      </x:c>
      <x:c r="N1003" s="34" t="n">
        <x:f>-F1003</x:f>
        <x:v>-0.9804668573275581</x:v>
      </x:c>
      <x:c r="O1003" s="34" t="n">
        <x:f>-H1003</x:f>
        <x:v>-0.9303936889660256</x:v>
      </x:c>
      <x:c r="P1003" s="34" t="n">
        <x:f>-G1003</x:f>
        <x:v>-1.3866929869856202</x:v>
      </x:c>
      <x:c r="Q1003" s="34" t="n">
        <x:f>-I1003</x:f>
        <x:v>-1.5536647769827714</x:v>
      </x:c>
      <x:c r="R1003" s="36" t="n">
        <x:f>YEAR(A1003)</x:f>
        <x:v>2024</x:v>
      </x:c>
    </x:row>
    <x:row r="1004">
      <x:c r="A1004" s="30" t="n">
        <x:v>45644</x:v>
      </x:c>
      <x:c r="B1004" s="38" t="n">
        <x:v>5872.16</x:v>
      </x:c>
      <x:c r="C1004" s="34" t="n">
        <x:f>(B1004/B1003-1)*100</x:f>
        <x:v>-2.9492894104891865</x:v>
      </x:c>
      <x:c r="D1004" s="34" t="n">
        <x:f>Assumptions!$B$4*D1003+(1-Assumptions!$B$4)*C1003^2</x:f>
        <x:v>0.3429525031620736</x:v>
      </x:c>
      <x:c r="E1004" s="34" t="n">
        <x:f>SQRT(D1004)</x:f>
        <x:v>0.5856214674703051</x:v>
      </x:c>
      <x:c r="F1004" s="34" t="n">
        <x:f>-Assumptions!$B$7*E1004</x:f>
        <x:v>0.9632615947891753</x:v>
      </x:c>
      <x:c r="G1004" s="34" t="n">
        <x:f>-Assumptions!$B$8*E1004</x:f>
        <x:v>1.3623592558422213</x:v>
      </x:c>
      <x:c r="H1004" s="34" t="n">
        <x:f>-Assumptions!$B$9*E1004</x:f>
        <x:v>0.914067111924608</x:v>
      </x:c>
      <x:c r="I1004" s="34" t="n">
        <x:f>-Assumptions!$B$10*E1004</x:f>
        <x:v>1.5264010197380977</x:v>
      </x:c>
      <x:c r="J1004" s="36" t="n">
        <x:f>IF(C1004&lt;-F1004,1,0)</x:f>
        <x:v>1</x:v>
      </x:c>
      <x:c r="K1004" s="36" t="n">
        <x:f>IF(C1004&lt;-G1004,1,0)</x:f>
        <x:v>1</x:v>
      </x:c>
      <x:c r="L1004" s="36" t="n">
        <x:f>IF(C1004&lt;-H1004,1,0)</x:f>
        <x:v>1</x:v>
      </x:c>
      <x:c r="M1004" s="36" t="n">
        <x:f>IF(C1004&lt;-I1004,1,0)</x:f>
        <x:v>1</x:v>
      </x:c>
      <x:c r="N1004" s="34" t="n">
        <x:f>-F1004</x:f>
        <x:v>-0.9632615947891753</x:v>
      </x:c>
      <x:c r="O1004" s="34" t="n">
        <x:f>-H1004</x:f>
        <x:v>-0.914067111924608</x:v>
      </x:c>
      <x:c r="P1004" s="34" t="n">
        <x:f>-G1004</x:f>
        <x:v>-1.3623592558422213</x:v>
      </x:c>
      <x:c r="Q1004" s="34" t="n">
        <x:f>-I1004</x:f>
        <x:v>-1.5264010197380977</x:v>
      </x:c>
      <x:c r="R1004" s="36" t="n">
        <x:f>YEAR(A1004)</x:f>
        <x:v>2024</x:v>
      </x:c>
    </x:row>
    <x:row r="1005">
      <x:c r="A1005" s="30" t="n">
        <x:v>45645</x:v>
      </x:c>
      <x:c r="B1005" s="38" t="n">
        <x:v>5867.08</x:v>
      </x:c>
      <x:c r="C1005" s="34" t="n">
        <x:f>(B1005/B1004-1)*100</x:f>
        <x:v>-0.08650990436227524</x:v>
      </x:c>
      <x:c r="D1005" s="34" t="n">
        <x:f>Assumptions!$B$4*D1004+(1-Assumptions!$B$4)*C1004^2</x:f>
        <x:v>0.8442738345817689</x:v>
      </x:c>
      <x:c r="E1005" s="34" t="n">
        <x:f>SQRT(D1005)</x:f>
        <x:v>0.9188437487308541</x:v>
      </x:c>
      <x:c r="F1005" s="34" t="n">
        <x:f>-Assumptions!$B$7*E1005</x:f>
        <x:v>1.5113634727016332</x:v>
      </x:c>
      <x:c r="G1005" s="34" t="n">
        <x:f>-Assumptions!$B$8*E1005</x:f>
        <x:v>2.1375502014357384</x:v>
      </x:c>
      <x:c r="H1005" s="34" t="n">
        <x:f>-Assumptions!$B$9*E1005</x:f>
        <x:v>1.4341770211061802</x:v>
      </x:c>
      <x:c r="I1005" s="34" t="n">
        <x:f>-Assumptions!$B$10*E1005</x:f>
        <x:v>2.3949327559681195</x:v>
      </x:c>
      <x:c r="J1005" s="36" t="n">
        <x:f>IF(C1005&lt;-F1005,1,0)</x:f>
        <x:v>0</x:v>
      </x:c>
      <x:c r="K1005" s="36" t="n">
        <x:f>IF(C1005&lt;-G1005,1,0)</x:f>
        <x:v>0</x:v>
      </x:c>
      <x:c r="L1005" s="36" t="n">
        <x:f>IF(C1005&lt;-H1005,1,0)</x:f>
        <x:v>0</x:v>
      </x:c>
      <x:c r="M1005" s="36" t="n">
        <x:f>IF(C1005&lt;-I1005,1,0)</x:f>
        <x:v>0</x:v>
      </x:c>
      <x:c r="N1005" s="34" t="n">
        <x:f>-F1005</x:f>
        <x:v>-1.5113634727016332</x:v>
      </x:c>
      <x:c r="O1005" s="34" t="n">
        <x:f>-H1005</x:f>
        <x:v>-1.4341770211061802</x:v>
      </x:c>
      <x:c r="P1005" s="34" t="n">
        <x:f>-G1005</x:f>
        <x:v>-2.1375502014357384</x:v>
      </x:c>
      <x:c r="Q1005" s="34" t="n">
        <x:f>-I1005</x:f>
        <x:v>-2.3949327559681195</x:v>
      </x:c>
      <x:c r="R1005" s="36" t="n">
        <x:f>YEAR(A1005)</x:f>
        <x:v>2024</x:v>
      </x:c>
    </x:row>
    <x:row r="1006">
      <x:c r="A1006" s="30" t="n">
        <x:v>45646</x:v>
      </x:c>
      <x:c r="B1006" s="38" t="n">
        <x:v>5930.85</x:v>
      </x:c>
      <x:c r="C1006" s="34" t="n">
        <x:f>(B1006/B1005-1)*100</x:f>
        <x:v>1.0869120584686254</x:v>
      </x:c>
      <x:c r="D1006" s="34" t="n">
        <x:f>Assumptions!$B$4*D1005+(1-Assumptions!$B$4)*C1005^2</x:f>
        <x:v>0.7940664423200289</x:v>
      </x:c>
      <x:c r="E1006" s="34" t="n">
        <x:f>SQRT(D1006)</x:f>
        <x:v>0.8911040580762882</x:v>
      </x:c>
      <x:c r="F1006" s="34" t="n">
        <x:f>-Assumptions!$B$7*E1006</x:f>
        <x:v>1.4657357419179586</x:v>
      </x:c>
      <x:c r="G1006" s="34" t="n">
        <x:f>-Assumptions!$B$8*E1006</x:f>
        <x:v>2.0730180310549384</x:v>
      </x:c>
      <x:c r="H1006" s="34" t="n">
        <x:f>-Assumptions!$B$9*E1006</x:f>
        <x:v>1.3908795323173377</x:v>
      </x:c>
      <x:c r="I1006" s="34" t="n">
        <x:f>-Assumptions!$B$10*E1006</x:f>
        <x:v>2.3226302628828646</x:v>
      </x:c>
      <x:c r="J1006" s="36" t="n">
        <x:f>IF(C1006&lt;-F1006,1,0)</x:f>
        <x:v>0</x:v>
      </x:c>
      <x:c r="K1006" s="36" t="n">
        <x:f>IF(C1006&lt;-G1006,1,0)</x:f>
        <x:v>0</x:v>
      </x:c>
      <x:c r="L1006" s="36" t="n">
        <x:f>IF(C1006&lt;-H1006,1,0)</x:f>
        <x:v>0</x:v>
      </x:c>
      <x:c r="M1006" s="36" t="n">
        <x:f>IF(C1006&lt;-I1006,1,0)</x:f>
        <x:v>0</x:v>
      </x:c>
      <x:c r="N1006" s="34" t="n">
        <x:f>-F1006</x:f>
        <x:v>-1.4657357419179586</x:v>
      </x:c>
      <x:c r="O1006" s="34" t="n">
        <x:f>-H1006</x:f>
        <x:v>-1.3908795323173377</x:v>
      </x:c>
      <x:c r="P1006" s="34" t="n">
        <x:f>-G1006</x:f>
        <x:v>-2.0730180310549384</x:v>
      </x:c>
      <x:c r="Q1006" s="34" t="n">
        <x:f>-I1006</x:f>
        <x:v>-2.3226302628828646</x:v>
      </x:c>
      <x:c r="R1006" s="36" t="n">
        <x:f>YEAR(A1006)</x:f>
        <x:v>2024</x:v>
      </x:c>
    </x:row>
    <x:row r="1007">
      <x:c r="A1007" s="30" t="n">
        <x:v>45649</x:v>
      </x:c>
      <x:c r="B1007" s="38" t="n">
        <x:v>5974.07</x:v>
      </x:c>
      <x:c r="C1007" s="34" t="n">
        <x:f>(B1007/B1006-1)*100</x:f>
        <x:v>0.7287319692792726</x:v>
      </x:c>
      <x:c r="D1007" s="34" t="n">
        <x:f>Assumptions!$B$4*D1006+(1-Assumptions!$B$4)*C1006^2</x:f>
        <x:v>0.8173051251514974</x:v>
      </x:c>
      <x:c r="E1007" s="34" t="n">
        <x:f>SQRT(D1007)</x:f>
        <x:v>0.9040492935407325</x:v>
      </x:c>
      <x:c r="F1007" s="34" t="n">
        <x:f>-Assumptions!$B$7*E1007</x:f>
        <x:v>1.4870287594233906</x:v>
      </x:c>
      <x:c r="G1007" s="34" t="n">
        <x:f>-Assumptions!$B$8*E1007</x:f>
        <x:v>2.1031331520566066</x:v>
      </x:c>
      <x:c r="H1007" s="34" t="n">
        <x:f>-Assumptions!$B$9*E1007</x:f>
        <x:v>1.4110850996529793</x:v>
      </x:c>
      <x:c r="I1007" s="34" t="n">
        <x:f>-Assumptions!$B$10*E1007</x:f>
        <x:v>2.3563715475031715</x:v>
      </x:c>
      <x:c r="J1007" s="36" t="n">
        <x:f>IF(C1007&lt;-F1007,1,0)</x:f>
        <x:v>0</x:v>
      </x:c>
      <x:c r="K1007" s="36" t="n">
        <x:f>IF(C1007&lt;-G1007,1,0)</x:f>
        <x:v>0</x:v>
      </x:c>
      <x:c r="L1007" s="36" t="n">
        <x:f>IF(C1007&lt;-H1007,1,0)</x:f>
        <x:v>0</x:v>
      </x:c>
      <x:c r="M1007" s="36" t="n">
        <x:f>IF(C1007&lt;-I1007,1,0)</x:f>
        <x:v>0</x:v>
      </x:c>
      <x:c r="N1007" s="34" t="n">
        <x:f>-F1007</x:f>
        <x:v>-1.4870287594233906</x:v>
      </x:c>
      <x:c r="O1007" s="34" t="n">
        <x:f>-H1007</x:f>
        <x:v>-1.4110850996529793</x:v>
      </x:c>
      <x:c r="P1007" s="34" t="n">
        <x:f>-G1007</x:f>
        <x:v>-2.1031331520566066</x:v>
      </x:c>
      <x:c r="Q1007" s="34" t="n">
        <x:f>-I1007</x:f>
        <x:v>-2.3563715475031715</x:v>
      </x:c>
      <x:c r="R1007" s="36" t="n">
        <x:f>YEAR(A1007)</x:f>
        <x:v>2024</x:v>
      </x:c>
    </x:row>
    <x:row r="1008">
      <x:c r="A1008" s="30" t="n">
        <x:v>45650</x:v>
      </x:c>
      <x:c r="B1008" s="38" t="n">
        <x:v>6040.04</x:v>
      </x:c>
      <x:c r="C1008" s="34" t="n">
        <x:f>(B1008/B1007-1)*100</x:f>
        <x:v>1.1042722967758989</x:v>
      </x:c>
      <x:c r="D1008" s="34" t="n">
        <x:f>Assumptions!$B$4*D1007+(1-Assumptions!$B$4)*C1007^2</x:f>
        <x:v>0.8001298346253864</x:v>
      </x:c>
      <x:c r="E1008" s="34" t="n">
        <x:f>SQRT(D1008)</x:f>
        <x:v>0.8944997678174021</x:v>
      </x:c>
      <x:c r="F1008" s="34" t="n">
        <x:f>-Assumptions!$B$7*E1008</x:f>
        <x:v>1.4713211874017043</x:v>
      </x:c>
      <x:c r="G1008" s="34" t="n">
        <x:f>-Assumptions!$B$8*E1008</x:f>
        <x:v>2.0809176331920387</x:v>
      </x:c>
      <x:c r="H1008" s="34" t="n">
        <x:f>-Assumptions!$B$9*E1008</x:f>
        <x:v>1.3961797249646497</x:v>
      </x:c>
      <x:c r="I1008" s="34" t="n">
        <x:f>-Assumptions!$B$10*E1008</x:f>
        <x:v>2.331481056611381</x:v>
      </x:c>
      <x:c r="J1008" s="36" t="n">
        <x:f>IF(C1008&lt;-F1008,1,0)</x:f>
        <x:v>0</x:v>
      </x:c>
      <x:c r="K1008" s="36" t="n">
        <x:f>IF(C1008&lt;-G1008,1,0)</x:f>
        <x:v>0</x:v>
      </x:c>
      <x:c r="L1008" s="36" t="n">
        <x:f>IF(C1008&lt;-H1008,1,0)</x:f>
        <x:v>0</x:v>
      </x:c>
      <x:c r="M1008" s="36" t="n">
        <x:f>IF(C1008&lt;-I1008,1,0)</x:f>
        <x:v>0</x:v>
      </x:c>
      <x:c r="N1008" s="34" t="n">
        <x:f>-F1008</x:f>
        <x:v>-1.4713211874017043</x:v>
      </x:c>
      <x:c r="O1008" s="34" t="n">
        <x:f>-H1008</x:f>
        <x:v>-1.3961797249646497</x:v>
      </x:c>
      <x:c r="P1008" s="34" t="n">
        <x:f>-G1008</x:f>
        <x:v>-2.0809176331920387</x:v>
      </x:c>
      <x:c r="Q1008" s="34" t="n">
        <x:f>-I1008</x:f>
        <x:v>-2.331481056611381</x:v>
      </x:c>
      <x:c r="R1008" s="36" t="n">
        <x:f>YEAR(A1008)</x:f>
        <x:v>2024</x:v>
      </x:c>
    </x:row>
    <x:row r="1009">
      <x:c r="A1009" s="30" t="n">
        <x:v>45652</x:v>
      </x:c>
      <x:c r="B1009" s="38" t="n">
        <x:v>6037.59</x:v>
      </x:c>
      <x:c r="C1009" s="34" t="n">
        <x:f>(B1009/B1008-1)*100</x:f>
        <x:v>-0.040562645280495246</x:v>
      </x:c>
      <x:c r="D1009" s="34" t="n">
        <x:f>Assumptions!$B$4*D1008+(1-Assumptions!$B$4)*C1008^2</x:f>
        <x:v>0.8252870828734664</x:v>
      </x:c>
      <x:c r="E1009" s="34" t="n">
        <x:f>SQRT(D1009)</x:f>
        <x:v>0.9084531264041456</x:v>
      </x:c>
      <x:c r="F1009" s="34" t="n">
        <x:f>-Assumptions!$B$7*E1009</x:f>
        <x:v>1.4942724198812636</x:v>
      </x:c>
      <x:c r="G1009" s="34" t="n">
        <x:f>-Assumptions!$B$8*E1009</x:f>
        <x:v>2.1133779992760386</x:v>
      </x:c>
      <x:c r="H1009" s="34" t="n">
        <x:f>-Assumptions!$B$9*E1009</x:f>
        <x:v>1.4179588210079137</x:v>
      </x:c>
      <x:c r="I1009" s="34" t="n">
        <x:f>-Assumptions!$B$10*E1009</x:f>
        <x:v>2.367849977422257</x:v>
      </x:c>
      <x:c r="J1009" s="36" t="n">
        <x:f>IF(C1009&lt;-F1009,1,0)</x:f>
        <x:v>0</x:v>
      </x:c>
      <x:c r="K1009" s="36" t="n">
        <x:f>IF(C1009&lt;-G1009,1,0)</x:f>
        <x:v>0</x:v>
      </x:c>
      <x:c r="L1009" s="36" t="n">
        <x:f>IF(C1009&lt;-H1009,1,0)</x:f>
        <x:v>0</x:v>
      </x:c>
      <x:c r="M1009" s="36" t="n">
        <x:f>IF(C1009&lt;-I1009,1,0)</x:f>
        <x:v>0</x:v>
      </x:c>
      <x:c r="N1009" s="34" t="n">
        <x:f>-F1009</x:f>
        <x:v>-1.4942724198812636</x:v>
      </x:c>
      <x:c r="O1009" s="34" t="n">
        <x:f>-H1009</x:f>
        <x:v>-1.4179588210079137</x:v>
      </x:c>
      <x:c r="P1009" s="34" t="n">
        <x:f>-G1009</x:f>
        <x:v>-2.1133779992760386</x:v>
      </x:c>
      <x:c r="Q1009" s="34" t="n">
        <x:f>-I1009</x:f>
        <x:v>-2.367849977422257</x:v>
      </x:c>
      <x:c r="R1009" s="36" t="n">
        <x:f>YEAR(A1009)</x:f>
        <x:v>2024</x:v>
      </x:c>
    </x:row>
    <x:row r="1010">
      <x:c r="A1010" s="30" t="n">
        <x:v>45653</x:v>
      </x:c>
      <x:c r="B1010" s="38" t="n">
        <x:v>5970.84</x:v>
      </x:c>
      <x:c r="C1010" s="34" t="n">
        <x:f>(B1010/B1009-1)*100</x:f>
        <x:v>-1.1055735815118317</x:v>
      </x:c>
      <x:c r="D1010" s="34" t="n">
        <x:f>Assumptions!$B$4*D1009+(1-Assumptions!$B$4)*C1009^2</x:f>
        <x:v>0.7758685775925874</x:v>
      </x:c>
      <x:c r="E1010" s="34" t="n">
        <x:f>SQRT(D1010)</x:f>
        <x:v>0.8808340238618099</x:v>
      </x:c>
      <x:c r="F1010" s="34" t="n">
        <x:f>-Assumptions!$B$7*E1010</x:f>
        <x:v>1.4488430388913582</x:v>
      </x:c>
      <x:c r="G1010" s="34" t="n">
        <x:f>-Assumptions!$B$8*E1010</x:f>
        <x:v>2.0491263587937603</x:v>
      </x:c>
      <x:c r="H1010" s="34" t="n">
        <x:f>-Assumptions!$B$9*E1010</x:f>
        <x:v>1.3748495521420103</x:v>
      </x:c>
      <x:c r="I1010" s="34" t="n">
        <x:f>-Assumptions!$B$10*E1010</x:f>
        <x:v>2.295861792858292</x:v>
      </x:c>
      <x:c r="J1010" s="36" t="n">
        <x:f>IF(C1010&lt;-F1010,1,0)</x:f>
        <x:v>0</x:v>
      </x:c>
      <x:c r="K1010" s="36" t="n">
        <x:f>IF(C1010&lt;-G1010,1,0)</x:f>
        <x:v>0</x:v>
      </x:c>
      <x:c r="L1010" s="36" t="n">
        <x:f>IF(C1010&lt;-H1010,1,0)</x:f>
        <x:v>0</x:v>
      </x:c>
      <x:c r="M1010" s="36" t="n">
        <x:f>IF(C1010&lt;-I1010,1,0)</x:f>
        <x:v>0</x:v>
      </x:c>
      <x:c r="N1010" s="34" t="n">
        <x:f>-F1010</x:f>
        <x:v>-1.4488430388913582</x:v>
      </x:c>
      <x:c r="O1010" s="34" t="n">
        <x:f>-H1010</x:f>
        <x:v>-1.3748495521420103</x:v>
      </x:c>
      <x:c r="P1010" s="34" t="n">
        <x:f>-G1010</x:f>
        <x:v>-2.0491263587937603</x:v>
      </x:c>
      <x:c r="Q1010" s="34" t="n">
        <x:f>-I1010</x:f>
        <x:v>-2.295861792858292</x:v>
      </x:c>
      <x:c r="R1010" s="36" t="n">
        <x:f>YEAR(A1010)</x:f>
        <x:v>2024</x:v>
      </x:c>
    </x:row>
    <x:row r="1011">
      <x:c r="A1011" s="30" t="n">
        <x:v>45656</x:v>
      </x:c>
      <x:c r="B1011" s="38" t="n">
        <x:v>5906.94</x:v>
      </x:c>
      <x:c r="C1011" s="34" t="n">
        <x:f>(B1011/B1010-1)*100</x:f>
        <x:v>-1.0702011777237508</x:v>
      </x:c>
      <x:c r="D1011" s="34" t="n">
        <x:f>Assumptions!$B$4*D1010+(1-Assumptions!$B$4)*C1010^2</x:f>
        <x:v>0.8026540395852462</x:v>
      </x:c>
      <x:c r="E1011" s="34" t="n">
        <x:f>SQRT(D1011)</x:f>
        <x:v>0.8959096157454982</x:v>
      </x:c>
      <x:c r="F1011" s="34" t="n">
        <x:f>-Assumptions!$B$7*E1011</x:f>
        <x:v>1.473640180879683</x:v>
      </x:c>
      <x:c r="G1011" s="34" t="n">
        <x:f>-Assumptions!$B$8*E1011</x:f>
        <x:v>2.084197429922286</x:v>
      </x:c>
      <x:c r="H1011" s="34" t="n">
        <x:f>-Assumptions!$B$9*E1011</x:f>
        <x:v>1.3983802857286778</x:v>
      </x:c>
      <x:c r="I1011" s="34" t="n">
        <x:f>-Assumptions!$B$10*E1011</x:f>
        <x:v>2.335155773872716</x:v>
      </x:c>
      <x:c r="J1011" s="36" t="n">
        <x:f>IF(C1011&lt;-F1011,1,0)</x:f>
        <x:v>0</x:v>
      </x:c>
      <x:c r="K1011" s="36" t="n">
        <x:f>IF(C1011&lt;-G1011,1,0)</x:f>
        <x:v>0</x:v>
      </x:c>
      <x:c r="L1011" s="36" t="n">
        <x:f>IF(C1011&lt;-H1011,1,0)</x:f>
        <x:v>0</x:v>
      </x:c>
      <x:c r="M1011" s="36" t="n">
        <x:f>IF(C1011&lt;-I1011,1,0)</x:f>
        <x:v>0</x:v>
      </x:c>
      <x:c r="N1011" s="34" t="n">
        <x:f>-F1011</x:f>
        <x:v>-1.473640180879683</x:v>
      </x:c>
      <x:c r="O1011" s="34" t="n">
        <x:f>-H1011</x:f>
        <x:v>-1.3983802857286778</x:v>
      </x:c>
      <x:c r="P1011" s="34" t="n">
        <x:f>-G1011</x:f>
        <x:v>-2.084197429922286</x:v>
      </x:c>
      <x:c r="Q1011" s="34" t="n">
        <x:f>-I1011</x:f>
        <x:v>-2.335155773872716</x:v>
      </x:c>
      <x:c r="R1011" s="36" t="n">
        <x:f>YEAR(A1011)</x:f>
        <x:v>2024</x:v>
      </x:c>
    </x:row>
    <x:row r="1012">
      <x:c r="A1012" s="30" t="n">
        <x:v>45657</x:v>
      </x:c>
      <x:c r="B1012" s="38" t="n">
        <x:v>5881.63</x:v>
      </x:c>
      <x:c r="C1012" s="34" t="n">
        <x:f>(B1012/B1011-1)*100</x:f>
        <x:v>-0.4284790432948271</x:v>
      </x:c>
      <x:c r="D1012" s="34" t="n">
        <x:f>Assumptions!$B$4*D1011+(1-Assumptions!$B$4)*C1011^2</x:f>
        <x:v>0.8232146308582096</x:v>
      </x:c>
      <x:c r="E1012" s="34" t="n">
        <x:f>SQRT(D1012)</x:f>
        <x:v>0.9073117605642559</x:v>
      </x:c>
      <x:c r="F1012" s="34" t="n">
        <x:f>-Assumptions!$B$7*E1012</x:f>
        <x:v>1.4923950401398427</x:v>
      </x:c>
      <x:c r="G1012" s="34" t="n">
        <x:f>-Assumptions!$B$8*E1012</x:f>
        <x:v>2.1107227852809087</x:v>
      </x:c>
      <x:c r="H1012" s="34" t="n">
        <x:f>-Assumptions!$B$9*E1012</x:f>
        <x:v>1.4161773204399377</x:v>
      </x:c>
      <x:c r="I1012" s="34" t="n">
        <x:f>-Assumptions!$B$10*E1012</x:f>
        <x:v>2.364875048942556</x:v>
      </x:c>
      <x:c r="J1012" s="36" t="n">
        <x:f>IF(C1012&lt;-F1012,1,0)</x:f>
        <x:v>0</x:v>
      </x:c>
      <x:c r="K1012" s="36" t="n">
        <x:f>IF(C1012&lt;-G1012,1,0)</x:f>
        <x:v>0</x:v>
      </x:c>
      <x:c r="L1012" s="36" t="n">
        <x:f>IF(C1012&lt;-H1012,1,0)</x:f>
        <x:v>0</x:v>
      </x:c>
      <x:c r="M1012" s="36" t="n">
        <x:f>IF(C1012&lt;-I1012,1,0)</x:f>
        <x:v>0</x:v>
      </x:c>
      <x:c r="N1012" s="34" t="n">
        <x:f>-F1012</x:f>
        <x:v>-1.4923950401398427</x:v>
      </x:c>
      <x:c r="O1012" s="34" t="n">
        <x:f>-H1012</x:f>
        <x:v>-1.4161773204399377</x:v>
      </x:c>
      <x:c r="P1012" s="34" t="n">
        <x:f>-G1012</x:f>
        <x:v>-2.1107227852809087</x:v>
      </x:c>
      <x:c r="Q1012" s="34" t="n">
        <x:f>-I1012</x:f>
        <x:v>-2.364875048942556</x:v>
      </x:c>
      <x:c r="R1012" s="36" t="n">
        <x:f>YEAR(A1012)</x:f>
        <x:v>2024</x:v>
      </x:c>
    </x:row>
    <x:row r="1013">
      <x:c r="A1013" s="30" t="n">
        <x:v>45659</x:v>
      </x:c>
      <x:c r="B1013" s="38" t="n">
        <x:v>5868.55</x:v>
      </x:c>
      <x:c r="C1013" s="34" t="n">
        <x:f>(B1013/B1012-1)*100</x:f>
        <x:v>-0.2223873314030289</x:v>
      </x:c>
      <x:c r="D1013" s="34" t="n">
        <x:f>Assumptions!$B$4*D1012+(1-Assumptions!$B$4)*C1012^2</x:f>
        <x:v>0.784837410439288</x:v>
      </x:c>
      <x:c r="E1013" s="34" t="n">
        <x:f>SQRT(D1013)</x:f>
        <x:v>0.8859104979845809</x:v>
      </x:c>
      <x:c r="F1013" s="34" t="n">
        <x:f>-Assumptions!$B$7*E1013</x:f>
        <x:v>1.4571930957643233</x:v>
      </x:c>
      <x:c r="G1013" s="34" t="n">
        <x:f>-Assumptions!$B$8*E1013</x:f>
        <x:v>2.060936003576892</x:v>
      </x:c>
      <x:c r="H1013" s="34" t="n">
        <x:f>-Assumptions!$B$9*E1013</x:f>
        <x:v>1.3827731654279194</x:v>
      </x:c>
      <x:c r="I1013" s="34" t="n">
        <x:f>-Assumptions!$B$10*E1013</x:f>
        <x:v>2.309093437714386</x:v>
      </x:c>
      <x:c r="J1013" s="36" t="n">
        <x:f>IF(C1013&lt;-F1013,1,0)</x:f>
        <x:v>0</x:v>
      </x:c>
      <x:c r="K1013" s="36" t="n">
        <x:f>IF(C1013&lt;-G1013,1,0)</x:f>
        <x:v>0</x:v>
      </x:c>
      <x:c r="L1013" s="36" t="n">
        <x:f>IF(C1013&lt;-H1013,1,0)</x:f>
        <x:v>0</x:v>
      </x:c>
      <x:c r="M1013" s="36" t="n">
        <x:f>IF(C1013&lt;-I1013,1,0)</x:f>
        <x:v>0</x:v>
      </x:c>
      <x:c r="N1013" s="34" t="n">
        <x:f>-F1013</x:f>
        <x:v>-1.4571930957643233</x:v>
      </x:c>
      <x:c r="O1013" s="34" t="n">
        <x:f>-H1013</x:f>
        <x:v>-1.3827731654279194</x:v>
      </x:c>
      <x:c r="P1013" s="34" t="n">
        <x:f>-G1013</x:f>
        <x:v>-2.060936003576892</x:v>
      </x:c>
      <x:c r="Q1013" s="34" t="n">
        <x:f>-I1013</x:f>
        <x:v>-2.309093437714386</x:v>
      </x:c>
      <x:c r="R1013" s="36" t="n">
        <x:f>YEAR(A1013)</x:f>
        <x:v>2025</x:v>
      </x:c>
    </x:row>
    <x:row r="1014">
      <x:c r="A1014" s="30" t="n">
        <x:v>45660</x:v>
      </x:c>
      <x:c r="B1014" s="38" t="n">
        <x:v>5942.47</x:v>
      </x:c>
      <x:c r="C1014" s="34" t="n">
        <x:f>(B1014/B1013-1)*100</x:f>
        <x:v>1.2595956411720177</x:v>
      </x:c>
      <x:c r="D1014" s="34" t="n">
        <x:f>Assumptions!$B$4*D1013+(1-Assumptions!$B$4)*C1013^2</x:f>
        <x:v>0.7407145333230443</x:v>
      </x:c>
      <x:c r="E1014" s="34" t="n">
        <x:f>SQRT(D1014)</x:f>
        <x:v>0.8606477405553589</x:v>
      </x:c>
      <x:c r="F1014" s="34" t="n">
        <x:f>-Assumptions!$B$7*E1014</x:f>
        <x:v>1.4156395575800722</x:v>
      </x:c>
      <x:c r="G1014" s="34" t="n">
        <x:f>-Assumptions!$B$8*E1014</x:f>
        <x:v>2.0021660415390117</x:v>
      </x:c>
      <x:c r="H1014" s="34" t="n">
        <x:f>-Assumptions!$B$9*E1014</x:f>
        <x:v>1.3433417972058317</x:v>
      </x:c>
      <x:c r="I1014" s="34" t="n">
        <x:f>-Assumptions!$B$10*E1014</x:f>
        <x:v>2.2432469808419424</x:v>
      </x:c>
      <x:c r="J1014" s="36" t="n">
        <x:f>IF(C1014&lt;-F1014,1,0)</x:f>
        <x:v>0</x:v>
      </x:c>
      <x:c r="K1014" s="36" t="n">
        <x:f>IF(C1014&lt;-G1014,1,0)</x:f>
        <x:v>0</x:v>
      </x:c>
      <x:c r="L1014" s="36" t="n">
        <x:f>IF(C1014&lt;-H1014,1,0)</x:f>
        <x:v>0</x:v>
      </x:c>
      <x:c r="M1014" s="36" t="n">
        <x:f>IF(C1014&lt;-I1014,1,0)</x:f>
        <x:v>0</x:v>
      </x:c>
      <x:c r="N1014" s="34" t="n">
        <x:f>-F1014</x:f>
        <x:v>-1.4156395575800722</x:v>
      </x:c>
      <x:c r="O1014" s="34" t="n">
        <x:f>-H1014</x:f>
        <x:v>-1.3433417972058317</x:v>
      </x:c>
      <x:c r="P1014" s="34" t="n">
        <x:f>-G1014</x:f>
        <x:v>-2.0021660415390117</x:v>
      </x:c>
      <x:c r="Q1014" s="34" t="n">
        <x:f>-I1014</x:f>
        <x:v>-2.2432469808419424</x:v>
      </x:c>
      <x:c r="R1014" s="36" t="n">
        <x:f>YEAR(A1014)</x:f>
        <x:v>2025</x:v>
      </x:c>
    </x:row>
    <x:row r="1015">
      <x:c r="A1015" s="30" t="n">
        <x:v>45663</x:v>
      </x:c>
      <x:c r="B1015" s="38" t="n">
        <x:v>5975.38</x:v>
      </x:c>
      <x:c r="C1015" s="34" t="n">
        <x:f>(B1015/B1014-1)*100</x:f>
        <x:v>0.5538101159955344</x:v>
      </x:c>
      <x:c r="D1015" s="34" t="n">
        <x:f>Assumptions!$B$4*D1014+(1-Assumptions!$B$4)*C1014^2</x:f>
        <x:v>0.7914665320792345</x:v>
      </x:c>
      <x:c r="E1015" s="34" t="n">
        <x:f>SQRT(D1015)</x:f>
        <x:v>0.889644047964822</x:v>
      </x:c>
      <x:c r="F1015" s="34" t="n">
        <x:f>-Assumptions!$B$7*E1015</x:f>
        <x:v>1.4633342389907276</x:v>
      </x:c>
      <x:c r="G1015" s="34" t="n">
        <x:f>-Assumptions!$B$8*E1015</x:f>
        <x:v>2.069621539636051</x:v>
      </x:c>
      <x:c r="H1015" s="34" t="n">
        <x:f>-Assumptions!$B$9*E1015</x:f>
        <x:v>1.3886006759227225</x:v>
      </x:c>
      <x:c r="I1015" s="34" t="n">
        <x:f>-Assumptions!$B$10*E1015</x:f>
        <x:v>2.318824799718072</x:v>
      </x:c>
      <x:c r="J1015" s="36" t="n">
        <x:f>IF(C1015&lt;-F1015,1,0)</x:f>
        <x:v>0</x:v>
      </x:c>
      <x:c r="K1015" s="36" t="n">
        <x:f>IF(C1015&lt;-G1015,1,0)</x:f>
        <x:v>0</x:v>
      </x:c>
      <x:c r="L1015" s="36" t="n">
        <x:f>IF(C1015&lt;-H1015,1,0)</x:f>
        <x:v>0</x:v>
      </x:c>
      <x:c r="M1015" s="36" t="n">
        <x:f>IF(C1015&lt;-I1015,1,0)</x:f>
        <x:v>0</x:v>
      </x:c>
      <x:c r="N1015" s="34" t="n">
        <x:f>-F1015</x:f>
        <x:v>-1.4633342389907276</x:v>
      </x:c>
      <x:c r="O1015" s="34" t="n">
        <x:f>-H1015</x:f>
        <x:v>-1.3886006759227225</x:v>
      </x:c>
      <x:c r="P1015" s="34" t="n">
        <x:f>-G1015</x:f>
        <x:v>-2.069621539636051</x:v>
      </x:c>
      <x:c r="Q1015" s="34" t="n">
        <x:f>-I1015</x:f>
        <x:v>-2.318824799718072</x:v>
      </x:c>
      <x:c r="R1015" s="36" t="n">
        <x:f>YEAR(A1015)</x:f>
        <x:v>2025</x:v>
      </x:c>
    </x:row>
    <x:row r="1016">
      <x:c r="A1016" s="30" t="n">
        <x:v>45664</x:v>
      </x:c>
      <x:c r="B1016" s="38" t="n">
        <x:v>5909.03</x:v>
      </x:c>
      <x:c r="C1016" s="34" t="n">
        <x:f>(B1016/B1015-1)*100</x:f>
        <x:v>-1.1103896321238205</x:v>
      </x:c>
      <x:c r="D1016" s="34" t="n">
        <x:f>Assumptions!$B$4*D1015+(1-Assumptions!$B$4)*C1015^2</x:f>
        <x:v>0.7623808788292197</x:v>
      </x:c>
      <x:c r="E1016" s="34" t="n">
        <x:f>SQRT(D1016)</x:f>
        <x:v>0.8731442485805079</x:v>
      </x:c>
      <x:c r="F1016" s="34" t="n">
        <x:f>-Assumptions!$B$7*E1016</x:f>
        <x:v>1.4361944841294667</x:v>
      </x:c>
      <x:c r="G1016" s="34" t="n">
        <x:f>-Assumptions!$B$8*E1016</x:f>
        <x:v>2.0312372664162517</x:v>
      </x:c>
      <x:c r="H1016" s="34" t="n">
        <x:f>-Assumptions!$B$9*E1016</x:f>
        <x:v>1.3628469684370585</x:v>
      </x:c>
      <x:c r="I1016" s="34" t="n">
        <x:f>-Assumptions!$B$10*E1016</x:f>
        <x:v>2.275818673739659</x:v>
      </x:c>
      <x:c r="J1016" s="36" t="n">
        <x:f>IF(C1016&lt;-F1016,1,0)</x:f>
        <x:v>0</x:v>
      </x:c>
      <x:c r="K1016" s="36" t="n">
        <x:f>IF(C1016&lt;-G1016,1,0)</x:f>
        <x:v>0</x:v>
      </x:c>
      <x:c r="L1016" s="36" t="n">
        <x:f>IF(C1016&lt;-H1016,1,0)</x:f>
        <x:v>0</x:v>
      </x:c>
      <x:c r="M1016" s="36" t="n">
        <x:f>IF(C1016&lt;-I1016,1,0)</x:f>
        <x:v>0</x:v>
      </x:c>
      <x:c r="N1016" s="34" t="n">
        <x:f>-F1016</x:f>
        <x:v>-1.4361944841294667</x:v>
      </x:c>
      <x:c r="O1016" s="34" t="n">
        <x:f>-H1016</x:f>
        <x:v>-1.3628469684370585</x:v>
      </x:c>
      <x:c r="P1016" s="34" t="n">
        <x:f>-G1016</x:f>
        <x:v>-2.0312372664162517</x:v>
      </x:c>
      <x:c r="Q1016" s="34" t="n">
        <x:f>-I1016</x:f>
        <x:v>-2.275818673739659</x:v>
      </x:c>
      <x:c r="R1016" s="36" t="n">
        <x:f>YEAR(A1016)</x:f>
        <x:v>2025</x:v>
      </x:c>
    </x:row>
    <x:row r="1017">
      <x:c r="A1017" s="30" t="n">
        <x:v>45665</x:v>
      </x:c>
      <x:c r="B1017" s="38" t="n">
        <x:v>5918.25</x:v>
      </x:c>
      <x:c r="C1017" s="34" t="n">
        <x:f>(B1017/B1016-1)*100</x:f>
        <x:v>0.15603237756451893</x:v>
      </x:c>
      <x:c r="D1017" s="34" t="n">
        <x:f>Assumptions!$B$4*D1016+(1-Assumptions!$B$4)*C1016^2</x:f>
        <x:v>0.7906159342071509</x:v>
      </x:c>
      <x:c r="E1017" s="34" t="n">
        <x:f>SQRT(D1017)</x:f>
        <x:v>0.8891658642835716</x:v>
      </x:c>
      <x:c r="F1017" s="34" t="n">
        <x:f>-Assumptions!$B$7*E1017</x:f>
        <x:v>1.4625476968282738</x:v>
      </x:c>
      <x:c r="G1017" s="34" t="n">
        <x:f>-Assumptions!$B$8*E1017</x:f>
        <x:v>2.0685091180457733</x:v>
      </x:c>
      <x:c r="H1017" s="34" t="n">
        <x:f>-Assumptions!$B$9*E1017</x:f>
        <x:v>1.3878543030508772</x:v>
      </x:c>
      <x:c r="I1017" s="34" t="n">
        <x:f>-Assumptions!$B$10*E1017</x:f>
        <x:v>2.317578431373968</x:v>
      </x:c>
      <x:c r="J1017" s="36" t="n">
        <x:f>IF(C1017&lt;-F1017,1,0)</x:f>
        <x:v>0</x:v>
      </x:c>
      <x:c r="K1017" s="36" t="n">
        <x:f>IF(C1017&lt;-G1017,1,0)</x:f>
        <x:v>0</x:v>
      </x:c>
      <x:c r="L1017" s="36" t="n">
        <x:f>IF(C1017&lt;-H1017,1,0)</x:f>
        <x:v>0</x:v>
      </x:c>
      <x:c r="M1017" s="36" t="n">
        <x:f>IF(C1017&lt;-I1017,1,0)</x:f>
        <x:v>0</x:v>
      </x:c>
      <x:c r="N1017" s="34" t="n">
        <x:f>-F1017</x:f>
        <x:v>-1.4625476968282738</x:v>
      </x:c>
      <x:c r="O1017" s="34" t="n">
        <x:f>-H1017</x:f>
        <x:v>-1.3878543030508772</x:v>
      </x:c>
      <x:c r="P1017" s="34" t="n">
        <x:f>-G1017</x:f>
        <x:v>-2.0685091180457733</x:v>
      </x:c>
      <x:c r="Q1017" s="34" t="n">
        <x:f>-I1017</x:f>
        <x:v>-2.317578431373968</x:v>
      </x:c>
      <x:c r="R1017" s="36" t="n">
        <x:f>YEAR(A1017)</x:f>
        <x:v>2025</x:v>
      </x:c>
    </x:row>
    <x:row r="1018">
      <x:c r="A1018" s="30" t="n">
        <x:v>45667</x:v>
      </x:c>
      <x:c r="B1018" s="38" t="n">
        <x:v>5827.04</x:v>
      </x:c>
      <x:c r="C1018" s="34" t="n">
        <x:f>(B1018/B1017-1)*100</x:f>
        <x:v>-1.541165040341319</x:v>
      </x:c>
      <x:c r="D1018" s="34" t="n">
        <x:f>Assumptions!$B$4*D1017+(1-Assumptions!$B$4)*C1017^2</x:f>
        <x:v>0.744639744325628</x:v>
      </x:c>
      <x:c r="E1018" s="34" t="n">
        <x:f>SQRT(D1018)</x:f>
        <x:v>0.8629251093377849</x:v>
      </x:c>
      <x:c r="F1018" s="34" t="n">
        <x:f>-Assumptions!$B$7*E1018</x:f>
        <x:v>1.4193854958817518</x:v>
      </x:c>
      <x:c r="G1018" s="34" t="n">
        <x:f>-Assumptions!$B$8*E1018</x:f>
        <x:v>2.0074639935644156</x:v>
      </x:c>
      <x:c r="H1018" s="34" t="n">
        <x:f>-Assumptions!$B$9*E1018</x:f>
        <x:v>1.3468964276648747</x:v>
      </x:c>
      <x:c r="I1018" s="34" t="n">
        <x:f>-Assumptions!$B$10*E1018</x:f>
        <x:v>2.249182859604773</x:v>
      </x:c>
      <x:c r="J1018" s="36" t="n">
        <x:f>IF(C1018&lt;-F1018,1,0)</x:f>
        <x:v>1</x:v>
      </x:c>
      <x:c r="K1018" s="36" t="n">
        <x:f>IF(C1018&lt;-G1018,1,0)</x:f>
        <x:v>0</x:v>
      </x:c>
      <x:c r="L1018" s="36" t="n">
        <x:f>IF(C1018&lt;-H1018,1,0)</x:f>
        <x:v>1</x:v>
      </x:c>
      <x:c r="M1018" s="36" t="n">
        <x:f>IF(C1018&lt;-I1018,1,0)</x:f>
        <x:v>0</x:v>
      </x:c>
      <x:c r="N1018" s="34" t="n">
        <x:f>-F1018</x:f>
        <x:v>-1.4193854958817518</x:v>
      </x:c>
      <x:c r="O1018" s="34" t="n">
        <x:f>-H1018</x:f>
        <x:v>-1.3468964276648747</x:v>
      </x:c>
      <x:c r="P1018" s="34" t="n">
        <x:f>-G1018</x:f>
        <x:v>-2.0074639935644156</x:v>
      </x:c>
      <x:c r="Q1018" s="34" t="n">
        <x:f>-I1018</x:f>
        <x:v>-2.249182859604773</x:v>
      </x:c>
      <x:c r="R1018" s="36" t="n">
        <x:f>YEAR(A1018)</x:f>
        <x:v>2025</x:v>
      </x:c>
    </x:row>
    <x:row r="1019">
      <x:c r="A1019" s="30" t="n">
        <x:v>45670</x:v>
      </x:c>
      <x:c r="B1019" s="38" t="n">
        <x:v>5836.22</x:v>
      </x:c>
      <x:c r="C1019" s="34" t="n">
        <x:f>(B1019/B1018-1)*100</x:f>
        <x:v>0.15754139322881056</x:v>
      </x:c>
      <x:c r="D1019" s="34" t="n">
        <x:f>Assumptions!$B$4*D1018+(1-Assumptions!$B$4)*C1018^2</x:f>
        <x:v>0.842472740560306</x:v>
      </x:c>
      <x:c r="E1019" s="34" t="n">
        <x:f>SQRT(D1019)</x:f>
        <x:v>0.9178631382511806</x:v>
      </x:c>
      <x:c r="F1019" s="34" t="n">
        <x:f>-Assumptions!$B$7*E1019</x:f>
        <x:v>1.5097505119975156</x:v>
      </x:c>
      <x:c r="G1019" s="34" t="n">
        <x:f>-Assumptions!$B$8*E1019</x:f>
        <x:v>2.135268960331088</x:v>
      </x:c>
      <x:c r="H1019" s="34" t="n">
        <x:f>-Assumptions!$B$9*E1019</x:f>
        <x:v>1.4326464354994912</x:v>
      </x:c>
      <x:c r="I1019" s="34" t="n">
        <x:f>-Assumptions!$B$10*E1019</x:f>
        <x:v>2.3923768304782205</x:v>
      </x:c>
      <x:c r="J1019" s="36" t="n">
        <x:f>IF(C1019&lt;-F1019,1,0)</x:f>
        <x:v>0</x:v>
      </x:c>
      <x:c r="K1019" s="36" t="n">
        <x:f>IF(C1019&lt;-G1019,1,0)</x:f>
        <x:v>0</x:v>
      </x:c>
      <x:c r="L1019" s="36" t="n">
        <x:f>IF(C1019&lt;-H1019,1,0)</x:f>
        <x:v>0</x:v>
      </x:c>
      <x:c r="M1019" s="36" t="n">
        <x:f>IF(C1019&lt;-I1019,1,0)</x:f>
        <x:v>0</x:v>
      </x:c>
      <x:c r="N1019" s="34" t="n">
        <x:f>-F1019</x:f>
        <x:v>-1.5097505119975156</x:v>
      </x:c>
      <x:c r="O1019" s="34" t="n">
        <x:f>-H1019</x:f>
        <x:v>-1.4326464354994912</x:v>
      </x:c>
      <x:c r="P1019" s="34" t="n">
        <x:f>-G1019</x:f>
        <x:v>-2.135268960331088</x:v>
      </x:c>
      <x:c r="Q1019" s="34" t="n">
        <x:f>-I1019</x:f>
        <x:v>-2.3923768304782205</x:v>
      </x:c>
      <x:c r="R1019" s="36" t="n">
        <x:f>YEAR(A1019)</x:f>
        <x:v>2025</x:v>
      </x:c>
    </x:row>
    <x:row r="1020">
      <x:c r="A1020" s="30" t="n">
        <x:v>45671</x:v>
      </x:c>
      <x:c r="B1020" s="38" t="n">
        <x:v>5842.91</x:v>
      </x:c>
      <x:c r="C1020" s="34" t="n">
        <x:f>(B1020/B1019-1)*100</x:f>
        <x:v>0.1146289893115604</x:v>
      </x:c>
      <x:c r="D1020" s="34" t="n">
        <x:f>Assumptions!$B$4*D1019+(1-Assumptions!$B$4)*C1019^2</x:f>
        <x:v>0.793413533561516</x:v>
      </x:c>
      <x:c r="E1020" s="34" t="n">
        <x:f>SQRT(D1020)</x:f>
        <x:v>0.8907376345263043</x:v>
      </x:c>
      <x:c r="F1020" s="34" t="n">
        <x:f>-Assumptions!$B$7*E1020</x:f>
        <x:v>1.465133028812767</x:v>
      </x:c>
      <x:c r="G1020" s="34" t="n">
        <x:f>-Assumptions!$B$8*E1020</x:f>
        <x:v>2.072165602408435</x:v>
      </x:c>
      <x:c r="H1020" s="34" t="n">
        <x:f>-Assumptions!$B$9*E1020</x:f>
        <x:v>1.3903076002166894</x:v>
      </x:c>
      <x:c r="I1020" s="34" t="n">
        <x:f>-Assumptions!$B$10*E1020</x:f>
        <x:v>2.3216751932492876</x:v>
      </x:c>
      <x:c r="J1020" s="36" t="n">
        <x:f>IF(C1020&lt;-F1020,1,0)</x:f>
        <x:v>0</x:v>
      </x:c>
      <x:c r="K1020" s="36" t="n">
        <x:f>IF(C1020&lt;-G1020,1,0)</x:f>
        <x:v>0</x:v>
      </x:c>
      <x:c r="L1020" s="36" t="n">
        <x:f>IF(C1020&lt;-H1020,1,0)</x:f>
        <x:v>0</x:v>
      </x:c>
      <x:c r="M1020" s="36" t="n">
        <x:f>IF(C1020&lt;-I1020,1,0)</x:f>
        <x:v>0</x:v>
      </x:c>
      <x:c r="N1020" s="34" t="n">
        <x:f>-F1020</x:f>
        <x:v>-1.465133028812767</x:v>
      </x:c>
      <x:c r="O1020" s="34" t="n">
        <x:f>-H1020</x:f>
        <x:v>-1.3903076002166894</x:v>
      </x:c>
      <x:c r="P1020" s="34" t="n">
        <x:f>-G1020</x:f>
        <x:v>-2.072165602408435</x:v>
      </x:c>
      <x:c r="Q1020" s="34" t="n">
        <x:f>-I1020</x:f>
        <x:v>-2.3216751932492876</x:v>
      </x:c>
      <x:c r="R1020" s="36" t="n">
        <x:f>YEAR(A1020)</x:f>
        <x:v>2025</x:v>
      </x:c>
    </x:row>
    <x:row r="1021">
      <x:c r="A1021" s="30" t="n">
        <x:v>45672</x:v>
      </x:c>
      <x:c r="B1021" s="38" t="n">
        <x:v>5949.91</x:v>
      </x:c>
      <x:c r="C1021" s="34" t="n">
        <x:f>(B1021/B1020-1)*100</x:f>
        <x:v>1.8312792769356268</x:v>
      </x:c>
      <x:c r="D1021" s="34" t="n">
        <x:f>Assumptions!$B$4*D1020+(1-Assumptions!$B$4)*C1020^2</x:f>
        <x:v>0.7465971098592603</x:v>
      </x:c>
      <x:c r="E1021" s="34" t="n">
        <x:f>SQRT(D1021)</x:f>
        <x:v>0.8640585106688438</x:v>
      </x:c>
      <x:c r="F1021" s="34" t="n">
        <x:f>-Assumptions!$B$7*E1021</x:f>
        <x:v>1.4212497751719355</x:v>
      </x:c>
      <x:c r="G1021" s="34" t="n">
        <x:f>-Assumptions!$B$8*E1021</x:f>
        <x:v>2.0101006793413596</x:v>
      </x:c>
      <x:c r="H1021" s="34" t="n">
        <x:f>-Assumptions!$B$9*E1021</x:f>
        <x:v>1.3486654968313583</x:v>
      </x:c>
      <x:c r="I1021" s="34" t="n">
        <x:f>-Assumptions!$B$10*E1021</x:f>
        <x:v>2.252137028882368</x:v>
      </x:c>
      <x:c r="J1021" s="36" t="n">
        <x:f>IF(C1021&lt;-F1021,1,0)</x:f>
        <x:v>0</x:v>
      </x:c>
      <x:c r="K1021" s="36" t="n">
        <x:f>IF(C1021&lt;-G1021,1,0)</x:f>
        <x:v>0</x:v>
      </x:c>
      <x:c r="L1021" s="36" t="n">
        <x:f>IF(C1021&lt;-H1021,1,0)</x:f>
        <x:v>0</x:v>
      </x:c>
      <x:c r="M1021" s="36" t="n">
        <x:f>IF(C1021&lt;-I1021,1,0)</x:f>
        <x:v>0</x:v>
      </x:c>
      <x:c r="N1021" s="34" t="n">
        <x:f>-F1021</x:f>
        <x:v>-1.4212497751719355</x:v>
      </x:c>
      <x:c r="O1021" s="34" t="n">
        <x:f>-H1021</x:f>
        <x:v>-1.3486654968313583</x:v>
      </x:c>
      <x:c r="P1021" s="34" t="n">
        <x:f>-G1021</x:f>
        <x:v>-2.0101006793413596</x:v>
      </x:c>
      <x:c r="Q1021" s="34" t="n">
        <x:f>-I1021</x:f>
        <x:v>-2.252137028882368</x:v>
      </x:c>
      <x:c r="R1021" s="36" t="n">
        <x:f>YEAR(A1021)</x:f>
        <x:v>2025</x:v>
      </x:c>
    </x:row>
    <x:row r="1022">
      <x:c r="A1022" s="30" t="n">
        <x:v>45673</x:v>
      </x:c>
      <x:c r="B1022" s="38" t="n">
        <x:v>5937.34</x:v>
      </x:c>
      <x:c r="C1022" s="34" t="n">
        <x:f>(B1022/B1021-1)*100</x:f>
        <x:v>-0.2112636997870454</x:v>
      </x:c>
      <x:c r="D1022" s="34" t="n">
        <x:f>Assumptions!$B$4*D1021+(1-Assumptions!$B$4)*C1021^2</x:f>
        <x:v>0.9030163106757372</x:v>
      </x:c>
      <x:c r="E1022" s="34" t="n">
        <x:f>SQRT(D1022)</x:f>
        <x:v>0.9502717036067827</x:v>
      </x:c>
      <x:c r="F1022" s="34" t="n">
        <x:f>-Assumptions!$B$7*E1022</x:f>
        <x:v>1.5630578582669716</x:v>
      </x:c>
      <x:c r="G1022" s="34" t="n">
        <x:f>-Assumptions!$B$8*E1022</x:f>
        <x:v>2.2106625574468066</x:v>
      </x:c>
      <x:c r="H1022" s="34" t="n">
        <x:f>-Assumptions!$B$9*E1022</x:f>
        <x:v>1.4832313361251113</x:v>
      </x:c>
      <x:c r="I1022" s="34" t="n">
        <x:f>-Assumptions!$B$10*E1022</x:f>
        <x:v>2.476848575376384</x:v>
      </x:c>
      <x:c r="J1022" s="36" t="n">
        <x:f>IF(C1022&lt;-F1022,1,0)</x:f>
        <x:v>0</x:v>
      </x:c>
      <x:c r="K1022" s="36" t="n">
        <x:f>IF(C1022&lt;-G1022,1,0)</x:f>
        <x:v>0</x:v>
      </x:c>
      <x:c r="L1022" s="36" t="n">
        <x:f>IF(C1022&lt;-H1022,1,0)</x:f>
        <x:v>0</x:v>
      </x:c>
      <x:c r="M1022" s="36" t="n">
        <x:f>IF(C1022&lt;-I1022,1,0)</x:f>
        <x:v>0</x:v>
      </x:c>
      <x:c r="N1022" s="34" t="n">
        <x:f>-F1022</x:f>
        <x:v>-1.5630578582669716</x:v>
      </x:c>
      <x:c r="O1022" s="34" t="n">
        <x:f>-H1022</x:f>
        <x:v>-1.4832313361251113</x:v>
      </x:c>
      <x:c r="P1022" s="34" t="n">
        <x:f>-G1022</x:f>
        <x:v>-2.2106625574468066</x:v>
      </x:c>
      <x:c r="Q1022" s="34" t="n">
        <x:f>-I1022</x:f>
        <x:v>-2.476848575376384</x:v>
      </x:c>
      <x:c r="R1022" s="36" t="n">
        <x:f>YEAR(A1022)</x:f>
        <x:v>2025</x:v>
      </x:c>
    </x:row>
    <x:row r="1023">
      <x:c r="A1023" s="30" t="n">
        <x:v>45674</x:v>
      </x:c>
      <x:c r="B1023" s="38" t="n">
        <x:v>5996.66</x:v>
      </x:c>
      <x:c r="C1023" s="34" t="n">
        <x:f>(B1023/B1022-1)*100</x:f>
        <x:v>0.9991006073426734</x:v>
      </x:c>
      <x:c r="D1023" s="34" t="n">
        <x:f>Assumptions!$B$4*D1022+(1-Assumptions!$B$4)*C1022^2</x:f>
        <x:v>0.8515132730860555</x:v>
      </x:c>
      <x:c r="E1023" s="34" t="n">
        <x:f>SQRT(D1023)</x:f>
        <x:v>0.9227747683406041</x:v>
      </x:c>
      <x:c r="F1023" s="34" t="n">
        <x:f>-Assumptions!$B$7*E1023</x:f>
        <x:v>1.5178294245643478</x:v>
      </x:c>
      <x:c r="G1023" s="34" t="n">
        <x:f>-Assumptions!$B$8*E1023</x:f>
        <x:v>2.1466951205476934</x:v>
      </x:c>
      <x:c r="H1023" s="34" t="n">
        <x:f>-Assumptions!$B$9*E1023</x:f>
        <x:v>1.4403127520197425</x:v>
      </x:c>
      <x:c r="I1023" s="34" t="n">
        <x:f>-Assumptions!$B$10*E1023</x:f>
        <x:v>2.4051788153669533</x:v>
      </x:c>
      <x:c r="J1023" s="36" t="n">
        <x:f>IF(C1023&lt;-F1023,1,0)</x:f>
        <x:v>0</x:v>
      </x:c>
      <x:c r="K1023" s="36" t="n">
        <x:f>IF(C1023&lt;-G1023,1,0)</x:f>
        <x:v>0</x:v>
      </x:c>
      <x:c r="L1023" s="36" t="n">
        <x:f>IF(C1023&lt;-H1023,1,0)</x:f>
        <x:v>0</x:v>
      </x:c>
      <x:c r="M1023" s="36" t="n">
        <x:f>IF(C1023&lt;-I1023,1,0)</x:f>
        <x:v>0</x:v>
      </x:c>
      <x:c r="N1023" s="34" t="n">
        <x:f>-F1023</x:f>
        <x:v>-1.5178294245643478</x:v>
      </x:c>
      <x:c r="O1023" s="34" t="n">
        <x:f>-H1023</x:f>
        <x:v>-1.4403127520197425</x:v>
      </x:c>
      <x:c r="P1023" s="34" t="n">
        <x:f>-G1023</x:f>
        <x:v>-2.1466951205476934</x:v>
      </x:c>
      <x:c r="Q1023" s="34" t="n">
        <x:f>-I1023</x:f>
        <x:v>-2.4051788153669533</x:v>
      </x:c>
      <x:c r="R1023" s="36" t="n">
        <x:f>YEAR(A1023)</x:f>
        <x:v>2025</x:v>
      </x:c>
    </x:row>
    <x:row r="1024">
      <x:c r="A1024" s="30" t="n">
        <x:v>45678</x:v>
      </x:c>
      <x:c r="B1024" s="38" t="n">
        <x:v>6049.24</x:v>
      </x:c>
      <x:c r="C1024" s="34" t="n">
        <x:f>(B1024/B1023-1)*100</x:f>
        <x:v>0.8768214305963751</x:v>
      </x:c>
      <x:c r="D1024" s="34" t="n">
        <x:f>Assumptions!$B$4*D1023+(1-Assumptions!$B$4)*C1023^2</x:f>
        <x:v>0.8603145981164422</x:v>
      </x:c>
      <x:c r="E1024" s="34" t="n">
        <x:f>SQRT(D1024)</x:f>
        <x:v>0.9275314539768676</x:v>
      </x:c>
      <x:c r="F1024" s="34" t="n">
        <x:f>-Assumptions!$B$7*E1024</x:f>
        <x:v>1.525653476185424</x:v>
      </x:c>
      <x:c r="G1024" s="34" t="n">
        <x:f>-Assumptions!$B$8*E1024</x:f>
        <x:v>2.1577608260650956</x:v>
      </x:c>
      <x:c r="H1024" s="34" t="n">
        <x:f>-Assumptions!$B$9*E1024</x:f>
        <x:v>1.4477372235314414</x:v>
      </x:c>
      <x:c r="I1024" s="34" t="n">
        <x:f>-Assumptions!$B$10*E1024</x:f>
        <x:v>2.417576943183424</x:v>
      </x:c>
      <x:c r="J1024" s="36" t="n">
        <x:f>IF(C1024&lt;-F1024,1,0)</x:f>
        <x:v>0</x:v>
      </x:c>
      <x:c r="K1024" s="36" t="n">
        <x:f>IF(C1024&lt;-G1024,1,0)</x:f>
        <x:v>0</x:v>
      </x:c>
      <x:c r="L1024" s="36" t="n">
        <x:f>IF(C1024&lt;-H1024,1,0)</x:f>
        <x:v>0</x:v>
      </x:c>
      <x:c r="M1024" s="36" t="n">
        <x:f>IF(C1024&lt;-I1024,1,0)</x:f>
        <x:v>0</x:v>
      </x:c>
      <x:c r="N1024" s="34" t="n">
        <x:f>-F1024</x:f>
        <x:v>-1.525653476185424</x:v>
      </x:c>
      <x:c r="O1024" s="34" t="n">
        <x:f>-H1024</x:f>
        <x:v>-1.4477372235314414</x:v>
      </x:c>
      <x:c r="P1024" s="34" t="n">
        <x:f>-G1024</x:f>
        <x:v>-2.1577608260650956</x:v>
      </x:c>
      <x:c r="Q1024" s="34" t="n">
        <x:f>-I1024</x:f>
        <x:v>-2.417576943183424</x:v>
      </x:c>
      <x:c r="R1024" s="36" t="n">
        <x:f>YEAR(A1024)</x:f>
        <x:v>2025</x:v>
      </x:c>
    </x:row>
    <x:row r="1025">
      <x:c r="A1025" s="30" t="n">
        <x:v>45679</x:v>
      </x:c>
      <x:c r="B1025" s="38" t="n">
        <x:v>6086.37</x:v>
      </x:c>
      <x:c r="C1025" s="34" t="n">
        <x:f>(B1025/B1024-1)*100</x:f>
        <x:v>0.6137961132307579</x:v>
      </x:c>
      <x:c r="D1025" s="34" t="n">
        <x:f>Assumptions!$B$4*D1024+(1-Assumptions!$B$4)*C1024^2</x:f>
        <x:v>0.85482467149864</x:v>
      </x:c>
      <x:c r="E1025" s="34" t="n">
        <x:f>SQRT(D1025)</x:f>
        <x:v>0.9245672887889989</x:v>
      </x:c>
      <x:c r="F1025" s="34" t="n">
        <x:f>-Assumptions!$B$7*E1025</x:f>
        <x:v>1.5207778583252747</x:v>
      </x:c>
      <x:c r="G1025" s="34" t="n">
        <x:f>-Assumptions!$B$8*E1025</x:f>
        <x:v>2.150865146681991</x:v>
      </x:c>
      <x:c r="H1025" s="34" t="n">
        <x:f>-Assumptions!$B$9*E1025</x:f>
        <x:v>1.4431106070854176</x:v>
      </x:c>
      <x:c r="I1025" s="34" t="n">
        <x:f>-Assumptions!$B$10*E1025</x:f>
        <x:v>2.4098509546110116</x:v>
      </x:c>
      <x:c r="J1025" s="36" t="n">
        <x:f>IF(C1025&lt;-F1025,1,0)</x:f>
        <x:v>0</x:v>
      </x:c>
      <x:c r="K1025" s="36" t="n">
        <x:f>IF(C1025&lt;-G1025,1,0)</x:f>
        <x:v>0</x:v>
      </x:c>
      <x:c r="L1025" s="36" t="n">
        <x:f>IF(C1025&lt;-H1025,1,0)</x:f>
        <x:v>0</x:v>
      </x:c>
      <x:c r="M1025" s="36" t="n">
        <x:f>IF(C1025&lt;-I1025,1,0)</x:f>
        <x:v>0</x:v>
      </x:c>
      <x:c r="N1025" s="34" t="n">
        <x:f>-F1025</x:f>
        <x:v>-1.5207778583252747</x:v>
      </x:c>
      <x:c r="O1025" s="34" t="n">
        <x:f>-H1025</x:f>
        <x:v>-1.4431106070854176</x:v>
      </x:c>
      <x:c r="P1025" s="34" t="n">
        <x:f>-G1025</x:f>
        <x:v>-2.150865146681991</x:v>
      </x:c>
      <x:c r="Q1025" s="34" t="n">
        <x:f>-I1025</x:f>
        <x:v>-2.4098509546110116</x:v>
      </x:c>
      <x:c r="R1025" s="36" t="n">
        <x:f>YEAR(A1025)</x:f>
        <x:v>2025</x:v>
      </x:c>
    </x:row>
    <x:row r="1026">
      <x:c r="A1026" s="30" t="n">
        <x:v>45680</x:v>
      </x:c>
      <x:c r="B1026" s="38" t="n">
        <x:v>6118.71</x:v>
      </x:c>
      <x:c r="C1026" s="34" t="n">
        <x:f>(B1026/B1025-1)*100</x:f>
        <x:v>0.531351199483443</x:v>
      </x:c>
      <x:c r="D1026" s="34" t="n">
        <x:f>Assumptions!$B$4*D1025+(1-Assumptions!$B$4)*C1025^2</x:f>
        <x:v>0.8261399313257528</x:v>
      </x:c>
      <x:c r="E1026" s="34" t="n">
        <x:f>SQRT(D1026)</x:f>
        <x:v>0.9089224011574106</x:v>
      </x:c>
      <x:c r="F1026" s="34" t="n">
        <x:f>-Assumptions!$B$7*E1026</x:f>
        <x:v>1.4950443081612084</x:v>
      </x:c>
      <x:c r="G1026" s="34" t="n">
        <x:f>-Assumptions!$B$8*E1026</x:f>
        <x:v>2.114469695600638</x:v>
      </x:c>
      <x:c r="H1026" s="34" t="n">
        <x:f>-Assumptions!$B$9*E1026</x:f>
        <x:v>1.4186912883818799</x:v>
      </x:c>
      <x:c r="I1026" s="34" t="n">
        <x:f>-Assumptions!$B$10*E1026</x:f>
        <x:v>2.3690731249701353</x:v>
      </x:c>
      <x:c r="J1026" s="36" t="n">
        <x:f>IF(C1026&lt;-F1026,1,0)</x:f>
        <x:v>0</x:v>
      </x:c>
      <x:c r="K1026" s="36" t="n">
        <x:f>IF(C1026&lt;-G1026,1,0)</x:f>
        <x:v>0</x:v>
      </x:c>
      <x:c r="L1026" s="36" t="n">
        <x:f>IF(C1026&lt;-H1026,1,0)</x:f>
        <x:v>0</x:v>
      </x:c>
      <x:c r="M1026" s="36" t="n">
        <x:f>IF(C1026&lt;-I1026,1,0)</x:f>
        <x:v>0</x:v>
      </x:c>
      <x:c r="N1026" s="34" t="n">
        <x:f>-F1026</x:f>
        <x:v>-1.4950443081612084</x:v>
      </x:c>
      <x:c r="O1026" s="34" t="n">
        <x:f>-H1026</x:f>
        <x:v>-1.4186912883818799</x:v>
      </x:c>
      <x:c r="P1026" s="34" t="n">
        <x:f>-G1026</x:f>
        <x:v>-2.114469695600638</x:v>
      </x:c>
      <x:c r="Q1026" s="34" t="n">
        <x:f>-I1026</x:f>
        <x:v>-2.3690731249701353</x:v>
      </x:c>
      <x:c r="R1026" s="36" t="n">
        <x:f>YEAR(A1026)</x:f>
        <x:v>2025</x:v>
      </x:c>
    </x:row>
    <x:row r="1027">
      <x:c r="A1027" s="30" t="n">
        <x:v>45681</x:v>
      </x:c>
      <x:c r="B1027" s="38" t="n">
        <x:v>6101.24</x:v>
      </x:c>
      <x:c r="C1027" s="34" t="n">
        <x:f>(B1027/B1026-1)*100</x:f>
        <x:v>-0.28551769899211044</x:v>
      </x:c>
      <x:c r="D1027" s="34" t="n">
        <x:f>Assumptions!$B$4*D1026+(1-Assumptions!$B$4)*C1026^2</x:f>
        <x:v>0.7935115812777572</x:v>
      </x:c>
      <x:c r="E1027" s="34" t="n">
        <x:f>SQRT(D1027)</x:f>
        <x:v>0.8907926701975928</x:v>
      </x:c>
      <x:c r="F1027" s="34" t="n">
        <x:f>-Assumptions!$B$7*E1027</x:f>
        <x:v>1.4652235544362977</x:v>
      </x:c>
      <x:c r="G1027" s="34" t="n">
        <x:f>-Assumptions!$B$8*E1027</x:f>
        <x:v>2.0722936345253333</x:v>
      </x:c>
      <x:c r="H1027" s="34" t="n">
        <x:f>-Assumptions!$B$9*E1027</x:f>
        <x:v>1.3903935026295993</x:v>
      </x:c>
      <x:c r="I1027" s="34" t="n">
        <x:f>-Assumptions!$B$10*E1027</x:f>
        <x:v>2.3218186417214546</x:v>
      </x:c>
      <x:c r="J1027" s="36" t="n">
        <x:f>IF(C1027&lt;-F1027,1,0)</x:f>
        <x:v>0</x:v>
      </x:c>
      <x:c r="K1027" s="36" t="n">
        <x:f>IF(C1027&lt;-G1027,1,0)</x:f>
        <x:v>0</x:v>
      </x:c>
      <x:c r="L1027" s="36" t="n">
        <x:f>IF(C1027&lt;-H1027,1,0)</x:f>
        <x:v>0</x:v>
      </x:c>
      <x:c r="M1027" s="36" t="n">
        <x:f>IF(C1027&lt;-I1027,1,0)</x:f>
        <x:v>0</x:v>
      </x:c>
      <x:c r="N1027" s="34" t="n">
        <x:f>-F1027</x:f>
        <x:v>-1.4652235544362977</x:v>
      </x:c>
      <x:c r="O1027" s="34" t="n">
        <x:f>-H1027</x:f>
        <x:v>-1.3903935026295993</x:v>
      </x:c>
      <x:c r="P1027" s="34" t="n">
        <x:f>-G1027</x:f>
        <x:v>-2.0722936345253333</x:v>
      </x:c>
      <x:c r="Q1027" s="34" t="n">
        <x:f>-I1027</x:f>
        <x:v>-2.3218186417214546</x:v>
      </x:c>
      <x:c r="R1027" s="36" t="n">
        <x:f>YEAR(A1027)</x:f>
        <x:v>2025</x:v>
      </x:c>
    </x:row>
    <x:row r="1028">
      <x:c r="A1028" s="30" t="n">
        <x:v>45684</x:v>
      </x:c>
      <x:c r="B1028" s="38" t="n">
        <x:v>6012.28</x:v>
      </x:c>
      <x:c r="C1028" s="34" t="n">
        <x:f>(B1028/B1027-1)*100</x:f>
        <x:v>-1.45806426234667</x:v>
      </x:c>
      <x:c r="D1028" s="34" t="n">
        <x:f>Assumptions!$B$4*D1027+(1-Assumptions!$B$4)*C1027^2</x:f>
        <x:v>0.7507921077873567</x:v>
      </x:c>
      <x:c r="E1028" s="34" t="n">
        <x:f>SQRT(D1028)</x:f>
        <x:v>0.8664826067425455</x:v>
      </x:c>
      <x:c r="F1028" s="34" t="n">
        <x:f>-Assumptions!$B$7*E1028</x:f>
        <x:v>1.4252370583908427</x:v>
      </x:c>
      <x:c r="G1028" s="34" t="n">
        <x:f>-Assumptions!$B$8*E1028</x:f>
        <x:v>2.015739970088886</x:v>
      </x:c>
      <x:c r="H1028" s="34" t="n">
        <x:f>-Assumptions!$B$9*E1028</x:f>
        <x:v>1.3524491465440094</x:v>
      </x:c>
      <x:c r="I1028" s="34" t="n">
        <x:f>-Assumptions!$B$10*E1028</x:f>
        <x:v>2.2584553469843747</x:v>
      </x:c>
      <x:c r="J1028" s="36" t="n">
        <x:f>IF(C1028&lt;-F1028,1,0)</x:f>
        <x:v>1</x:v>
      </x:c>
      <x:c r="K1028" s="36" t="n">
        <x:f>IF(C1028&lt;-G1028,1,0)</x:f>
        <x:v>0</x:v>
      </x:c>
      <x:c r="L1028" s="36" t="n">
        <x:f>IF(C1028&lt;-H1028,1,0)</x:f>
        <x:v>1</x:v>
      </x:c>
      <x:c r="M1028" s="36" t="n">
        <x:f>IF(C1028&lt;-I1028,1,0)</x:f>
        <x:v>0</x:v>
      </x:c>
      <x:c r="N1028" s="34" t="n">
        <x:f>-F1028</x:f>
        <x:v>-1.4252370583908427</x:v>
      </x:c>
      <x:c r="O1028" s="34" t="n">
        <x:f>-H1028</x:f>
        <x:v>-1.3524491465440094</x:v>
      </x:c>
      <x:c r="P1028" s="34" t="n">
        <x:f>-G1028</x:f>
        <x:v>-2.015739970088886</x:v>
      </x:c>
      <x:c r="Q1028" s="34" t="n">
        <x:f>-I1028</x:f>
        <x:v>-2.2584553469843747</x:v>
      </x:c>
      <x:c r="R1028" s="36" t="n">
        <x:f>YEAR(A1028)</x:f>
        <x:v>2025</x:v>
      </x:c>
    </x:row>
    <x:row r="1029">
      <x:c r="A1029" s="30" t="n">
        <x:v>45685</x:v>
      </x:c>
      <x:c r="B1029" s="38" t="n">
        <x:v>6067.7</x:v>
      </x:c>
      <x:c r="C1029" s="34" t="n">
        <x:f>(B1029/B1028-1)*100</x:f>
        <x:v>0.9217800900823026</x:v>
      </x:c>
      <x:c r="D1029" s="34" t="n">
        <x:f>Assumptions!$B$4*D1028+(1-Assumptions!$B$4)*C1028^2</x:f>
        <x:v>0.8333016649080678</x:v>
      </x:c>
      <x:c r="E1029" s="34" t="n">
        <x:f>SQRT(D1029)</x:f>
        <x:v>0.9128535834996037</x:v>
      </x:c>
      <x:c r="F1029" s="34" t="n">
        <x:f>-Assumptions!$B$7*E1029</x:f>
        <x:v>1.5015105276949723</x:v>
      </x:c>
      <x:c r="G1029" s="34" t="n">
        <x:f>-Assumptions!$B$8*E1029</x:f>
        <x:v>2.123614993284866</x:v>
      </x:c>
      <x:c r="H1029" s="34" t="n">
        <x:f>-Assumptions!$B$9*E1029</x:f>
        <x:v>1.4248272732963325</x:v>
      </x:c>
      <x:c r="I1029" s="34" t="n">
        <x:f>-Assumptions!$B$10*E1029</x:f>
        <x:v>2.379319608525153</x:v>
      </x:c>
      <x:c r="J1029" s="36" t="n">
        <x:f>IF(C1029&lt;-F1029,1,0)</x:f>
        <x:v>0</x:v>
      </x:c>
      <x:c r="K1029" s="36" t="n">
        <x:f>IF(C1029&lt;-G1029,1,0)</x:f>
        <x:v>0</x:v>
      </x:c>
      <x:c r="L1029" s="36" t="n">
        <x:f>IF(C1029&lt;-H1029,1,0)</x:f>
        <x:v>0</x:v>
      </x:c>
      <x:c r="M1029" s="36" t="n">
        <x:f>IF(C1029&lt;-I1029,1,0)</x:f>
        <x:v>0</x:v>
      </x:c>
      <x:c r="N1029" s="34" t="n">
        <x:f>-F1029</x:f>
        <x:v>-1.5015105276949723</x:v>
      </x:c>
      <x:c r="O1029" s="34" t="n">
        <x:f>-H1029</x:f>
        <x:v>-1.4248272732963325</x:v>
      </x:c>
      <x:c r="P1029" s="34" t="n">
        <x:f>-G1029</x:f>
        <x:v>-2.123614993284866</x:v>
      </x:c>
      <x:c r="Q1029" s="34" t="n">
        <x:f>-I1029</x:f>
        <x:v>-2.379319608525153</x:v>
      </x:c>
      <x:c r="R1029" s="36" t="n">
        <x:f>YEAR(A1029)</x:f>
        <x:v>2025</x:v>
      </x:c>
    </x:row>
    <x:row r="1030">
      <x:c r="A1030" s="30" t="n">
        <x:v>45686</x:v>
      </x:c>
      <x:c r="B1030" s="38" t="n">
        <x:v>6039.31</x:v>
      </x:c>
      <x:c r="C1030" s="34" t="n">
        <x:f>(B1030/B1029-1)*100</x:f>
        <x:v>-0.4678873378710091</x:v>
      </x:c>
      <x:c r="D1030" s="34" t="n">
        <x:f>Assumptions!$B$4*D1029+(1-Assumptions!$B$4)*C1029^2</x:f>
        <x:v>0.834284277081912</x:v>
      </x:c>
      <x:c r="E1030" s="34" t="n">
        <x:f>SQRT(D1030)</x:f>
        <x:v>0.9133916340113435</x:v>
      </x:c>
      <x:c r="F1030" s="34" t="n">
        <x:f>-Assumptions!$B$7*E1030</x:f>
        <x:v>1.5023955420306907</x:v>
      </x:c>
      <x:c r="G1030" s="34" t="n">
        <x:f>-Assumptions!$B$8*E1030</x:f>
        <x:v>2.1248666859489784</x:v>
      </x:c>
      <x:c r="H1030" s="34" t="n">
        <x:f>-Assumptions!$B$9*E1030</x:f>
        <x:v>1.425667089294643</x:v>
      </x:c>
      <x:c r="I1030" s="34" t="n">
        <x:f>-Assumptions!$B$10*E1030</x:f>
        <x:v>2.3807220175818733</x:v>
      </x:c>
      <x:c r="J1030" s="36" t="n">
        <x:f>IF(C1030&lt;-F1030,1,0)</x:f>
        <x:v>0</x:v>
      </x:c>
      <x:c r="K1030" s="36" t="n">
        <x:f>IF(C1030&lt;-G1030,1,0)</x:f>
        <x:v>0</x:v>
      </x:c>
      <x:c r="L1030" s="36" t="n">
        <x:f>IF(C1030&lt;-H1030,1,0)</x:f>
        <x:v>0</x:v>
      </x:c>
      <x:c r="M1030" s="36" t="n">
        <x:f>IF(C1030&lt;-I1030,1,0)</x:f>
        <x:v>0</x:v>
      </x:c>
      <x:c r="N1030" s="34" t="n">
        <x:f>-F1030</x:f>
        <x:v>-1.5023955420306907</x:v>
      </x:c>
      <x:c r="O1030" s="34" t="n">
        <x:f>-H1030</x:f>
        <x:v>-1.425667089294643</x:v>
      </x:c>
      <x:c r="P1030" s="34" t="n">
        <x:f>-G1030</x:f>
        <x:v>-2.1248666859489784</x:v>
      </x:c>
      <x:c r="Q1030" s="34" t="n">
        <x:f>-I1030</x:f>
        <x:v>-2.3807220175818733</x:v>
      </x:c>
      <x:c r="R1030" s="36" t="n">
        <x:f>YEAR(A1030)</x:f>
        <x:v>2025</x:v>
      </x:c>
    </x:row>
    <x:row r="1031">
      <x:c r="A1031" s="30" t="n">
        <x:v>45687</x:v>
      </x:c>
      <x:c r="B1031" s="38" t="n">
        <x:v>6071.17</x:v>
      </x:c>
      <x:c r="C1031" s="34" t="n">
        <x:f>(B1031/B1030-1)*100</x:f>
        <x:v>0.5275437094634849</x:v>
      </x:c>
      <x:c r="D1031" s="34" t="n">
        <x:f>Assumptions!$B$4*D1030+(1-Assumptions!$B$4)*C1030^2</x:f>
        <x:v>0.7973623341133984</x:v>
      </x:c>
      <x:c r="E1031" s="34" t="n">
        <x:f>SQRT(D1031)</x:f>
        <x:v>0.892951473549038</x:v>
      </x:c>
      <x:c r="F1031" s="34" t="n">
        <x:f>-Assumptions!$B$7*E1031</x:f>
        <x:v>1.4687744699587975</x:v>
      </x:c>
      <x:c r="G1031" s="34" t="n">
        <x:f>-Assumptions!$B$8*E1031</x:f>
        <x:v>2.0773157621124403</x:v>
      </x:c>
      <x:c r="H1031" s="34" t="n">
        <x:f>-Assumptions!$B$9*E1031</x:f>
        <x:v>1.3937630702671941</x:v>
      </x:c>
      <x:c r="I1031" s="34" t="n">
        <x:f>-Assumptions!$B$10*E1031</x:f>
        <x:v>2.3274454840079817</x:v>
      </x:c>
      <x:c r="J1031" s="36" t="n">
        <x:f>IF(C1031&lt;-F1031,1,0)</x:f>
        <x:v>0</x:v>
      </x:c>
      <x:c r="K1031" s="36" t="n">
        <x:f>IF(C1031&lt;-G1031,1,0)</x:f>
        <x:v>0</x:v>
      </x:c>
      <x:c r="L1031" s="36" t="n">
        <x:f>IF(C1031&lt;-H1031,1,0)</x:f>
        <x:v>0</x:v>
      </x:c>
      <x:c r="M1031" s="36" t="n">
        <x:f>IF(C1031&lt;-I1031,1,0)</x:f>
        <x:v>0</x:v>
      </x:c>
      <x:c r="N1031" s="34" t="n">
        <x:f>-F1031</x:f>
        <x:v>-1.4687744699587975</x:v>
      </x:c>
      <x:c r="O1031" s="34" t="n">
        <x:f>-H1031</x:f>
        <x:v>-1.3937630702671941</x:v>
      </x:c>
      <x:c r="P1031" s="34" t="n">
        <x:f>-G1031</x:f>
        <x:v>-2.0773157621124403</x:v>
      </x:c>
      <x:c r="Q1031" s="34" t="n">
        <x:f>-I1031</x:f>
        <x:v>-2.3274454840079817</x:v>
      </x:c>
      <x:c r="R1031" s="36" t="n">
        <x:f>YEAR(A1031)</x:f>
        <x:v>2025</x:v>
      </x:c>
    </x:row>
    <x:row r="1032">
      <x:c r="A1032" s="30" t="n">
        <x:v>45688</x:v>
      </x:c>
      <x:c r="B1032" s="38" t="n">
        <x:v>6040.53</x:v>
      </x:c>
      <x:c r="C1032" s="34" t="n">
        <x:f>(B1032/B1031-1)*100</x:f>
        <x:v>-0.5046803169735048</x:v>
      </x:c>
      <x:c r="D1032" s="34" t="n">
        <x:f>Assumptions!$B$4*D1031+(1-Assumptions!$B$4)*C1031^2</x:f>
        <x:v>0.7662187359902641</x:v>
      </x:c>
      <x:c r="E1032" s="34" t="n">
        <x:f>SQRT(D1032)</x:f>
        <x:v>0.8753392119574355</x:v>
      </x:c>
      <x:c r="F1032" s="34" t="n">
        <x:f>-Assumptions!$B$7*E1032</x:f>
        <x:v>1.4398048776010317</x:v>
      </x:c>
      <x:c r="G1032" s="34" t="n">
        <x:f>-Assumptions!$B$8*E1032</x:f>
        <x:v>2.0363435148017643</x:v>
      </x:c>
      <x:c r="H1032" s="34" t="n">
        <x:f>-Assumptions!$B$9*E1032</x:f>
        <x:v>1.3662729764408212</x:v>
      </x:c>
      <x:c r="I1032" s="34" t="n">
        <x:f>-Assumptions!$B$10*E1032</x:f>
        <x:v>2.281539765815232</x:v>
      </x:c>
      <x:c r="J1032" s="36" t="n">
        <x:f>IF(C1032&lt;-F1032,1,0)</x:f>
        <x:v>0</x:v>
      </x:c>
      <x:c r="K1032" s="36" t="n">
        <x:f>IF(C1032&lt;-G1032,1,0)</x:f>
        <x:v>0</x:v>
      </x:c>
      <x:c r="L1032" s="36" t="n">
        <x:f>IF(C1032&lt;-H1032,1,0)</x:f>
        <x:v>0</x:v>
      </x:c>
      <x:c r="M1032" s="36" t="n">
        <x:f>IF(C1032&lt;-I1032,1,0)</x:f>
        <x:v>0</x:v>
      </x:c>
      <x:c r="N1032" s="34" t="n">
        <x:f>-F1032</x:f>
        <x:v>-1.4398048776010317</x:v>
      </x:c>
      <x:c r="O1032" s="34" t="n">
        <x:f>-H1032</x:f>
        <x:v>-1.3662729764408212</x:v>
      </x:c>
      <x:c r="P1032" s="34" t="n">
        <x:f>-G1032</x:f>
        <x:v>-2.0363435148017643</x:v>
      </x:c>
      <x:c r="Q1032" s="34" t="n">
        <x:f>-I1032</x:f>
        <x:v>-2.281539765815232</x:v>
      </x:c>
      <x:c r="R1032" s="36" t="n">
        <x:f>YEAR(A1032)</x:f>
        <x:v>2025</x:v>
      </x:c>
    </x:row>
    <x:row r="1033">
      <x:c r="A1033" s="30" t="n">
        <x:v>45691</x:v>
      </x:c>
      <x:c r="B1033" s="38" t="n">
        <x:v>5994.57</x:v>
      </x:c>
      <x:c r="C1033" s="34" t="n">
        <x:f>(B1033/B1032-1)*100</x:f>
        <x:v>-0.7608603880785325</x:v>
      </x:c>
      <x:c r="D1033" s="34" t="n">
        <x:f>Assumptions!$B$4*D1032+(1-Assumptions!$B$4)*C1032^2</x:f>
        <x:v>0.7355277451712768</x:v>
      </x:c>
      <x:c r="E1033" s="34" t="n">
        <x:f>SQRT(D1033)</x:f>
        <x:v>0.8576291419787908</x:v>
      </x:c>
      <x:c r="F1033" s="34" t="n">
        <x:f>-Assumptions!$B$7*E1033</x:f>
        <x:v>1.4106744047630937</x:v>
      </x:c>
      <x:c r="G1033" s="34" t="n">
        <x:f>-Assumptions!$B$8*E1033</x:f>
        <x:v>1.99514373115783</x:v>
      </x:c>
      <x:c r="H1033" s="34" t="n">
        <x:f>-Assumptions!$B$9*E1033</x:f>
        <x:v>1.3386302184195176</x:v>
      </x:c>
      <x:c r="I1033" s="34" t="n">
        <x:f>-Assumptions!$B$10*E1033</x:f>
        <x:v>2.2353791136249894</x:v>
      </x:c>
      <x:c r="J1033" s="36" t="n">
        <x:f>IF(C1033&lt;-F1033,1,0)</x:f>
        <x:v>0</x:v>
      </x:c>
      <x:c r="K1033" s="36" t="n">
        <x:f>IF(C1033&lt;-G1033,1,0)</x:f>
        <x:v>0</x:v>
      </x:c>
      <x:c r="L1033" s="36" t="n">
        <x:f>IF(C1033&lt;-H1033,1,0)</x:f>
        <x:v>0</x:v>
      </x:c>
      <x:c r="M1033" s="36" t="n">
        <x:f>IF(C1033&lt;-I1033,1,0)</x:f>
        <x:v>0</x:v>
      </x:c>
      <x:c r="N1033" s="34" t="n">
        <x:f>-F1033</x:f>
        <x:v>-1.4106744047630937</x:v>
      </x:c>
      <x:c r="O1033" s="34" t="n">
        <x:f>-H1033</x:f>
        <x:v>-1.3386302184195176</x:v>
      </x:c>
      <x:c r="P1033" s="34" t="n">
        <x:f>-G1033</x:f>
        <x:v>-1.99514373115783</x:v>
      </x:c>
      <x:c r="Q1033" s="34" t="n">
        <x:f>-I1033</x:f>
        <x:v>-2.2353791136249894</x:v>
      </x:c>
      <x:c r="R1033" s="36" t="n">
        <x:f>YEAR(A1033)</x:f>
        <x:v>2025</x:v>
      </x:c>
    </x:row>
    <x:row r="1034">
      <x:c r="A1034" s="30" t="n">
        <x:v>45692</x:v>
      </x:c>
      <x:c r="B1034" s="38" t="n">
        <x:v>6037.88</x:v>
      </x:c>
      <x:c r="C1034" s="34" t="n">
        <x:f>(B1034/B1033-1)*100</x:f>
        <x:v>0.7224871842350655</x:v>
      </x:c>
      <x:c r="D1034" s="34" t="n">
        <x:f>Assumptions!$B$4*D1033+(1-Assumptions!$B$4)*C1033^2</x:f>
        <x:v>0.7261305922698211</x:v>
      </x:c>
      <x:c r="E1034" s="34" t="n">
        <x:f>SQRT(D1034)</x:f>
        <x:v>0.8521329663085575</x:v>
      </x:c>
      <x:c r="F1034" s="34" t="n">
        <x:f>-Assumptions!$B$7*E1034</x:f>
        <x:v>1.401634000277548</x:v>
      </x:c>
      <x:c r="G1034" s="34" t="n">
        <x:f>-Assumptions!$B$8*E1034</x:f>
        <x:v>1.9823577145720277</x:v>
      </x:c>
      <x:c r="H1034" s="34" t="n">
        <x:f>-Assumptions!$B$9*E1034</x:f>
        <x:v>1.33005151408475</x:v>
      </x:c>
      <x:c r="I1034" s="34" t="n">
        <x:f>-Assumptions!$B$10*E1034</x:f>
        <x:v>2.221053531975903</x:v>
      </x:c>
      <x:c r="J1034" s="36" t="n">
        <x:f>IF(C1034&lt;-F1034,1,0)</x:f>
        <x:v>0</x:v>
      </x:c>
      <x:c r="K1034" s="36" t="n">
        <x:f>IF(C1034&lt;-G1034,1,0)</x:f>
        <x:v>0</x:v>
      </x:c>
      <x:c r="L1034" s="36" t="n">
        <x:f>IF(C1034&lt;-H1034,1,0)</x:f>
        <x:v>0</x:v>
      </x:c>
      <x:c r="M1034" s="36" t="n">
        <x:f>IF(C1034&lt;-I1034,1,0)</x:f>
        <x:v>0</x:v>
      </x:c>
      <x:c r="N1034" s="34" t="n">
        <x:f>-F1034</x:f>
        <x:v>-1.401634000277548</x:v>
      </x:c>
      <x:c r="O1034" s="34" t="n">
        <x:f>-H1034</x:f>
        <x:v>-1.33005151408475</x:v>
      </x:c>
      <x:c r="P1034" s="34" t="n">
        <x:f>-G1034</x:f>
        <x:v>-1.9823577145720277</x:v>
      </x:c>
      <x:c r="Q1034" s="34" t="n">
        <x:f>-I1034</x:f>
        <x:v>-2.221053531975903</x:v>
      </x:c>
      <x:c r="R1034" s="36" t="n">
        <x:f>YEAR(A1034)</x:f>
        <x:v>2025</x:v>
      </x:c>
    </x:row>
    <x:row r="1035">
      <x:c r="A1035" s="30" t="n">
        <x:v>45693</x:v>
      </x:c>
      <x:c r="B1035" s="38" t="n">
        <x:v>6061.48</x:v>
      </x:c>
      <x:c r="C1035" s="34" t="n">
        <x:f>(B1035/B1034-1)*100</x:f>
        <x:v>0.39086566808217427</x:v>
      </x:c>
      <x:c r="D1035" s="34" t="n">
        <x:f>Assumptions!$B$4*D1034+(1-Assumptions!$B$4)*C1034^2</x:f>
        <x:v>0.7138820206166667</x:v>
      </x:c>
      <x:c r="E1035" s="34" t="n">
        <x:f>SQRT(D1035)</x:f>
        <x:v>0.8449153925788467</x:v>
      </x:c>
      <x:c r="F1035" s="34" t="n">
        <x:f>-Assumptions!$B$7*E1035</x:f>
        <x:v>1.3897621479504436</x:v>
      </x:c>
      <x:c r="G1035" s="34" t="n">
        <x:f>-Assumptions!$B$8*E1035</x:f>
        <x:v>1.965567127270182</x:v>
      </x:c>
      <x:c r="H1035" s="34" t="n">
        <x:f>-Assumptions!$B$9*E1035</x:f>
        <x:v>1.3187859660461543</x:v>
      </x:c>
      <x:c r="I1035" s="34" t="n">
        <x:f>-Assumptions!$B$10*E1035</x:f>
        <x:v>2.2022411889983564</x:v>
      </x:c>
      <x:c r="J1035" s="36" t="n">
        <x:f>IF(C1035&lt;-F1035,1,0)</x:f>
        <x:v>0</x:v>
      </x:c>
      <x:c r="K1035" s="36" t="n">
        <x:f>IF(C1035&lt;-G1035,1,0)</x:f>
        <x:v>0</x:v>
      </x:c>
      <x:c r="L1035" s="36" t="n">
        <x:f>IF(C1035&lt;-H1035,1,0)</x:f>
        <x:v>0</x:v>
      </x:c>
      <x:c r="M1035" s="36" t="n">
        <x:f>IF(C1035&lt;-I1035,1,0)</x:f>
        <x:v>0</x:v>
      </x:c>
      <x:c r="N1035" s="34" t="n">
        <x:f>-F1035</x:f>
        <x:v>-1.3897621479504436</x:v>
      </x:c>
      <x:c r="O1035" s="34" t="n">
        <x:f>-H1035</x:f>
        <x:v>-1.3187859660461543</x:v>
      </x:c>
      <x:c r="P1035" s="34" t="n">
        <x:f>-G1035</x:f>
        <x:v>-1.965567127270182</x:v>
      </x:c>
      <x:c r="Q1035" s="34" t="n">
        <x:f>-I1035</x:f>
        <x:v>-2.2022411889983564</x:v>
      </x:c>
      <x:c r="R1035" s="36" t="n">
        <x:f>YEAR(A1035)</x:f>
        <x:v>2025</x:v>
      </x:c>
    </x:row>
    <x:row r="1036">
      <x:c r="A1036" s="30" t="n">
        <x:v>45694</x:v>
      </x:c>
      <x:c r="B1036" s="38" t="n">
        <x:v>6083.57</x:v>
      </x:c>
      <x:c r="C1036" s="34" t="n">
        <x:f>(B1036/B1035-1)*100</x:f>
        <x:v>0.364432448840879</x:v>
      </x:c>
      <x:c r="D1036" s="34" t="n">
        <x:f>Assumptions!$B$4*D1035+(1-Assumptions!$B$4)*C1035^2</x:f>
        <x:v>0.6802156576087862</x:v>
      </x:c>
      <x:c r="E1036" s="34" t="n">
        <x:f>SQRT(D1036)</x:f>
        <x:v>0.8247518763899759</x:v>
      </x:c>
      <x:c r="F1036" s="34" t="n">
        <x:f>-Assumptions!$B$7*E1036</x:f>
        <x:v>1.3565961152150847</x:v>
      </x:c>
      <x:c r="G1036" s="34" t="n">
        <x:f>-Assumptions!$B$8*E1036</x:f>
        <x:v>1.9186597742510145</x:v>
      </x:c>
      <x:c r="H1036" s="34" t="n">
        <x:f>-Assumptions!$B$9*E1036</x:f>
        <x:v>1.2873137471594025</x:v>
      </x:c>
      <x:c r="I1036" s="34" t="n">
        <x:f>-Assumptions!$B$10*E1036</x:f>
        <x:v>2.149685718644533</x:v>
      </x:c>
      <x:c r="J1036" s="36" t="n">
        <x:f>IF(C1036&lt;-F1036,1,0)</x:f>
        <x:v>0</x:v>
      </x:c>
      <x:c r="K1036" s="36" t="n">
        <x:f>IF(C1036&lt;-G1036,1,0)</x:f>
        <x:v>0</x:v>
      </x:c>
      <x:c r="L1036" s="36" t="n">
        <x:f>IF(C1036&lt;-H1036,1,0)</x:f>
        <x:v>0</x:v>
      </x:c>
      <x:c r="M1036" s="36" t="n">
        <x:f>IF(C1036&lt;-I1036,1,0)</x:f>
        <x:v>0</x:v>
      </x:c>
      <x:c r="N1036" s="34" t="n">
        <x:f>-F1036</x:f>
        <x:v>-1.3565961152150847</x:v>
      </x:c>
      <x:c r="O1036" s="34" t="n">
        <x:f>-H1036</x:f>
        <x:v>-1.2873137471594025</x:v>
      </x:c>
      <x:c r="P1036" s="34" t="n">
        <x:f>-G1036</x:f>
        <x:v>-1.9186597742510145</x:v>
      </x:c>
      <x:c r="Q1036" s="34" t="n">
        <x:f>-I1036</x:f>
        <x:v>-2.149685718644533</x:v>
      </x:c>
      <x:c r="R1036" s="36" t="n">
        <x:f>YEAR(A1036)</x:f>
        <x:v>2025</x:v>
      </x:c>
    </x:row>
    <x:row r="1037">
      <x:c r="A1037" s="30" t="n">
        <x:v>45695</x:v>
      </x:c>
      <x:c r="B1037" s="38" t="n">
        <x:v>6025.99</x:v>
      </x:c>
      <x:c r="C1037" s="34" t="n">
        <x:f>(B1037/B1036-1)*100</x:f>
        <x:v>-0.9464837258386094</x:v>
      </x:c>
      <x:c r="D1037" s="34" t="n">
        <x:f>Assumptions!$B$4*D1036+(1-Assumptions!$B$4)*C1036^2</x:f>
        <x:v>0.6473713787383486</x:v>
      </x:c>
      <x:c r="E1037" s="34" t="n">
        <x:f>SQRT(D1037)</x:f>
        <x:v>0.8045939216389524</x:v>
      </x:c>
      <x:c r="F1037" s="34" t="n">
        <x:f>-Assumptions!$B$7*E1037</x:f>
        <x:v>1.32343923023094</x:v>
      </x:c>
      <x:c r="G1037" s="34" t="n">
        <x:f>-Assumptions!$B$8*E1037</x:f>
        <x:v>1.8717653590709593</x:v>
      </x:c>
      <x:c r="H1037" s="34" t="n">
        <x:f>-Assumptions!$B$9*E1037</x:f>
        <x:v>1.2558502088414372</x:v>
      </x:c>
      <x:c r="I1037" s="34" t="n">
        <x:f>-Assumptions!$B$10*E1037</x:f>
        <x:v>2.097144743975846</x:v>
      </x:c>
      <x:c r="J1037" s="36" t="n">
        <x:f>IF(C1037&lt;-F1037,1,0)</x:f>
        <x:v>0</x:v>
      </x:c>
      <x:c r="K1037" s="36" t="n">
        <x:f>IF(C1037&lt;-G1037,1,0)</x:f>
        <x:v>0</x:v>
      </x:c>
      <x:c r="L1037" s="36" t="n">
        <x:f>IF(C1037&lt;-H1037,1,0)</x:f>
        <x:v>0</x:v>
      </x:c>
      <x:c r="M1037" s="36" t="n">
        <x:f>IF(C1037&lt;-I1037,1,0)</x:f>
        <x:v>0</x:v>
      </x:c>
      <x:c r="N1037" s="34" t="n">
        <x:f>-F1037</x:f>
        <x:v>-1.32343923023094</x:v>
      </x:c>
      <x:c r="O1037" s="34" t="n">
        <x:f>-H1037</x:f>
        <x:v>-1.2558502088414372</x:v>
      </x:c>
      <x:c r="P1037" s="34" t="n">
        <x:f>-G1037</x:f>
        <x:v>-1.8717653590709593</x:v>
      </x:c>
      <x:c r="Q1037" s="34" t="n">
        <x:f>-I1037</x:f>
        <x:v>-2.097144743975846</x:v>
      </x:c>
      <x:c r="R1037" s="36" t="n">
        <x:f>YEAR(A1037)</x:f>
        <x:v>2025</x:v>
      </x:c>
    </x:row>
    <x:row r="1038">
      <x:c r="A1038" s="30" t="n">
        <x:v>45698</x:v>
      </x:c>
      <x:c r="B1038" s="38" t="n">
        <x:v>6066.44</x:v>
      </x:c>
      <x:c r="C1038" s="34" t="n">
        <x:f>(B1038/B1037-1)*100</x:f>
        <x:v>0.6712589964470439</x:v>
      </x:c>
      <x:c r="D1038" s="34" t="n">
        <x:f>Assumptions!$B$4*D1037+(1-Assumptions!$B$4)*C1037^2</x:f>
        <x:v>0.6622789826106878</x:v>
      </x:c>
      <x:c r="E1038" s="34" t="n">
        <x:f>SQRT(D1038)</x:f>
        <x:v>0.8138052485765177</x:v>
      </x:c>
      <x:c r="F1038" s="34" t="n">
        <x:f>-Assumptions!$B$7*E1038</x:f>
        <x:v>1.33859051475323</x:v>
      </x:c>
      <x:c r="G1038" s="34" t="n">
        <x:f>-Assumptions!$B$8*E1038</x:f>
        <x:v>1.8931941099092595</x:v>
      </x:c>
      <x:c r="H1038" s="34" t="n">
        <x:f>-Assumptions!$B$9*E1038</x:f>
        <x:v>1.2702277060448515</x:v>
      </x:c>
      <x:c r="I1038" s="34" t="n">
        <x:f>-Assumptions!$B$10*E1038</x:f>
        <x:v>2.121153732053718</x:v>
      </x:c>
      <x:c r="J1038" s="36" t="n">
        <x:f>IF(C1038&lt;-F1038,1,0)</x:f>
        <x:v>0</x:v>
      </x:c>
      <x:c r="K1038" s="36" t="n">
        <x:f>IF(C1038&lt;-G1038,1,0)</x:f>
        <x:v>0</x:v>
      </x:c>
      <x:c r="L1038" s="36" t="n">
        <x:f>IF(C1038&lt;-H1038,1,0)</x:f>
        <x:v>0</x:v>
      </x:c>
      <x:c r="M1038" s="36" t="n">
        <x:f>IF(C1038&lt;-I1038,1,0)</x:f>
        <x:v>0</x:v>
      </x:c>
      <x:c r="N1038" s="34" t="n">
        <x:f>-F1038</x:f>
        <x:v>-1.33859051475323</x:v>
      </x:c>
      <x:c r="O1038" s="34" t="n">
        <x:f>-H1038</x:f>
        <x:v>-1.2702277060448515</x:v>
      </x:c>
      <x:c r="P1038" s="34" t="n">
        <x:f>-G1038</x:f>
        <x:v>-1.8931941099092595</x:v>
      </x:c>
      <x:c r="Q1038" s="34" t="n">
        <x:f>-I1038</x:f>
        <x:v>-2.121153732053718</x:v>
      </x:c>
      <x:c r="R1038" s="36" t="n">
        <x:f>YEAR(A1038)</x:f>
        <x:v>2025</x:v>
      </x:c>
    </x:row>
    <x:row r="1039">
      <x:c r="A1039" s="30" t="n">
        <x:v>45699</x:v>
      </x:c>
      <x:c r="B1039" s="38" t="n">
        <x:v>6068.5</x:v>
      </x:c>
      <x:c r="C1039" s="34" t="n">
        <x:f>(B1039/B1038-1)*100</x:f>
        <x:v>0.033957312690802155</x:v>
      </x:c>
      <x:c r="D1039" s="34" t="n">
        <x:f>Assumptions!$B$4*D1038+(1-Assumptions!$B$4)*C1038^2</x:f>
        <x:v>0.6495775620727121</x:v>
      </x:c>
      <x:c r="E1039" s="34" t="n">
        <x:f>SQRT(D1039)</x:f>
        <x:v>0.805963747368771</x:v>
      </x:c>
      <x:c r="F1039" s="34" t="n">
        <x:f>-Assumptions!$B$7*E1039</x:f>
        <x:v>1.3256923930509235</x:v>
      </x:c>
      <x:c r="G1039" s="34" t="n">
        <x:f>-Assumptions!$B$8*E1039</x:f>
        <x:v>1.8749520502453292</x:v>
      </x:c>
      <x:c r="H1039" s="34" t="n">
        <x:f>-Assumptions!$B$9*E1039</x:f>
        <x:v>1.257988300967916</x:v>
      </x:c>
      <x:c r="I1039" s="34" t="n">
        <x:f>-Assumptions!$B$10*E1039</x:f>
        <x:v>2.10071514483545</x:v>
      </x:c>
      <x:c r="J1039" s="36" t="n">
        <x:f>IF(C1039&lt;-F1039,1,0)</x:f>
        <x:v>0</x:v>
      </x:c>
      <x:c r="K1039" s="36" t="n">
        <x:f>IF(C1039&lt;-G1039,1,0)</x:f>
        <x:v>0</x:v>
      </x:c>
      <x:c r="L1039" s="36" t="n">
        <x:f>IF(C1039&lt;-H1039,1,0)</x:f>
        <x:v>0</x:v>
      </x:c>
      <x:c r="M1039" s="36" t="n">
        <x:f>IF(C1039&lt;-I1039,1,0)</x:f>
        <x:v>0</x:v>
      </x:c>
      <x:c r="N1039" s="34" t="n">
        <x:f>-F1039</x:f>
        <x:v>-1.3256923930509235</x:v>
      </x:c>
      <x:c r="O1039" s="34" t="n">
        <x:f>-H1039</x:f>
        <x:v>-1.257988300967916</x:v>
      </x:c>
      <x:c r="P1039" s="34" t="n">
        <x:f>-G1039</x:f>
        <x:v>-1.8749520502453292</x:v>
      </x:c>
      <x:c r="Q1039" s="34" t="n">
        <x:f>-I1039</x:f>
        <x:v>-2.10071514483545</x:v>
      </x:c>
      <x:c r="R1039" s="36" t="n">
        <x:f>YEAR(A1039)</x:f>
        <x:v>2025</x:v>
      </x:c>
    </x:row>
    <x:row r="1040">
      <x:c r="A1040" s="30" t="n">
        <x:v>45700</x:v>
      </x:c>
      <x:c r="B1040" s="38" t="n">
        <x:v>6051.97</x:v>
      </x:c>
      <x:c r="C1040" s="34" t="n">
        <x:f>(B1040/B1039-1)*100</x:f>
        <x:v>-0.2723902117491961</x:v>
      </x:c>
      <x:c r="D1040" s="34" t="n">
        <x:f>Assumptions!$B$4*D1039+(1-Assumptions!$B$4)*C1039^2</x:f>
        <x:v>0.6106720942934603</x:v>
      </x:c>
      <x:c r="E1040" s="34" t="n">
        <x:f>SQRT(D1040)</x:f>
        <x:v>0.7814551134220444</x:v>
      </x:c>
      <x:c r="F1040" s="34" t="n">
        <x:f>-Assumptions!$B$7*E1040</x:f>
        <x:v>1.2853792776120243</x:v>
      </x:c>
      <x:c r="G1040" s="34" t="n">
        <x:f>-Assumptions!$B$8*E1040</x:f>
        <x:v>1.8179364417677168</x:v>
      </x:c>
      <x:c r="H1040" s="34" t="n">
        <x:f>-Assumptions!$B$9*E1040</x:f>
        <x:v>1.2197340061831408</x:v>
      </x:c>
      <x:c r="I1040" s="34" t="n">
        <x:f>-Assumptions!$B$10*E1040</x:f>
        <x:v>2.0368342833460815</x:v>
      </x:c>
      <x:c r="J1040" s="36" t="n">
        <x:f>IF(C1040&lt;-F1040,1,0)</x:f>
        <x:v>0</x:v>
      </x:c>
      <x:c r="K1040" s="36" t="n">
        <x:f>IF(C1040&lt;-G1040,1,0)</x:f>
        <x:v>0</x:v>
      </x:c>
      <x:c r="L1040" s="36" t="n">
        <x:f>IF(C1040&lt;-H1040,1,0)</x:f>
        <x:v>0</x:v>
      </x:c>
      <x:c r="M1040" s="36" t="n">
        <x:f>IF(C1040&lt;-I1040,1,0)</x:f>
        <x:v>0</x:v>
      </x:c>
      <x:c r="N1040" s="34" t="n">
        <x:f>-F1040</x:f>
        <x:v>-1.2853792776120243</x:v>
      </x:c>
      <x:c r="O1040" s="34" t="n">
        <x:f>-H1040</x:f>
        <x:v>-1.2197340061831408</x:v>
      </x:c>
      <x:c r="P1040" s="34" t="n">
        <x:f>-G1040</x:f>
        <x:v>-1.8179364417677168</x:v>
      </x:c>
      <x:c r="Q1040" s="34" t="n">
        <x:f>-I1040</x:f>
        <x:v>-2.0368342833460815</x:v>
      </x:c>
      <x:c r="R1040" s="36" t="n">
        <x:f>YEAR(A1040)</x:f>
        <x:v>2025</x:v>
      </x:c>
    </x:row>
    <x:row r="1041">
      <x:c r="A1041" s="30" t="n">
        <x:v>45701</x:v>
      </x:c>
      <x:c r="B1041" s="38" t="n">
        <x:v>6115.07</x:v>
      </x:c>
      <x:c r="C1041" s="34" t="n">
        <x:f>(B1041/B1040-1)*100</x:f>
        <x:v>1.0426357037460532</x:v>
      </x:c>
      <x:c r="D1041" s="34" t="n">
        <x:f>Assumptions!$B$4*D1040+(1-Assumptions!$B$4)*C1040^2</x:f>
        <x:v>0.5784835542832589</x:v>
      </x:c>
      <x:c r="E1041" s="34" t="n">
        <x:f>SQRT(D1041)</x:f>
        <x:v>0.7605810635844538</x:v>
      </x:c>
      <x:c r="F1041" s="34" t="n">
        <x:f>-Assumptions!$B$7*E1041</x:f>
        <x:v>1.2510445210274976</x:v>
      </x:c>
      <x:c r="G1041" s="34" t="n">
        <x:f>-Assumptions!$B$8*E1041</x:f>
        <x:v>1.7693761403054151</x:v>
      </x:c>
      <x:c r="H1041" s="34" t="n">
        <x:f>-Assumptions!$B$9*E1041</x:f>
        <x:v>1.1871527510395452</x:v>
      </x:c>
      <x:c r="I1041" s="34" t="n">
        <x:f>-Assumptions!$B$10*E1041</x:f>
        <x:v>1.9824268329228645</x:v>
      </x:c>
      <x:c r="J1041" s="36" t="n">
        <x:f>IF(C1041&lt;-F1041,1,0)</x:f>
        <x:v>0</x:v>
      </x:c>
      <x:c r="K1041" s="36" t="n">
        <x:f>IF(C1041&lt;-G1041,1,0)</x:f>
        <x:v>0</x:v>
      </x:c>
      <x:c r="L1041" s="36" t="n">
        <x:f>IF(C1041&lt;-H1041,1,0)</x:f>
        <x:v>0</x:v>
      </x:c>
      <x:c r="M1041" s="36" t="n">
        <x:f>IF(C1041&lt;-I1041,1,0)</x:f>
        <x:v>0</x:v>
      </x:c>
      <x:c r="N1041" s="34" t="n">
        <x:f>-F1041</x:f>
        <x:v>-1.2510445210274976</x:v>
      </x:c>
      <x:c r="O1041" s="34" t="n">
        <x:f>-H1041</x:f>
        <x:v>-1.1871527510395452</x:v>
      </x:c>
      <x:c r="P1041" s="34" t="n">
        <x:f>-G1041</x:f>
        <x:v>-1.7693761403054151</x:v>
      </x:c>
      <x:c r="Q1041" s="34" t="n">
        <x:f>-I1041</x:f>
        <x:v>-1.9824268329228645</x:v>
      </x:c>
      <x:c r="R1041" s="36" t="n">
        <x:f>YEAR(A1041)</x:f>
        <x:v>2025</x:v>
      </x:c>
    </x:row>
    <x:row r="1042">
      <x:c r="A1042" s="30" t="n">
        <x:v>45702</x:v>
      </x:c>
      <x:c r="B1042" s="38" t="n">
        <x:v>6114.63</x:v>
      </x:c>
      <x:c r="C1042" s="34" t="n">
        <x:f>(B1042/B1041-1)*100</x:f>
        <x:v>-0.007195338728738232</x:v>
      </x:c>
      <x:c r="D1042" s="34" t="n">
        <x:f>Assumptions!$B$4*D1041+(1-Assumptions!$B$4)*C1041^2</x:f>
        <x:v>0.608999893669825</x:v>
      </x:c>
      <x:c r="E1042" s="34" t="n">
        <x:f>SQRT(D1042)</x:f>
        <x:v>0.78038445247828</x:v>
      </x:c>
      <x:c r="F1042" s="34" t="n">
        <x:f>-Assumptions!$B$7*E1042</x:f>
        <x:v>1.2836181970754381</x:v>
      </x:c>
      <x:c r="G1042" s="34" t="n">
        <x:f>-Assumptions!$B$8*E1042</x:f>
        <x:v>1.815445711957372</x:v>
      </x:c>
      <x:c r="H1042" s="34" t="n">
        <x:f>-Assumptions!$B$9*E1042</x:f>
        <x:v>1.2180628653334984</x:v>
      </x:c>
      <x:c r="I1042" s="34" t="n">
        <x:f>-Assumptions!$B$10*E1042</x:f>
        <x:v>2.0340436446022268</x:v>
      </x:c>
      <x:c r="J1042" s="36" t="n">
        <x:f>IF(C1042&lt;-F1042,1,0)</x:f>
        <x:v>0</x:v>
      </x:c>
      <x:c r="K1042" s="36" t="n">
        <x:f>IF(C1042&lt;-G1042,1,0)</x:f>
        <x:v>0</x:v>
      </x:c>
      <x:c r="L1042" s="36" t="n">
        <x:f>IF(C1042&lt;-H1042,1,0)</x:f>
        <x:v>0</x:v>
      </x:c>
      <x:c r="M1042" s="36" t="n">
        <x:f>IF(C1042&lt;-I1042,1,0)</x:f>
        <x:v>0</x:v>
      </x:c>
      <x:c r="N1042" s="34" t="n">
        <x:f>-F1042</x:f>
        <x:v>-1.2836181970754381</x:v>
      </x:c>
      <x:c r="O1042" s="34" t="n">
        <x:f>-H1042</x:f>
        <x:v>-1.2180628653334984</x:v>
      </x:c>
      <x:c r="P1042" s="34" t="n">
        <x:f>-G1042</x:f>
        <x:v>-1.815445711957372</x:v>
      </x:c>
      <x:c r="Q1042" s="34" t="n">
        <x:f>-I1042</x:f>
        <x:v>-2.0340436446022268</x:v>
      </x:c>
      <x:c r="R1042" s="36" t="n">
        <x:f>YEAR(A1042)</x:f>
        <x:v>2025</x:v>
      </x:c>
    </x:row>
    <x:row r="1043">
      <x:c r="A1043" s="30" t="n">
        <x:v>45706</x:v>
      </x:c>
      <x:c r="B1043" s="38" t="n">
        <x:v>6129.58</x:v>
      </x:c>
      <x:c r="C1043" s="34" t="n">
        <x:f>(B1043/B1042-1)*100</x:f>
        <x:v>0.24449557863681637</x:v>
      </x:c>
      <x:c r="D1043" s="34" t="n">
        <x:f>Assumptions!$B$4*D1042+(1-Assumptions!$B$4)*C1042^2</x:f>
        <x:v>0.5724630064236007</x:v>
      </x:c>
      <x:c r="E1043" s="34" t="n">
        <x:f>SQRT(D1043)</x:f>
        <x:v>0.7566128510827719</x:v>
      </x:c>
      <x:c r="F1043" s="34" t="n">
        <x:f>-Assumptions!$B$7*E1043</x:f>
        <x:v>1.244517392301592</x:v>
      </x:c>
      <x:c r="G1043" s="34" t="n">
        <x:f>-Assumptions!$B$8*E1043</x:f>
        <x:v>1.7601446975883852</x:v>
      </x:c>
      <x:c r="H1043" s="34" t="n">
        <x:f>-Assumptions!$B$9*E1043</x:f>
        <x:v>1.180958967610492</x:v>
      </x:c>
      <x:c r="I1043" s="34" t="n">
        <x:f>-Assumptions!$B$10*E1043</x:f>
        <x:v>1.972083831606213</x:v>
      </x:c>
      <x:c r="J1043" s="36" t="n">
        <x:f>IF(C1043&lt;-F1043,1,0)</x:f>
        <x:v>0</x:v>
      </x:c>
      <x:c r="K1043" s="36" t="n">
        <x:f>IF(C1043&lt;-G1043,1,0)</x:f>
        <x:v>0</x:v>
      </x:c>
      <x:c r="L1043" s="36" t="n">
        <x:f>IF(C1043&lt;-H1043,1,0)</x:f>
        <x:v>0</x:v>
      </x:c>
      <x:c r="M1043" s="36" t="n">
        <x:f>IF(C1043&lt;-I1043,1,0)</x:f>
        <x:v>0</x:v>
      </x:c>
      <x:c r="N1043" s="34" t="n">
        <x:f>-F1043</x:f>
        <x:v>-1.244517392301592</x:v>
      </x:c>
      <x:c r="O1043" s="34" t="n">
        <x:f>-H1043</x:f>
        <x:v>-1.180958967610492</x:v>
      </x:c>
      <x:c r="P1043" s="34" t="n">
        <x:f>-G1043</x:f>
        <x:v>-1.7601446975883852</x:v>
      </x:c>
      <x:c r="Q1043" s="34" t="n">
        <x:f>-I1043</x:f>
        <x:v>-1.972083831606213</x:v>
      </x:c>
      <x:c r="R1043" s="36" t="n">
        <x:f>YEAR(A1043)</x:f>
        <x:v>2025</x:v>
      </x:c>
    </x:row>
    <x:row r="1044">
      <x:c r="A1044" s="30" t="n">
        <x:v>45707</x:v>
      </x:c>
      <x:c r="B1044" s="38" t="n">
        <x:v>6144.15</x:v>
      </x:c>
      <x:c r="C1044" s="34" t="n">
        <x:f>(B1044/B1043-1)*100</x:f>
        <x:v>0.2376998097748828</x:v>
      </x:c>
      <x:c r="D1044" s="34" t="n">
        <x:f>Assumptions!$B$4*D1043+(1-Assumptions!$B$4)*C1043^2</x:f>
        <x:v>0.5417019113165618</x:v>
      </x:c>
      <x:c r="E1044" s="34" t="n">
        <x:f>SQRT(D1044)</x:f>
        <x:v>0.7360040158290998</x:v>
      </x:c>
      <x:c r="F1044" s="34" t="n">
        <x:f>-Assumptions!$B$7*E1044</x:f>
        <x:v>1.210618874887344</x:v>
      </x:c>
      <x:c r="G1044" s="34" t="n">
        <x:f>-Assumptions!$B$8*E1044</x:f>
        <x:v>1.7122013775095473</x:v>
      </x:c>
      <x:c r="H1044" s="34" t="n">
        <x:f>-Assumptions!$B$9*E1044</x:f>
        <x:v>1.1487916725797487</x:v>
      </x:c>
      <x:c r="I1044" s="34" t="n">
        <x:f>-Assumptions!$B$10*E1044</x:f>
        <x:v>1.9183676533337446</x:v>
      </x:c>
      <x:c r="J1044" s="36" t="n">
        <x:f>IF(C1044&lt;-F1044,1,0)</x:f>
        <x:v>0</x:v>
      </x:c>
      <x:c r="K1044" s="36" t="n">
        <x:f>IF(C1044&lt;-G1044,1,0)</x:f>
        <x:v>0</x:v>
      </x:c>
      <x:c r="L1044" s="36" t="n">
        <x:f>IF(C1044&lt;-H1044,1,0)</x:f>
        <x:v>0</x:v>
      </x:c>
      <x:c r="M1044" s="36" t="n">
        <x:f>IF(C1044&lt;-I1044,1,0)</x:f>
        <x:v>0</x:v>
      </x:c>
      <x:c r="N1044" s="34" t="n">
        <x:f>-F1044</x:f>
        <x:v>-1.210618874887344</x:v>
      </x:c>
      <x:c r="O1044" s="34" t="n">
        <x:f>-H1044</x:f>
        <x:v>-1.1487916725797487</x:v>
      </x:c>
      <x:c r="P1044" s="34" t="n">
        <x:f>-G1044</x:f>
        <x:v>-1.7122013775095473</x:v>
      </x:c>
      <x:c r="Q1044" s="34" t="n">
        <x:f>-I1044</x:f>
        <x:v>-1.9183676533337446</x:v>
      </x:c>
      <x:c r="R1044" s="36" t="n">
        <x:f>YEAR(A1044)</x:f>
        <x:v>2025</x:v>
      </x:c>
    </x:row>
    <x:row r="1045">
      <x:c r="A1045" s="30" t="n">
        <x:v>45708</x:v>
      </x:c>
      <x:c r="B1045" s="38" t="n">
        <x:v>6117.52</x:v>
      </x:c>
      <x:c r="C1045" s="34" t="n">
        <x:f>(B1045/B1044-1)*100</x:f>
        <x:v>-0.43342040803039383</x:v>
      </x:c>
      <x:c r="D1045" s="34" t="n">
        <x:f>Assumptions!$B$4*D1044+(1-Assumptions!$B$4)*C1044^2</x:f>
        <x:v>0.512589868611589</x:v>
      </x:c>
      <x:c r="E1045" s="34" t="n">
        <x:f>SQRT(D1045)</x:f>
        <x:v>0.7159538173734316</x:v>
      </x:c>
      <x:c r="F1045" s="34" t="n">
        <x:f>-Assumptions!$B$7*E1045</x:f>
        <x:v>1.1776392332364414</x:v>
      </x:c>
      <x:c r="G1045" s="34" t="n">
        <x:f>-Assumptions!$B$8*E1045</x:f>
        <x:v>1.6655576409581065</x:v>
      </x:c>
      <x:c r="H1045" s="34" t="n">
        <x:f>-Assumptions!$B$9*E1045</x:f>
        <x:v>1.1174963256467623</x:v>
      </x:c>
      <x:c r="I1045" s="34" t="n">
        <x:f>-Assumptions!$B$10*E1045</x:f>
        <x:v>1.866107541523149</x:v>
      </x:c>
      <x:c r="J1045" s="36" t="n">
        <x:f>IF(C1045&lt;-F1045,1,0)</x:f>
        <x:v>0</x:v>
      </x:c>
      <x:c r="K1045" s="36" t="n">
        <x:f>IF(C1045&lt;-G1045,1,0)</x:f>
        <x:v>0</x:v>
      </x:c>
      <x:c r="L1045" s="36" t="n">
        <x:f>IF(C1045&lt;-H1045,1,0)</x:f>
        <x:v>0</x:v>
      </x:c>
      <x:c r="M1045" s="36" t="n">
        <x:f>IF(C1045&lt;-I1045,1,0)</x:f>
        <x:v>0</x:v>
      </x:c>
      <x:c r="N1045" s="34" t="n">
        <x:f>-F1045</x:f>
        <x:v>-1.1776392332364414</x:v>
      </x:c>
      <x:c r="O1045" s="34" t="n">
        <x:f>-H1045</x:f>
        <x:v>-1.1174963256467623</x:v>
      </x:c>
      <x:c r="P1045" s="34" t="n">
        <x:f>-G1045</x:f>
        <x:v>-1.6655576409581065</x:v>
      </x:c>
      <x:c r="Q1045" s="34" t="n">
        <x:f>-I1045</x:f>
        <x:v>-1.866107541523149</x:v>
      </x:c>
      <x:c r="R1045" s="36" t="n">
        <x:f>YEAR(A1045)</x:f>
        <x:v>2025</x:v>
      </x:c>
    </x:row>
    <x:row r="1046">
      <x:c r="A1046" s="30" t="n">
        <x:v>45709</x:v>
      </x:c>
      <x:c r="B1046" s="38" t="n">
        <x:v>6013.13</x:v>
      </x:c>
      <x:c r="C1046" s="34" t="n">
        <x:f>(B1046/B1045-1)*100</x:f>
        <x:v>-1.70641044083224</x:v>
      </x:c>
      <x:c r="D1046" s="34" t="n">
        <x:f>Assumptions!$B$4*D1045+(1-Assumptions!$B$4)*C1045^2</x:f>
        <x:v>0.4931056715007276</x:v>
      </x:c>
      <x:c r="E1046" s="34" t="n">
        <x:f>SQRT(D1046)</x:f>
        <x:v>0.7022148328686368</x:v>
      </x:c>
      <x:c r="F1046" s="34" t="n">
        <x:f>-Assumptions!$B$7*E1046</x:f>
        <x:v>1.1550406147430996</x:v>
      </x:c>
      <x:c r="G1046" s="34" t="n">
        <x:f>-Assumptions!$B$8*E1046</x:f>
        <x:v>1.6335959835638973</x:v>
      </x:c>
      <x:c r="H1046" s="34" t="n">
        <x:f>-Assumptions!$B$9*E1046</x:f>
        <x:v>1.0960518353323572</x:v>
      </x:c>
      <x:c r="I1046" s="34" t="n">
        <x:f>-Assumptions!$B$10*E1046</x:f>
        <x:v>1.8302973789468462</x:v>
      </x:c>
      <x:c r="J1046" s="36" t="n">
        <x:f>IF(C1046&lt;-F1046,1,0)</x:f>
        <x:v>1</x:v>
      </x:c>
      <x:c r="K1046" s="36" t="n">
        <x:f>IF(C1046&lt;-G1046,1,0)</x:f>
        <x:v>1</x:v>
      </x:c>
      <x:c r="L1046" s="36" t="n">
        <x:f>IF(C1046&lt;-H1046,1,0)</x:f>
        <x:v>1</x:v>
      </x:c>
      <x:c r="M1046" s="36" t="n">
        <x:f>IF(C1046&lt;-I1046,1,0)</x:f>
        <x:v>0</x:v>
      </x:c>
      <x:c r="N1046" s="34" t="n">
        <x:f>-F1046</x:f>
        <x:v>-1.1550406147430996</x:v>
      </x:c>
      <x:c r="O1046" s="34" t="n">
        <x:f>-H1046</x:f>
        <x:v>-1.0960518353323572</x:v>
      </x:c>
      <x:c r="P1046" s="34" t="n">
        <x:f>-G1046</x:f>
        <x:v>-1.6335959835638973</x:v>
      </x:c>
      <x:c r="Q1046" s="34" t="n">
        <x:f>-I1046</x:f>
        <x:v>-1.8302973789468462</x:v>
      </x:c>
      <x:c r="R1046" s="36" t="n">
        <x:f>YEAR(A1046)</x:f>
        <x:v>2025</x:v>
      </x:c>
    </x:row>
    <x:row r="1047">
      <x:c r="A1047" s="30" t="n">
        <x:v>45712</x:v>
      </x:c>
      <x:c r="B1047" s="38" t="n">
        <x:v>5983.25</x:v>
      </x:c>
      <x:c r="C1047" s="34" t="n">
        <x:f>(B1047/B1046-1)*100</x:f>
        <x:v>-0.49691258961639395</x:v>
      </x:c>
      <x:c r="D1047" s="34" t="n">
        <x:f>Assumptions!$B$4*D1046+(1-Assumptions!$B$4)*C1046^2</x:f>
        <x:v>0.6382295267655609</x:v>
      </x:c>
      <x:c r="E1047" s="34" t="n">
        <x:f>SQRT(D1047)</x:f>
        <x:v>0.7988926878909087</x:v>
      </x:c>
      <x:c r="F1047" s="34" t="n">
        <x:f>-Assumptions!$B$7*E1047</x:f>
        <x:v>1.3140615352223721</x:v>
      </x:c>
      <x:c r="G1047" s="34" t="n">
        <x:f>-Assumptions!$B$8*E1047</x:f>
        <x:v>1.858502306061788</x:v>
      </x:c>
      <x:c r="H1047" s="34" t="n">
        <x:f>-Assumptions!$B$9*E1047</x:f>
        <x:v>1.2469514396603951</x:v>
      </x:c>
      <x:c r="I1047" s="34" t="n">
        <x:f>-Assumptions!$B$10*E1047</x:f>
        <x:v>2.082284685917574</x:v>
      </x:c>
      <x:c r="J1047" s="36" t="n">
        <x:f>IF(C1047&lt;-F1047,1,0)</x:f>
        <x:v>0</x:v>
      </x:c>
      <x:c r="K1047" s="36" t="n">
        <x:f>IF(C1047&lt;-G1047,1,0)</x:f>
        <x:v>0</x:v>
      </x:c>
      <x:c r="L1047" s="36" t="n">
        <x:f>IF(C1047&lt;-H1047,1,0)</x:f>
        <x:v>0</x:v>
      </x:c>
      <x:c r="M1047" s="36" t="n">
        <x:f>IF(C1047&lt;-I1047,1,0)</x:f>
        <x:v>0</x:v>
      </x:c>
      <x:c r="N1047" s="34" t="n">
        <x:f>-F1047</x:f>
        <x:v>-1.3140615352223721</x:v>
      </x:c>
      <x:c r="O1047" s="34" t="n">
        <x:f>-H1047</x:f>
        <x:v>-1.2469514396603951</x:v>
      </x:c>
      <x:c r="P1047" s="34" t="n">
        <x:f>-G1047</x:f>
        <x:v>-1.858502306061788</x:v>
      </x:c>
      <x:c r="Q1047" s="34" t="n">
        <x:f>-I1047</x:f>
        <x:v>-2.082284685917574</x:v>
      </x:c>
      <x:c r="R1047" s="36" t="n">
        <x:f>YEAR(A1047)</x:f>
        <x:v>2025</x:v>
      </x:c>
    </x:row>
    <x:row r="1048">
      <x:c r="A1048" s="30" t="n">
        <x:v>45713</x:v>
      </x:c>
      <x:c r="B1048" s="38" t="n">
        <x:v>5955.25</x:v>
      </x:c>
      <x:c r="C1048" s="34" t="n">
        <x:f>(B1048/B1047-1)*100</x:f>
        <x:v>-0.46797309154723576</x:v>
      </x:c>
      <x:c r="D1048" s="34" t="n">
        <x:f>Assumptions!$B$4*D1047+(1-Assumptions!$B$4)*C1047^2</x:f>
        <x:v>0.6147510824627834</x:v>
      </x:c>
      <x:c r="E1048" s="34" t="n">
        <x:f>SQRT(D1048)</x:f>
        <x:v>0.7840606369808291</x:v>
      </x:c>
      <x:c r="F1048" s="34" t="n">
        <x:f>-Assumptions!$B$7*E1048</x:f>
        <x:v>1.2896649824877988</x:v>
      </x:c>
      <x:c r="G1048" s="34" t="n">
        <x:f>-Assumptions!$B$8*E1048</x:f>
        <x:v>1.8239977959594587</x:v>
      </x:c>
      <x:c r="H1048" s="34" t="n">
        <x:f>-Assumptions!$B$9*E1048</x:f>
        <x:v>1.2238008369376854</x:v>
      </x:c>
      <x:c r="I1048" s="34" t="n">
        <x:f>-Assumptions!$B$10*E1048</x:f>
        <x:v>2.0436254855782336</x:v>
      </x:c>
      <x:c r="J1048" s="36" t="n">
        <x:f>IF(C1048&lt;-F1048,1,0)</x:f>
        <x:v>0</x:v>
      </x:c>
      <x:c r="K1048" s="36" t="n">
        <x:f>IF(C1048&lt;-G1048,1,0)</x:f>
        <x:v>0</x:v>
      </x:c>
      <x:c r="L1048" s="36" t="n">
        <x:f>IF(C1048&lt;-H1048,1,0)</x:f>
        <x:v>0</x:v>
      </x:c>
      <x:c r="M1048" s="36" t="n">
        <x:f>IF(C1048&lt;-I1048,1,0)</x:f>
        <x:v>0</x:v>
      </x:c>
      <x:c r="N1048" s="34" t="n">
        <x:f>-F1048</x:f>
        <x:v>-1.2896649824877988</x:v>
      </x:c>
      <x:c r="O1048" s="34" t="n">
        <x:f>-H1048</x:f>
        <x:v>-1.2238008369376854</x:v>
      </x:c>
      <x:c r="P1048" s="34" t="n">
        <x:f>-G1048</x:f>
        <x:v>-1.8239977959594587</x:v>
      </x:c>
      <x:c r="Q1048" s="34" t="n">
        <x:f>-I1048</x:f>
        <x:v>-2.0436254855782336</x:v>
      </x:c>
      <x:c r="R1048" s="36" t="n">
        <x:f>YEAR(A1048)</x:f>
        <x:v>2025</x:v>
      </x:c>
    </x:row>
    <x:row r="1049">
      <x:c r="A1049" s="30" t="n">
        <x:v>45714</x:v>
      </x:c>
      <x:c r="B1049" s="38" t="n">
        <x:v>5956.06</x:v>
      </x:c>
      <x:c r="C1049" s="34" t="n">
        <x:f>(B1049/B1048-1)*100</x:f>
        <x:v>0.013601444103938931</x:v>
      </x:c>
      <x:c r="D1049" s="34" t="n">
        <x:f>Assumptions!$B$4*D1048+(1-Assumptions!$B$4)*C1048^2</x:f>
        <x:v>0.5910059463797531</x:v>
      </x:c>
      <x:c r="E1049" s="34" t="n">
        <x:f>SQRT(D1049)</x:f>
        <x:v>0.7687691112289522</x:v>
      </x:c>
      <x:c r="F1049" s="34" t="n">
        <x:f>-Assumptions!$B$7*E1049</x:f>
        <x:v>1.2645126608932022</x:v>
      </x:c>
      <x:c r="G1049" s="34" t="n">
        <x:f>-Assumptions!$B$8*E1049</x:f>
        <x:v>1.7884243875357393</x:v>
      </x:c>
      <x:c r="H1049" s="34" t="n">
        <x:f>-Assumptions!$B$9*E1049</x:f>
        <x:v>1.199933063030221</x:v>
      </x:c>
      <x:c r="I1049" s="34" t="n">
        <x:f>-Assumptions!$B$10*E1049</x:f>
        <x:v>2.003768680803228</x:v>
      </x:c>
      <x:c r="J1049" s="36" t="n">
        <x:f>IF(C1049&lt;-F1049,1,0)</x:f>
        <x:v>0</x:v>
      </x:c>
      <x:c r="K1049" s="36" t="n">
        <x:f>IF(C1049&lt;-G1049,1,0)</x:f>
        <x:v>0</x:v>
      </x:c>
      <x:c r="L1049" s="36" t="n">
        <x:f>IF(C1049&lt;-H1049,1,0)</x:f>
        <x:v>0</x:v>
      </x:c>
      <x:c r="M1049" s="36" t="n">
        <x:f>IF(C1049&lt;-I1049,1,0)</x:f>
        <x:v>0</x:v>
      </x:c>
      <x:c r="N1049" s="34" t="n">
        <x:f>-F1049</x:f>
        <x:v>-1.2645126608932022</x:v>
      </x:c>
      <x:c r="O1049" s="34" t="n">
        <x:f>-H1049</x:f>
        <x:v>-1.199933063030221</x:v>
      </x:c>
      <x:c r="P1049" s="34" t="n">
        <x:f>-G1049</x:f>
        <x:v>-1.7884243875357393</x:v>
      </x:c>
      <x:c r="Q1049" s="34" t="n">
        <x:f>-I1049</x:f>
        <x:v>-2.003768680803228</x:v>
      </x:c>
      <x:c r="R1049" s="36" t="n">
        <x:f>YEAR(A1049)</x:f>
        <x:v>2025</x:v>
      </x:c>
    </x:row>
    <x:row r="1050">
      <x:c r="A1050" s="30" t="n">
        <x:v>45715</x:v>
      </x:c>
      <x:c r="B1050" s="38" t="n">
        <x:v>5861.57</x:v>
      </x:c>
      <x:c r="C1050" s="34" t="n">
        <x:f>(B1050/B1049-1)*100</x:f>
        <x:v>-1.586451446090209</x:v>
      </x:c>
      <x:c r="D1050" s="34" t="n">
        <x:f>Assumptions!$B$4*D1049+(1-Assumptions!$B$4)*C1049^2</x:f>
        <x:v>0.5555566895538706</x:v>
      </x:c>
      <x:c r="E1050" s="34" t="n">
        <x:f>SQRT(D1050)</x:f>
        <x:v>0.7453567532087374</x:v>
      </x:c>
      <x:c r="F1050" s="34" t="n">
        <x:f>-Assumptions!$B$7*E1050</x:f>
        <x:v>1.2260027588881655</x:v>
      </x:c>
      <x:c r="G1050" s="34" t="n">
        <x:f>-Assumptions!$B$8*E1050</x:f>
        <x:v>1.7339590982291295</x:v>
      </x:c>
      <x:c r="H1050" s="34" t="n">
        <x:f>-Assumptions!$B$9*E1050</x:f>
        <x:v>1.1633898902341044</x:v>
      </x:c>
      <x:c r="I1050" s="34" t="n">
        <x:f>-Assumptions!$B$10*E1050</x:f>
        <x:v>1.9427452225770465</x:v>
      </x:c>
      <x:c r="J1050" s="36" t="n">
        <x:f>IF(C1050&lt;-F1050,1,0)</x:f>
        <x:v>1</x:v>
      </x:c>
      <x:c r="K1050" s="36" t="n">
        <x:f>IF(C1050&lt;-G1050,1,0)</x:f>
        <x:v>0</x:v>
      </x:c>
      <x:c r="L1050" s="36" t="n">
        <x:f>IF(C1050&lt;-H1050,1,0)</x:f>
        <x:v>1</x:v>
      </x:c>
      <x:c r="M1050" s="36" t="n">
        <x:f>IF(C1050&lt;-I1050,1,0)</x:f>
        <x:v>0</x:v>
      </x:c>
      <x:c r="N1050" s="34" t="n">
        <x:f>-F1050</x:f>
        <x:v>-1.2260027588881655</x:v>
      </x:c>
      <x:c r="O1050" s="34" t="n">
        <x:f>-H1050</x:f>
        <x:v>-1.1633898902341044</x:v>
      </x:c>
      <x:c r="P1050" s="34" t="n">
        <x:f>-G1050</x:f>
        <x:v>-1.7339590982291295</x:v>
      </x:c>
      <x:c r="Q1050" s="34" t="n">
        <x:f>-I1050</x:f>
        <x:v>-1.9427452225770465</x:v>
      </x:c>
      <x:c r="R1050" s="36" t="n">
        <x:f>YEAR(A1050)</x:f>
        <x:v>2025</x:v>
      </x:c>
    </x:row>
    <x:row r="1051">
      <x:c r="A1051" s="30" t="n">
        <x:v>45716</x:v>
      </x:c>
      <x:c r="B1051" s="38" t="n">
        <x:v>5954.5</x:v>
      </x:c>
      <x:c r="C1051" s="34" t="n">
        <x:f>(B1051/B1050-1)*100</x:f>
        <x:v>1.5854114170776867</x:v>
      </x:c>
      <x:c r="D1051" s="34" t="n">
        <x:f>Assumptions!$B$4*D1050+(1-Assumptions!$B$4)*C1050^2</x:f>
        <x:v>0.6732329796287414</x:v>
      </x:c>
      <x:c r="E1051" s="34" t="n">
        <x:f>SQRT(D1051)</x:f>
        <x:v>0.8205077572020519</x:v>
      </x:c>
      <x:c r="F1051" s="34" t="n">
        <x:f>-Assumptions!$B$7*E1051</x:f>
        <x:v>1.3496151603756137</x:v>
      </x:c>
      <x:c r="G1051" s="34" t="n">
        <x:f>-Assumptions!$B$8*E1051</x:f>
        <x:v>1.9087864766010114</x:v>
      </x:c>
      <x:c r="H1051" s="34" t="n">
        <x:f>-Assumptions!$B$9*E1051</x:f>
        <x:v>1.2806893148524257</x:v>
      </x:c>
      <x:c r="I1051" s="34" t="n">
        <x:f>-Assumptions!$B$10*E1051</x:f>
        <x:v>2.138623576601959</x:v>
      </x:c>
      <x:c r="J1051" s="36" t="n">
        <x:f>IF(C1051&lt;-F1051,1,0)</x:f>
        <x:v>0</x:v>
      </x:c>
      <x:c r="K1051" s="36" t="n">
        <x:f>IF(C1051&lt;-G1051,1,0)</x:f>
        <x:v>0</x:v>
      </x:c>
      <x:c r="L1051" s="36" t="n">
        <x:f>IF(C1051&lt;-H1051,1,0)</x:f>
        <x:v>0</x:v>
      </x:c>
      <x:c r="M1051" s="36" t="n">
        <x:f>IF(C1051&lt;-I1051,1,0)</x:f>
        <x:v>0</x:v>
      </x:c>
      <x:c r="N1051" s="34" t="n">
        <x:f>-F1051</x:f>
        <x:v>-1.3496151603756137</x:v>
      </x:c>
      <x:c r="O1051" s="34" t="n">
        <x:f>-H1051</x:f>
        <x:v>-1.2806893148524257</x:v>
      </x:c>
      <x:c r="P1051" s="34" t="n">
        <x:f>-G1051</x:f>
        <x:v>-1.9087864766010114</x:v>
      </x:c>
      <x:c r="Q1051" s="34" t="n">
        <x:f>-I1051</x:f>
        <x:v>-2.138623576601959</x:v>
      </x:c>
      <x:c r="R1051" s="36" t="n">
        <x:f>YEAR(A1051)</x:f>
        <x:v>2025</x:v>
      </x:c>
    </x:row>
    <x:row r="1052">
      <x:c r="A1052" s="30" t="n">
        <x:v>45719</x:v>
      </x:c>
      <x:c r="B1052" s="38" t="n">
        <x:v>5849.72</x:v>
      </x:c>
      <x:c r="C1052" s="34" t="n">
        <x:f>(B1052/B1051-1)*100</x:f>
        <x:v>-1.7596775547904953</x:v>
      </x:c>
      <x:c r="D1052" s="34" t="n">
        <x:f>Assumptions!$B$4*D1051+(1-Assumptions!$B$4)*C1051^2</x:f>
        <x:v>0.7836507625350337</x:v>
      </x:c>
      <x:c r="E1052" s="34" t="n">
        <x:f>SQRT(D1052)</x:f>
        <x:v>0.8852405111239734</x:v>
      </x:c>
      <x:c r="F1052" s="34" t="n">
        <x:f>-Assumptions!$B$7*E1052</x:f>
        <x:v>1.4560910654466432</x:v>
      </x:c>
      <x:c r="G1052" s="34" t="n">
        <x:f>-Assumptions!$B$8*E1052</x:f>
        <x:v>2.0593773810680824</x:v>
      </x:c>
      <x:c r="H1052" s="34" t="n">
        <x:f>-Assumptions!$B$9*E1052</x:f>
        <x:v>1.381727416614529</x:v>
      </x:c>
      <x:c r="I1052" s="34" t="n">
        <x:f>-Assumptions!$B$10*E1052</x:f>
        <x:v>2.3073471413710163</x:v>
      </x:c>
      <x:c r="J1052" s="36" t="n">
        <x:f>IF(C1052&lt;-F1052,1,0)</x:f>
        <x:v>1</x:v>
      </x:c>
      <x:c r="K1052" s="36" t="n">
        <x:f>IF(C1052&lt;-G1052,1,0)</x:f>
        <x:v>0</x:v>
      </x:c>
      <x:c r="L1052" s="36" t="n">
        <x:f>IF(C1052&lt;-H1052,1,0)</x:f>
        <x:v>1</x:v>
      </x:c>
      <x:c r="M1052" s="36" t="n">
        <x:f>IF(C1052&lt;-I1052,1,0)</x:f>
        <x:v>0</x:v>
      </x:c>
      <x:c r="N1052" s="34" t="n">
        <x:f>-F1052</x:f>
        <x:v>-1.4560910654466432</x:v>
      </x:c>
      <x:c r="O1052" s="34" t="n">
        <x:f>-H1052</x:f>
        <x:v>-1.381727416614529</x:v>
      </x:c>
      <x:c r="P1052" s="34" t="n">
        <x:f>-G1052</x:f>
        <x:v>-2.0593773810680824</x:v>
      </x:c>
      <x:c r="Q1052" s="34" t="n">
        <x:f>-I1052</x:f>
        <x:v>-2.3073471413710163</x:v>
      </x:c>
      <x:c r="R1052" s="36" t="n">
        <x:f>YEAR(A1052)</x:f>
        <x:v>2025</x:v>
      </x:c>
    </x:row>
    <x:row r="1053">
      <x:c r="A1053" s="30" t="n">
        <x:v>45720</x:v>
      </x:c>
      <x:c r="B1053" s="38" t="n">
        <x:v>5778.15</x:v>
      </x:c>
      <x:c r="C1053" s="34" t="n">
        <x:f>(B1053/B1052-1)*100</x:f>
        <x:v>-1.2234773630190987</x:v>
      </x:c>
      <x:c r="D1053" s="34" t="n">
        <x:f>Assumptions!$B$4*D1052+(1-Assumptions!$B$4)*C1052^2</x:f>
        <x:v>0.9224196225929393</x:v>
      </x:c>
      <x:c r="E1053" s="34" t="n">
        <x:f>SQRT(D1053)</x:f>
        <x:v>0.9604267918966751</x:v>
      </x:c>
      <x:c r="F1053" s="34" t="n">
        <x:f>-Assumptions!$B$7*E1053</x:f>
        <x:v>1.5797614920726135</x:v>
      </x:c>
      <x:c r="G1053" s="34" t="n">
        <x:f>-Assumptions!$B$8*E1053</x:f>
        <x:v>2.234286825500695</x:v>
      </x:c>
      <x:c r="H1053" s="34" t="n">
        <x:f>-Assumptions!$B$9*E1053</x:f>
        <x:v>1.4990819029845852</x:v>
      </x:c>
      <x:c r="I1053" s="34" t="n">
        <x:f>-Assumptions!$B$10*E1053</x:f>
        <x:v>2.503317443036206</x:v>
      </x:c>
      <x:c r="J1053" s="36" t="n">
        <x:f>IF(C1053&lt;-F1053,1,0)</x:f>
        <x:v>0</x:v>
      </x:c>
      <x:c r="K1053" s="36" t="n">
        <x:f>IF(C1053&lt;-G1053,1,0)</x:f>
        <x:v>0</x:v>
      </x:c>
      <x:c r="L1053" s="36" t="n">
        <x:f>IF(C1053&lt;-H1053,1,0)</x:f>
        <x:v>0</x:v>
      </x:c>
      <x:c r="M1053" s="36" t="n">
        <x:f>IF(C1053&lt;-I1053,1,0)</x:f>
        <x:v>0</x:v>
      </x:c>
      <x:c r="N1053" s="34" t="n">
        <x:f>-F1053</x:f>
        <x:v>-1.5797614920726135</x:v>
      </x:c>
      <x:c r="O1053" s="34" t="n">
        <x:f>-H1053</x:f>
        <x:v>-1.4990819029845852</x:v>
      </x:c>
      <x:c r="P1053" s="34" t="n">
        <x:f>-G1053</x:f>
        <x:v>-2.234286825500695</x:v>
      </x:c>
      <x:c r="Q1053" s="34" t="n">
        <x:f>-I1053</x:f>
        <x:v>-2.503317443036206</x:v>
      </x:c>
      <x:c r="R1053" s="36" t="n">
        <x:f>YEAR(A1053)</x:f>
        <x:v>2025</x:v>
      </x:c>
    </x:row>
    <x:row r="1054">
      <x:c r="A1054" s="30" t="n">
        <x:v>45721</x:v>
      </x:c>
      <x:c r="B1054" s="38" t="n">
        <x:v>5842.63</x:v>
      </x:c>
      <x:c r="C1054" s="34" t="n">
        <x:f>(B1054/B1053-1)*100</x:f>
        <x:v>1.1159281084776262</x:v>
      </x:c>
      <x:c r="D1054" s="34" t="n">
        <x:f>Assumptions!$B$4*D1053+(1-Assumptions!$B$4)*C1053^2</x:f>
        <x:v>0.956888256706573</x:v>
      </x:c>
      <x:c r="E1054" s="34" t="n">
        <x:f>SQRT(D1054)</x:f>
        <x:v>0.9782066533747217</x:v>
      </x:c>
      <x:c r="F1054" s="34" t="n">
        <x:f>-Assumptions!$B$7*E1054</x:f>
        <x:v>1.6090067617114732</x:v>
      </x:c>
      <x:c r="G1054" s="34" t="n">
        <x:f>-Assumptions!$B$8*E1054</x:f>
        <x:v>2.275648968450889</x:v>
      </x:c>
      <x:c r="H1054" s="34" t="n">
        <x:f>-Assumptions!$B$9*E1054</x:f>
        <x:v>1.5268335950491896</x:v>
      </x:c>
      <x:c r="I1054" s="34" t="n">
        <x:f>-Assumptions!$B$10*E1054</x:f>
        <x:v>2.5496600042270123</x:v>
      </x:c>
      <x:c r="J1054" s="36" t="n">
        <x:f>IF(C1054&lt;-F1054,1,0)</x:f>
        <x:v>0</x:v>
      </x:c>
      <x:c r="K1054" s="36" t="n">
        <x:f>IF(C1054&lt;-G1054,1,0)</x:f>
        <x:v>0</x:v>
      </x:c>
      <x:c r="L1054" s="36" t="n">
        <x:f>IF(C1054&lt;-H1054,1,0)</x:f>
        <x:v>0</x:v>
      </x:c>
      <x:c r="M1054" s="36" t="n">
        <x:f>IF(C1054&lt;-I1054,1,0)</x:f>
        <x:v>0</x:v>
      </x:c>
      <x:c r="N1054" s="34" t="n">
        <x:f>-F1054</x:f>
        <x:v>-1.6090067617114732</x:v>
      </x:c>
      <x:c r="O1054" s="34" t="n">
        <x:f>-H1054</x:f>
        <x:v>-1.5268335950491896</x:v>
      </x:c>
      <x:c r="P1054" s="34" t="n">
        <x:f>-G1054</x:f>
        <x:v>-2.275648968450889</x:v>
      </x:c>
      <x:c r="Q1054" s="34" t="n">
        <x:f>-I1054</x:f>
        <x:v>-2.5496600042270123</x:v>
      </x:c>
      <x:c r="R1054" s="36" t="n">
        <x:f>YEAR(A1054)</x:f>
        <x:v>2025</x:v>
      </x:c>
    </x:row>
    <x:row r="1055">
      <x:c r="A1055" s="30" t="n">
        <x:v>45722</x:v>
      </x:c>
      <x:c r="B1055" s="38" t="n">
        <x:v>5738.52</x:v>
      </x:c>
      <x:c r="C1055" s="34" t="n">
        <x:f>(B1055/B1054-1)*100</x:f>
        <x:v>-1.7819030128555013</x:v>
      </x:c>
      <x:c r="D1055" s="34" t="n">
        <x:f>Assumptions!$B$4*D1054+(1-Assumptions!$B$4)*C1054^2</x:f>
        <x:v>0.9741926939016057</x:v>
      </x:c>
      <x:c r="E1055" s="34" t="n">
        <x:f>SQRT(D1055)</x:f>
        <x:v>0.9870120029166848</x:v>
      </x:c>
      <x:c r="F1055" s="34" t="n">
        <x:f>-Assumptions!$B$7*E1055</x:f>
        <x:v>1.6234902728421468</x:v>
      </x:c>
      <x:c r="G1055" s="34" t="n">
        <x:f>-Assumptions!$B$8*E1055</x:f>
        <x:v>2.2961332746380214</x:v>
      </x:c>
      <x:c r="H1055" s="34" t="n">
        <x:f>-Assumptions!$B$9*E1055</x:f>
        <x:v>1.5405774225425302</x:v>
      </x:c>
      <x:c r="I1055" s="34" t="n">
        <x:f>-Assumptions!$B$10*E1055</x:f>
        <x:v>2.5726108270137202</x:v>
      </x:c>
      <x:c r="J1055" s="36" t="n">
        <x:f>IF(C1055&lt;-F1055,1,0)</x:f>
        <x:v>1</x:v>
      </x:c>
      <x:c r="K1055" s="36" t="n">
        <x:f>IF(C1055&lt;-G1055,1,0)</x:f>
        <x:v>0</x:v>
      </x:c>
      <x:c r="L1055" s="36" t="n">
        <x:f>IF(C1055&lt;-H1055,1,0)</x:f>
        <x:v>1</x:v>
      </x:c>
      <x:c r="M1055" s="36" t="n">
        <x:f>IF(C1055&lt;-I1055,1,0)</x:f>
        <x:v>0</x:v>
      </x:c>
      <x:c r="N1055" s="34" t="n">
        <x:f>-F1055</x:f>
        <x:v>-1.6234902728421468</x:v>
      </x:c>
      <x:c r="O1055" s="34" t="n">
        <x:f>-H1055</x:f>
        <x:v>-1.5405774225425302</x:v>
      </x:c>
      <x:c r="P1055" s="34" t="n">
        <x:f>-G1055</x:f>
        <x:v>-2.2961332746380214</x:v>
      </x:c>
      <x:c r="Q1055" s="34" t="n">
        <x:f>-I1055</x:f>
        <x:v>-2.5726108270137202</x:v>
      </x:c>
      <x:c r="R1055" s="36" t="n">
        <x:f>YEAR(A1055)</x:f>
        <x:v>2025</x:v>
      </x:c>
    </x:row>
    <x:row r="1056">
      <x:c r="A1056" s="30" t="n">
        <x:v>45723</x:v>
      </x:c>
      <x:c r="B1056" s="38" t="n">
        <x:v>5770.2</x:v>
      </x:c>
      <x:c r="C1056" s="34" t="n">
        <x:f>(B1056/B1055-1)*100</x:f>
        <x:v>0.5520587189728143</x:v>
      </x:c>
      <x:c r="D1056" s="34" t="n">
        <x:f>Assumptions!$B$4*D1055+(1-Assumptions!$B$4)*C1055^2</x:f>
        <x:v>1.1062518331009201</x:v>
      </x:c>
      <x:c r="E1056" s="34" t="n">
        <x:f>SQRT(D1056)</x:f>
        <x:v>1.0517850698222142</x:v>
      </x:c>
      <x:c r="F1056" s="34" t="n">
        <x:f>-Assumptions!$B$7*E1056</x:f>
        <x:v>1.730032486870477</x:v>
      </x:c>
      <x:c r="G1056" s="34" t="n">
        <x:f>-Assumptions!$B$8*E1056</x:f>
        <x:v>2.446817961128805</x:v>
      </x:c>
      <x:c r="H1056" s="34" t="n">
        <x:f>-Assumptions!$B$9*E1056</x:f>
        <x:v>1.6416784468143886</x:v>
      </x:c>
      <x:c r="I1056" s="34" t="n">
        <x:f>-Assumptions!$B$10*E1056</x:f>
        <x:v>2.7414394661058785</x:v>
      </x:c>
      <x:c r="J1056" s="36" t="n">
        <x:f>IF(C1056&lt;-F1056,1,0)</x:f>
        <x:v>0</x:v>
      </x:c>
      <x:c r="K1056" s="36" t="n">
        <x:f>IF(C1056&lt;-G1056,1,0)</x:f>
        <x:v>0</x:v>
      </x:c>
      <x:c r="L1056" s="36" t="n">
        <x:f>IF(C1056&lt;-H1056,1,0)</x:f>
        <x:v>0</x:v>
      </x:c>
      <x:c r="M1056" s="36" t="n">
        <x:f>IF(C1056&lt;-I1056,1,0)</x:f>
        <x:v>0</x:v>
      </x:c>
      <x:c r="N1056" s="34" t="n">
        <x:f>-F1056</x:f>
        <x:v>-1.730032486870477</x:v>
      </x:c>
      <x:c r="O1056" s="34" t="n">
        <x:f>-H1056</x:f>
        <x:v>-1.6416784468143886</x:v>
      </x:c>
      <x:c r="P1056" s="34" t="n">
        <x:f>-G1056</x:f>
        <x:v>-2.446817961128805</x:v>
      </x:c>
      <x:c r="Q1056" s="34" t="n">
        <x:f>-I1056</x:f>
        <x:v>-2.7414394661058785</x:v>
      </x:c>
      <x:c r="R1056" s="36" t="n">
        <x:f>YEAR(A1056)</x:f>
        <x:v>2025</x:v>
      </x:c>
    </x:row>
    <x:row r="1057">
      <x:c r="A1057" s="30" t="n">
        <x:v>45726</x:v>
      </x:c>
      <x:c r="B1057" s="38" t="n">
        <x:v>5614.56</x:v>
      </x:c>
      <x:c r="C1057" s="34" t="n">
        <x:f>(B1057/B1056-1)*100</x:f>
        <x:v>-2.6973068524487775</x:v>
      </x:c>
      <x:c r="D1057" s="34" t="n">
        <x:f>Assumptions!$B$4*D1056+(1-Assumptions!$B$4)*C1056^2</x:f>
        <x:v>1.0581628528664992</x:v>
      </x:c>
      <x:c r="E1057" s="34" t="n">
        <x:f>SQRT(D1057)</x:f>
        <x:v>1.0286704296646711</x:v>
      </x:c>
      <x:c r="F1057" s="34" t="n">
        <x:f>-Assumptions!$B$7*E1057</x:f>
        <x:v>1.6920122871716643</x:v>
      </x:c>
      <x:c r="G1057" s="34" t="n">
        <x:f>-Assumptions!$B$8*E1057</x:f>
        <x:v>2.3930452671390854</x:v>
      </x:c>
      <x:c r="H1057" s="34" t="n">
        <x:f>-Assumptions!$B$9*E1057</x:f>
        <x:v>1.6055999668651315</x:v>
      </x:c>
      <x:c r="I1057" s="34" t="n">
        <x:f>-Assumptions!$B$10*E1057</x:f>
        <x:v>2.6811919986423636</x:v>
      </x:c>
      <x:c r="J1057" s="36" t="n">
        <x:f>IF(C1057&lt;-F1057,1,0)</x:f>
        <x:v>1</x:v>
      </x:c>
      <x:c r="K1057" s="36" t="n">
        <x:f>IF(C1057&lt;-G1057,1,0)</x:f>
        <x:v>1</x:v>
      </x:c>
      <x:c r="L1057" s="36" t="n">
        <x:f>IF(C1057&lt;-H1057,1,0)</x:f>
        <x:v>1</x:v>
      </x:c>
      <x:c r="M1057" s="36" t="n">
        <x:f>IF(C1057&lt;-I1057,1,0)</x:f>
        <x:v>1</x:v>
      </x:c>
      <x:c r="N1057" s="34" t="n">
        <x:f>-F1057</x:f>
        <x:v>-1.6920122871716643</x:v>
      </x:c>
      <x:c r="O1057" s="34" t="n">
        <x:f>-H1057</x:f>
        <x:v>-1.6055999668651315</x:v>
      </x:c>
      <x:c r="P1057" s="34" t="n">
        <x:f>-G1057</x:f>
        <x:v>-2.3930452671390854</x:v>
      </x:c>
      <x:c r="Q1057" s="34" t="n">
        <x:f>-I1057</x:f>
        <x:v>-2.6811919986423636</x:v>
      </x:c>
      <x:c r="R1057" s="36" t="n">
        <x:f>YEAR(A1057)</x:f>
        <x:v>2025</x:v>
      </x:c>
    </x:row>
    <x:row r="1058">
      <x:c r="A1058" s="30" t="n">
        <x:v>45727</x:v>
      </x:c>
      <x:c r="B1058" s="38" t="n">
        <x:v>5572.07</x:v>
      </x:c>
      <x:c r="C1058" s="34" t="n">
        <x:f>(B1058/B1057-1)*100</x:f>
        <x:v>-0.7567823658488071</x:v>
      </x:c>
      <x:c r="D1058" s="34" t="n">
        <x:f>Assumptions!$B$4*D1057+(1-Assumptions!$B$4)*C1057^2</x:f>
        <x:v>1.4312009370705374</x:v>
      </x:c>
      <x:c r="E1058" s="34" t="n">
        <x:f>SQRT(D1058)</x:f>
        <x:v>1.1963281059435733</x:v>
      </x:c>
      <x:c r="F1058" s="34" t="n">
        <x:f>-Assumptions!$B$7*E1058</x:f>
        <x:v>1.9677846240852723</x:v>
      </x:c>
      <x:c r="G1058" s="34" t="n">
        <x:f>-Assumptions!$B$8*E1058</x:f>
        <x:v>2.783075345917137</x:v>
      </x:c>
      <x:c r="H1058" s="34" t="n">
        <x:f>-Assumptions!$B$9*E1058</x:f>
        <x:v>1.867288406345055</x:v>
      </x:c>
      <x:c r="I1058" s="34" t="n">
        <x:f>-Assumptions!$B$10*E1058</x:f>
        <x:v>3.1181856237983827</x:v>
      </x:c>
      <x:c r="J1058" s="36" t="n">
        <x:f>IF(C1058&lt;-F1058,1,0)</x:f>
        <x:v>0</x:v>
      </x:c>
      <x:c r="K1058" s="36" t="n">
        <x:f>IF(C1058&lt;-G1058,1,0)</x:f>
        <x:v>0</x:v>
      </x:c>
      <x:c r="L1058" s="36" t="n">
        <x:f>IF(C1058&lt;-H1058,1,0)</x:f>
        <x:v>0</x:v>
      </x:c>
      <x:c r="M1058" s="36" t="n">
        <x:f>IF(C1058&lt;-I1058,1,0)</x:f>
        <x:v>0</x:v>
      </x:c>
      <x:c r="N1058" s="34" t="n">
        <x:f>-F1058</x:f>
        <x:v>-1.9677846240852723</x:v>
      </x:c>
      <x:c r="O1058" s="34" t="n">
        <x:f>-H1058</x:f>
        <x:v>-1.867288406345055</x:v>
      </x:c>
      <x:c r="P1058" s="34" t="n">
        <x:f>-G1058</x:f>
        <x:v>-2.783075345917137</x:v>
      </x:c>
      <x:c r="Q1058" s="34" t="n">
        <x:f>-I1058</x:f>
        <x:v>-3.1181856237983827</x:v>
      </x:c>
      <x:c r="R1058" s="36" t="n">
        <x:f>YEAR(A1058)</x:f>
        <x:v>2025</x:v>
      </x:c>
    </x:row>
    <x:row r="1059">
      <x:c r="A1059" s="30" t="n">
        <x:v>45728</x:v>
      </x:c>
      <x:c r="B1059" s="38" t="n">
        <x:v>5599.3</x:v>
      </x:c>
      <x:c r="C1059" s="34" t="n">
        <x:f>(B1059/B1058-1)*100</x:f>
        <x:v>0.48868732804865367</x:v>
      </x:c>
      <x:c r="D1059" s="34" t="n">
        <x:f>Assumptions!$B$4*D1058+(1-Assumptions!$B$4)*C1058^2</x:f>
        <x:v>1.3796920538018882</x:v>
      </x:c>
      <x:c r="E1059" s="34" t="n">
        <x:f>SQRT(D1059)</x:f>
        <x:v>1.1746029345280422</x:v>
      </x:c>
      <x:c r="F1059" s="34" t="n">
        <x:f>-Assumptions!$B$7*E1059</x:f>
        <x:v>1.9320498970862936</x:v>
      </x:c>
      <x:c r="G1059" s="34" t="n">
        <x:f>-Assumptions!$B$8*E1059</x:f>
        <x:v>2.7325350395814434</x:v>
      </x:c>
      <x:c r="H1059" s="34" t="n">
        <x:f>-Assumptions!$B$9*E1059</x:f>
        <x:v>1.8333786783126405</x:v>
      </x:c>
      <x:c r="I1059" s="34" t="n">
        <x:f>-Assumptions!$B$10*E1059</x:f>
        <x:v>3.061559755990124</x:v>
      </x:c>
      <x:c r="J1059" s="36" t="n">
        <x:f>IF(C1059&lt;-F1059,1,0)</x:f>
        <x:v>0</x:v>
      </x:c>
      <x:c r="K1059" s="36" t="n">
        <x:f>IF(C1059&lt;-G1059,1,0)</x:f>
        <x:v>0</x:v>
      </x:c>
      <x:c r="L1059" s="36" t="n">
        <x:f>IF(C1059&lt;-H1059,1,0)</x:f>
        <x:v>0</x:v>
      </x:c>
      <x:c r="M1059" s="36" t="n">
        <x:f>IF(C1059&lt;-I1059,1,0)</x:f>
        <x:v>0</x:v>
      </x:c>
      <x:c r="N1059" s="34" t="n">
        <x:f>-F1059</x:f>
        <x:v>-1.9320498970862936</x:v>
      </x:c>
      <x:c r="O1059" s="34" t="n">
        <x:f>-H1059</x:f>
        <x:v>-1.8333786783126405</x:v>
      </x:c>
      <x:c r="P1059" s="34" t="n">
        <x:f>-G1059</x:f>
        <x:v>-2.7325350395814434</x:v>
      </x:c>
      <x:c r="Q1059" s="34" t="n">
        <x:f>-I1059</x:f>
        <x:v>-3.061559755990124</x:v>
      </x:c>
      <x:c r="R1059" s="36" t="n">
        <x:f>YEAR(A1059)</x:f>
        <x:v>2025</x:v>
      </x:c>
    </x:row>
    <x:row r="1060">
      <x:c r="A1060" s="30" t="n">
        <x:v>45729</x:v>
      </x:c>
      <x:c r="B1060" s="38" t="n">
        <x:v>5521.52</x:v>
      </x:c>
      <x:c r="C1060" s="34" t="n">
        <x:f>(B1060/B1059-1)*100</x:f>
        <x:v>-1.3891022092047178</x:v>
      </x:c>
      <x:c r="D1060" s="34" t="n">
        <x:f>Assumptions!$B$4*D1059+(1-Assumptions!$B$4)*C1059^2</x:f>
        <x:v>1.311239448849495</x:v>
      </x:c>
      <x:c r="E1060" s="34" t="n">
        <x:f>SQRT(D1060)</x:f>
        <x:v>1.1450936419566284</x:v>
      </x:c>
      <x:c r="F1060" s="34" t="n">
        <x:f>-Assumptions!$B$7*E1060</x:f>
        <x:v>1.8835114301714315</x:v>
      </x:c>
      <x:c r="G1060" s="34" t="n">
        <x:f>-Assumptions!$B$8*E1060</x:f>
        <x:v>2.6638861595434857</x:v>
      </x:c>
      <x:c r="H1060" s="34" t="n">
        <x:f>-Assumptions!$B$9*E1060</x:f>
        <x:v>1.787319106841999</x:v>
      </x:c>
      <x:c r="I1060" s="34" t="n">
        <x:f>-Assumptions!$B$10*E1060</x:f>
        <x:v>2.984644859978325</x:v>
      </x:c>
      <x:c r="J1060" s="36" t="n">
        <x:f>IF(C1060&lt;-F1060,1,0)</x:f>
        <x:v>0</x:v>
      </x:c>
      <x:c r="K1060" s="36" t="n">
        <x:f>IF(C1060&lt;-G1060,1,0)</x:f>
        <x:v>0</x:v>
      </x:c>
      <x:c r="L1060" s="36" t="n">
        <x:f>IF(C1060&lt;-H1060,1,0)</x:f>
        <x:v>0</x:v>
      </x:c>
      <x:c r="M1060" s="36" t="n">
        <x:f>IF(C1060&lt;-I1060,1,0)</x:f>
        <x:v>0</x:v>
      </x:c>
      <x:c r="N1060" s="34" t="n">
        <x:f>-F1060</x:f>
        <x:v>-1.8835114301714315</x:v>
      </x:c>
      <x:c r="O1060" s="34" t="n">
        <x:f>-H1060</x:f>
        <x:v>-1.787319106841999</x:v>
      </x:c>
      <x:c r="P1060" s="34" t="n">
        <x:f>-G1060</x:f>
        <x:v>-2.6638861595434857</x:v>
      </x:c>
      <x:c r="Q1060" s="34" t="n">
        <x:f>-I1060</x:f>
        <x:v>-2.984644859978325</x:v>
      </x:c>
      <x:c r="R1060" s="36" t="n">
        <x:f>YEAR(A1060)</x:f>
        <x:v>2025</x:v>
      </x:c>
    </x:row>
    <x:row r="1061">
      <x:c r="A1061" s="30" t="n">
        <x:v>45730</x:v>
      </x:c>
      <x:c r="B1061" s="38" t="n">
        <x:v>5638.94</x:v>
      </x:c>
      <x:c r="C1061" s="34" t="n">
        <x:f>(B1061/B1060-1)*100</x:f>
        <x:v>2.1265883307494793</x:v>
      </x:c>
      <x:c r="D1061" s="34" t="n">
        <x:f>Assumptions!$B$4*D1060+(1-Assumptions!$B$4)*C1060^2</x:f>
        <x:v>1.348341378775571</x:v>
      </x:c>
      <x:c r="E1061" s="34" t="n">
        <x:f>SQRT(D1061)</x:f>
        <x:v>1.1611810275644237</x:v>
      </x:c>
      <x:c r="F1061" s="34" t="n">
        <x:f>-Assumptions!$B$7*E1061</x:f>
        <x:v>1.9099728247365804</x:v>
      </x:c>
      <x:c r="G1061" s="34" t="n">
        <x:f>-Assumptions!$B$8*E1061</x:f>
        <x:v>2.7013110148510555</x:v>
      </x:c>
      <x:c r="H1061" s="34" t="n">
        <x:f>-Assumptions!$B$9*E1061</x:f>
        <x:v>1.8124290983941453</x:v>
      </x:c>
      <x:c r="I1061" s="34" t="n">
        <x:f>-Assumptions!$B$10*E1061</x:f>
        <x:v>3.0265760444732033</x:v>
      </x:c>
      <x:c r="J1061" s="36" t="n">
        <x:f>IF(C1061&lt;-F1061,1,0)</x:f>
        <x:v>0</x:v>
      </x:c>
      <x:c r="K1061" s="36" t="n">
        <x:f>IF(C1061&lt;-G1061,1,0)</x:f>
        <x:v>0</x:v>
      </x:c>
      <x:c r="L1061" s="36" t="n">
        <x:f>IF(C1061&lt;-H1061,1,0)</x:f>
        <x:v>0</x:v>
      </x:c>
      <x:c r="M1061" s="36" t="n">
        <x:f>IF(C1061&lt;-I1061,1,0)</x:f>
        <x:v>0</x:v>
      </x:c>
      <x:c r="N1061" s="34" t="n">
        <x:f>-F1061</x:f>
        <x:v>-1.9099728247365804</x:v>
      </x:c>
      <x:c r="O1061" s="34" t="n">
        <x:f>-H1061</x:f>
        <x:v>-1.8124290983941453</x:v>
      </x:c>
      <x:c r="P1061" s="34" t="n">
        <x:f>-G1061</x:f>
        <x:v>-2.7013110148510555</x:v>
      </x:c>
      <x:c r="Q1061" s="34" t="n">
        <x:f>-I1061</x:f>
        <x:v>-3.0265760444732033</x:v>
      </x:c>
      <x:c r="R1061" s="36" t="n">
        <x:f>YEAR(A1061)</x:f>
        <x:v>2025</x:v>
      </x:c>
    </x:row>
    <x:row r="1062">
      <x:c r="A1062" s="30" t="n">
        <x:v>45733</x:v>
      </x:c>
      <x:c r="B1062" s="38" t="n">
        <x:v>5675.12</x:v>
      </x:c>
      <x:c r="C1062" s="34" t="n">
        <x:f>(B1062/B1061-1)*100</x:f>
        <x:v>0.6416099479689574</x:v>
      </x:c>
      <x:c r="D1062" s="34" t="n">
        <x:f>Assumptions!$B$4*D1061+(1-Assumptions!$B$4)*C1061^2</x:f>
        <x:v>1.5387835717578282</x:v>
      </x:c>
      <x:c r="E1062" s="34" t="n">
        <x:f>SQRT(D1062)</x:f>
        <x:v>1.240477154871394</x:v>
      </x:c>
      <x:c r="F1062" s="34" t="n">
        <x:f>-Assumptions!$B$7*E1062</x:f>
        <x:v>2.040403347340656</x:v>
      </x:c>
      <x:c r="G1062" s="34" t="n">
        <x:f>-Assumptions!$B$8*E1062</x:f>
        <x:v>2.885781392031298</x:v>
      </x:c>
      <x:c r="H1062" s="34" t="n">
        <x:f>-Assumptions!$B$9*E1062</x:f>
        <x:v>1.9361984376353911</x:v>
      </x:c>
      <x:c r="I1062" s="34" t="n">
        <x:f>-Assumptions!$B$10*E1062</x:f>
        <x:v>3.233258511401004</x:v>
      </x:c>
      <x:c r="J1062" s="36" t="n">
        <x:f>IF(C1062&lt;-F1062,1,0)</x:f>
        <x:v>0</x:v>
      </x:c>
      <x:c r="K1062" s="36" t="n">
        <x:f>IF(C1062&lt;-G1062,1,0)</x:f>
        <x:v>0</x:v>
      </x:c>
      <x:c r="L1062" s="36" t="n">
        <x:f>IF(C1062&lt;-H1062,1,0)</x:f>
        <x:v>0</x:v>
      </x:c>
      <x:c r="M1062" s="36" t="n">
        <x:f>IF(C1062&lt;-I1062,1,0)</x:f>
        <x:v>0</x:v>
      </x:c>
      <x:c r="N1062" s="34" t="n">
        <x:f>-F1062</x:f>
        <x:v>-2.040403347340656</x:v>
      </x:c>
      <x:c r="O1062" s="34" t="n">
        <x:f>-H1062</x:f>
        <x:v>-1.9361984376353911</x:v>
      </x:c>
      <x:c r="P1062" s="34" t="n">
        <x:f>-G1062</x:f>
        <x:v>-2.885781392031298</x:v>
      </x:c>
      <x:c r="Q1062" s="34" t="n">
        <x:f>-I1062</x:f>
        <x:v>-3.233258511401004</x:v>
      </x:c>
      <x:c r="R1062" s="36" t="n">
        <x:f>YEAR(A1062)</x:f>
        <x:v>2025</x:v>
      </x:c>
    </x:row>
    <x:row r="1063">
      <x:c r="A1063" s="30" t="n">
        <x:v>45734</x:v>
      </x:c>
      <x:c r="B1063" s="38" t="n">
        <x:v>5614.66</x:v>
      </x:c>
      <x:c r="C1063" s="34" t="n">
        <x:f>(B1063/B1062-1)*100</x:f>
        <x:v>-1.0653519220738983</x:v>
      </x:c>
      <x:c r="D1063" s="34" t="n">
        <x:f>Assumptions!$B$4*D1062+(1-Assumptions!$B$4)*C1062^2</x:f>
        <x:v>1.4711563569723223</x:v>
      </x:c>
      <x:c r="E1063" s="34" t="n">
        <x:f>SQRT(D1063)</x:f>
        <x:v>1.21291234513147</x:v>
      </x:c>
      <x:c r="F1063" s="34" t="n">
        <x:f>-Assumptions!$B$7*E1063</x:f>
        <x:v>1.9950632700637152</x:v>
      </x:c>
      <x:c r="G1063" s="34" t="n">
        <x:f>-Assumptions!$B$8*E1063</x:f>
        <x:v>2.8216560554944854</x:v>
      </x:c>
      <x:c r="H1063" s="34" t="n">
        <x:f>-Assumptions!$B$9*E1063</x:f>
        <x:v>1.8931739116757085</x:v>
      </x:c>
      <x:c r="I1063" s="34" t="n">
        <x:f>-Assumptions!$B$10*E1063</x:f>
        <x:v>3.161411839048543</x:v>
      </x:c>
      <x:c r="J1063" s="36" t="n">
        <x:f>IF(C1063&lt;-F1063,1,0)</x:f>
        <x:v>0</x:v>
      </x:c>
      <x:c r="K1063" s="36" t="n">
        <x:f>IF(C1063&lt;-G1063,1,0)</x:f>
        <x:v>0</x:v>
      </x:c>
      <x:c r="L1063" s="36" t="n">
        <x:f>IF(C1063&lt;-H1063,1,0)</x:f>
        <x:v>0</x:v>
      </x:c>
      <x:c r="M1063" s="36" t="n">
        <x:f>IF(C1063&lt;-I1063,1,0)</x:f>
        <x:v>0</x:v>
      </x:c>
      <x:c r="N1063" s="34" t="n">
        <x:f>-F1063</x:f>
        <x:v>-1.9950632700637152</x:v>
      </x:c>
      <x:c r="O1063" s="34" t="n">
        <x:f>-H1063</x:f>
        <x:v>-1.8931739116757085</x:v>
      </x:c>
      <x:c r="P1063" s="34" t="n">
        <x:f>-G1063</x:f>
        <x:v>-2.8216560554944854</x:v>
      </x:c>
      <x:c r="Q1063" s="34" t="n">
        <x:f>-I1063</x:f>
        <x:v>-3.161411839048543</x:v>
      </x:c>
      <x:c r="R1063" s="36" t="n">
        <x:f>YEAR(A1063)</x:f>
        <x:v>2025</x:v>
      </x:c>
    </x:row>
    <x:row r="1064">
      <x:c r="A1064" s="30" t="n">
        <x:v>45735</x:v>
      </x:c>
      <x:c r="B1064" s="38" t="n">
        <x:v>5675.29</x:v>
      </x:c>
      <x:c r="C1064" s="34" t="n">
        <x:f>(B1064/B1063-1)*100</x:f>
        <x:v>1.0798516740105457</x:v>
      </x:c>
      <x:c r="D1064" s="34" t="n">
        <x:f>Assumptions!$B$4*D1063+(1-Assumptions!$B$4)*C1063^2</x:f>
        <x:v>1.4509854586259758</x:v>
      </x:c>
      <x:c r="E1064" s="34" t="n">
        <x:f>SQRT(D1064)</x:f>
        <x:v>1.2045685778011876</x:v>
      </x:c>
      <x:c r="F1064" s="34" t="n">
        <x:f>-Assumptions!$B$7*E1064</x:f>
        <x:v>1.9813389941080608</x:v>
      </x:c>
      <x:c r="G1064" s="34" t="n">
        <x:f>-Assumptions!$B$8*E1064</x:f>
        <x:v>2.8022455501041916</x:v>
      </x:c>
      <x:c r="H1064" s="34" t="n">
        <x:f>-Assumptions!$B$9*E1064</x:f>
        <x:v>1.8801505446548457</x:v>
      </x:c>
      <x:c r="I1064" s="34" t="n">
        <x:f>-Assumptions!$B$10*E1064</x:f>
        <x:v>3.1396641134803263</x:v>
      </x:c>
      <x:c r="J1064" s="36" t="n">
        <x:f>IF(C1064&lt;-F1064,1,0)</x:f>
        <x:v>0</x:v>
      </x:c>
      <x:c r="K1064" s="36" t="n">
        <x:f>IF(C1064&lt;-G1064,1,0)</x:f>
        <x:v>0</x:v>
      </x:c>
      <x:c r="L1064" s="36" t="n">
        <x:f>IF(C1064&lt;-H1064,1,0)</x:f>
        <x:v>0</x:v>
      </x:c>
      <x:c r="M1064" s="36" t="n">
        <x:f>IF(C1064&lt;-I1064,1,0)</x:f>
        <x:v>0</x:v>
      </x:c>
      <x:c r="N1064" s="34" t="n">
        <x:f>-F1064</x:f>
        <x:v>-1.9813389941080608</x:v>
      </x:c>
      <x:c r="O1064" s="34" t="n">
        <x:f>-H1064</x:f>
        <x:v>-1.8801505446548457</x:v>
      </x:c>
      <x:c r="P1064" s="34" t="n">
        <x:f>-G1064</x:f>
        <x:v>-2.8022455501041916</x:v>
      </x:c>
      <x:c r="Q1064" s="34" t="n">
        <x:f>-I1064</x:f>
        <x:v>-3.1396641134803263</x:v>
      </x:c>
      <x:c r="R1064" s="36" t="n">
        <x:f>YEAR(A1064)</x:f>
        <x:v>2025</x:v>
      </x:c>
    </x:row>
    <x:row r="1065">
      <x:c r="A1065" s="30" t="n">
        <x:v>45736</x:v>
      </x:c>
      <x:c r="B1065" s="38" t="n">
        <x:v>5662.89</x:v>
      </x:c>
      <x:c r="C1065" s="34" t="n">
        <x:f>(B1065/B1064-1)*100</x:f>
        <x:v>-0.21849103746239829</x:v>
      </x:c>
      <x:c r="D1065" s="34" t="n">
        <x:f>Assumptions!$B$4*D1064+(1-Assumptions!$B$4)*C1064^2</x:f>
        <x:v>1.4338911093802198</x:v>
      </x:c>
      <x:c r="E1065" s="34" t="n">
        <x:f>SQRT(D1065)</x:f>
        <x:v>1.1974519236195746</x:v>
      </x:c>
      <x:c r="F1065" s="34" t="n">
        <x:f>-Assumptions!$B$7*E1065</x:f>
        <x:v>1.9696331396656754</x:v>
      </x:c>
      <x:c r="G1065" s="34" t="n">
        <x:f>-Assumptions!$B$8*E1065</x:f>
        <x:v>2.785689736778512</x:v>
      </x:c>
      <x:c r="H1065" s="34" t="n">
        <x:f>-Assumptions!$B$9*E1065</x:f>
        <x:v>1.869042516866088</x:v>
      </x:c>
      <x:c r="I1065" s="34" t="n">
        <x:f>-Assumptions!$B$10*E1065</x:f>
        <x:v>3.1211148136282194</x:v>
      </x:c>
      <x:c r="J1065" s="36" t="n">
        <x:f>IF(C1065&lt;-F1065,1,0)</x:f>
        <x:v>0</x:v>
      </x:c>
      <x:c r="K1065" s="36" t="n">
        <x:f>IF(C1065&lt;-G1065,1,0)</x:f>
        <x:v>0</x:v>
      </x:c>
      <x:c r="L1065" s="36" t="n">
        <x:f>IF(C1065&lt;-H1065,1,0)</x:f>
        <x:v>0</x:v>
      </x:c>
      <x:c r="M1065" s="36" t="n">
        <x:f>IF(C1065&lt;-I1065,1,0)</x:f>
        <x:v>0</x:v>
      </x:c>
      <x:c r="N1065" s="34" t="n">
        <x:f>-F1065</x:f>
        <x:v>-1.9696331396656754</x:v>
      </x:c>
      <x:c r="O1065" s="34" t="n">
        <x:f>-H1065</x:f>
        <x:v>-1.869042516866088</x:v>
      </x:c>
      <x:c r="P1065" s="34" t="n">
        <x:f>-G1065</x:f>
        <x:v>-2.785689736778512</x:v>
      </x:c>
      <x:c r="Q1065" s="34" t="n">
        <x:f>-I1065</x:f>
        <x:v>-3.1211148136282194</x:v>
      </x:c>
      <x:c r="R1065" s="36" t="n">
        <x:f>YEAR(A1065)</x:f>
        <x:v>2025</x:v>
      </x:c>
    </x:row>
    <x:row r="1066">
      <x:c r="A1066" s="30" t="n">
        <x:v>45737</x:v>
      </x:c>
      <x:c r="B1066" s="38" t="n">
        <x:v>5667.56</x:v>
      </x:c>
      <x:c r="C1066" s="34" t="n">
        <x:f>(B1066/B1065-1)*100</x:f>
        <x:v>0.08246672635350283</x:v>
      </x:c>
      <x:c r="D1066" s="34" t="n">
        <x:f>Assumptions!$B$4*D1065+(1-Assumptions!$B$4)*C1065^2</x:f>
        <x:v>1.3507219428244903</x:v>
      </x:c>
      <x:c r="E1066" s="34" t="n">
        <x:f>SQRT(D1066)</x:f>
        <x:v>1.1622056370644958</x:v>
      </x:c>
      <x:c r="F1066" s="34" t="n">
        <x:f>-Assumptions!$B$7*E1066</x:f>
        <x:v>1.911658157388983</x:v>
      </x:c>
      <x:c r="G1066" s="34" t="n">
        <x:f>-Assumptions!$B$8*E1066</x:f>
        <x:v>2.70369461298327</x:v>
      </x:c>
      <x:c r="H1066" s="34" t="n">
        <x:f>-Assumptions!$B$9*E1066</x:f>
        <x:v>1.8140283598601348</x:v>
      </x:c>
      <x:c r="I1066" s="34" t="n">
        <x:f>-Assumptions!$B$10*E1066</x:f>
        <x:v>3.029246651806809</x:v>
      </x:c>
      <x:c r="J1066" s="36" t="n">
        <x:f>IF(C1066&lt;-F1066,1,0)</x:f>
        <x:v>0</x:v>
      </x:c>
      <x:c r="K1066" s="36" t="n">
        <x:f>IF(C1066&lt;-G1066,1,0)</x:f>
        <x:v>0</x:v>
      </x:c>
      <x:c r="L1066" s="36" t="n">
        <x:f>IF(C1066&lt;-H1066,1,0)</x:f>
        <x:v>0</x:v>
      </x:c>
      <x:c r="M1066" s="36" t="n">
        <x:f>IF(C1066&lt;-I1066,1,0)</x:f>
        <x:v>0</x:v>
      </x:c>
      <x:c r="N1066" s="34" t="n">
        <x:f>-F1066</x:f>
        <x:v>-1.911658157388983</x:v>
      </x:c>
      <x:c r="O1066" s="34" t="n">
        <x:f>-H1066</x:f>
        <x:v>-1.8140283598601348</x:v>
      </x:c>
      <x:c r="P1066" s="34" t="n">
        <x:f>-G1066</x:f>
        <x:v>-2.70369461298327</x:v>
      </x:c>
      <x:c r="Q1066" s="34" t="n">
        <x:f>-I1066</x:f>
        <x:v>-3.029246651806809</x:v>
      </x:c>
      <x:c r="R1066" s="36" t="n">
        <x:f>YEAR(A1066)</x:f>
        <x:v>2025</x:v>
      </x:c>
    </x:row>
    <x:row r="1067">
      <x:c r="A1067" s="30" t="n">
        <x:v>45740</x:v>
      </x:c>
      <x:c r="B1067" s="38" t="n">
        <x:v>5767.57</x:v>
      </x:c>
      <x:c r="C1067" s="34" t="n">
        <x:f>(B1067/B1066-1)*100</x:f>
        <x:v>1.7646041682840563</x:v>
      </x:c>
      <x:c r="D1067" s="34" t="n">
        <x:f>Assumptions!$B$4*D1066+(1-Assumptions!$B$4)*C1066^2</x:f>
        <x:v>1.2700866719123487</x:v>
      </x:c>
      <x:c r="E1067" s="34" t="n">
        <x:f>SQRT(D1067)</x:f>
        <x:v>1.1269812207452032</x:v>
      </x:c>
      <x:c r="F1067" s="34" t="n">
        <x:f>-Assumptions!$B$7*E1067</x:f>
        <x:v>1.853719148448946</x:v>
      </x:c>
      <x:c r="G1067" s="34" t="n">
        <x:f>-Assumptions!$B$8*E1067</x:f>
        <x:v>2.6217503669645543</x:v>
      </x:c>
      <x:c r="H1067" s="34" t="n">
        <x:f>-Assumptions!$B$9*E1067</x:f>
        <x:v>1.7590483390058986</x:v>
      </x:c>
      <x:c r="I1067" s="34" t="n">
        <x:f>-Assumptions!$B$10*E1067</x:f>
        <x:v>2.9374354939582052</x:v>
      </x:c>
      <x:c r="J1067" s="36" t="n">
        <x:f>IF(C1067&lt;-F1067,1,0)</x:f>
        <x:v>0</x:v>
      </x:c>
      <x:c r="K1067" s="36" t="n">
        <x:f>IF(C1067&lt;-G1067,1,0)</x:f>
        <x:v>0</x:v>
      </x:c>
      <x:c r="L1067" s="36" t="n">
        <x:f>IF(C1067&lt;-H1067,1,0)</x:f>
        <x:v>0</x:v>
      </x:c>
      <x:c r="M1067" s="36" t="n">
        <x:f>IF(C1067&lt;-I1067,1,0)</x:f>
        <x:v>0</x:v>
      </x:c>
      <x:c r="N1067" s="34" t="n">
        <x:f>-F1067</x:f>
        <x:v>-1.853719148448946</x:v>
      </x:c>
      <x:c r="O1067" s="34" t="n">
        <x:f>-H1067</x:f>
        <x:v>-1.7590483390058986</x:v>
      </x:c>
      <x:c r="P1067" s="34" t="n">
        <x:f>-G1067</x:f>
        <x:v>-2.6217503669645543</x:v>
      </x:c>
      <x:c r="Q1067" s="34" t="n">
        <x:f>-I1067</x:f>
        <x:v>-2.9374354939582052</x:v>
      </x:c>
      <x:c r="R1067" s="36" t="n">
        <x:f>YEAR(A1067)</x:f>
        <x:v>2025</x:v>
      </x:c>
    </x:row>
    <x:row r="1068">
      <x:c r="A1068" s="30" t="n">
        <x:v>45741</x:v>
      </x:c>
      <x:c r="B1068" s="38" t="n">
        <x:v>5776.65</x:v>
      </x:c>
      <x:c r="C1068" s="34" t="n">
        <x:f>(B1068/B1067-1)*100</x:f>
        <x:v>0.15743198608773046</x:v>
      </x:c>
      <x:c r="D1068" s="34" t="n">
        <x:f>Assumptions!$B$4*D1067+(1-Assumptions!$B$4)*C1067^2</x:f>
        <x:v>1.3807111438411357</x:v>
      </x:c>
      <x:c r="E1068" s="34" t="n">
        <x:f>SQRT(D1068)</x:f>
        <x:v>1.1750366563818917</x:v>
      </x:c>
      <x:c r="F1068" s="34" t="n">
        <x:f>-Assumptions!$B$7*E1068</x:f>
        <x:v>1.9327633060506861</x:v>
      </x:c>
      <x:c r="G1068" s="34" t="n">
        <x:f>-Assumptions!$B$8*E1068</x:f>
        <x:v>2.733544027494071</x:v>
      </x:c>
      <x:c r="H1068" s="34" t="n">
        <x:f>-Assumptions!$B$9*E1068</x:f>
        <x:v>1.8340556529529988</x:v>
      </x:c>
      <x:c r="I1068" s="34" t="n">
        <x:f>-Assumptions!$B$10*E1068</x:f>
        <x:v>3.0626902362009307</x:v>
      </x:c>
      <x:c r="J1068" s="36" t="n">
        <x:f>IF(C1068&lt;-F1068,1,0)</x:f>
        <x:v>0</x:v>
      </x:c>
      <x:c r="K1068" s="36" t="n">
        <x:f>IF(C1068&lt;-G1068,1,0)</x:f>
        <x:v>0</x:v>
      </x:c>
      <x:c r="L1068" s="36" t="n">
        <x:f>IF(C1068&lt;-H1068,1,0)</x:f>
        <x:v>0</x:v>
      </x:c>
      <x:c r="M1068" s="36" t="n">
        <x:f>IF(C1068&lt;-I1068,1,0)</x:f>
        <x:v>0</x:v>
      </x:c>
      <x:c r="N1068" s="34" t="n">
        <x:f>-F1068</x:f>
        <x:v>-1.9327633060506861</x:v>
      </x:c>
      <x:c r="O1068" s="34" t="n">
        <x:f>-H1068</x:f>
        <x:v>-1.8340556529529988</x:v>
      </x:c>
      <x:c r="P1068" s="34" t="n">
        <x:f>-G1068</x:f>
        <x:v>-2.733544027494071</x:v>
      </x:c>
      <x:c r="Q1068" s="34" t="n">
        <x:f>-I1068</x:f>
        <x:v>-3.0626902362009307</x:v>
      </x:c>
      <x:c r="R1068" s="36" t="n">
        <x:f>YEAR(A1068)</x:f>
        <x:v>2025</x:v>
      </x:c>
    </x:row>
    <x:row r="1069">
      <x:c r="A1069" s="30" t="n">
        <x:v>45742</x:v>
      </x:c>
      <x:c r="B1069" s="38" t="n">
        <x:v>5712.2</x:v>
      </x:c>
      <x:c r="C1069" s="34" t="n">
        <x:f>(B1069/B1068-1)*100</x:f>
        <x:v>-1.115698545004451</x:v>
      </x:c>
      <x:c r="D1069" s="34" t="n">
        <x:f>Assumptions!$B$4*D1068+(1-Assumptions!$B$4)*C1068^2</x:f>
        <x:v>1.299355565025279</x:v>
      </x:c>
      <x:c r="E1069" s="34" t="n">
        <x:f>SQRT(D1069)</x:f>
        <x:v>1.1398927866362165</x:v>
      </x:c>
      <x:c r="F1069" s="34" t="n">
        <x:f>-Assumptions!$B$7*E1069</x:f>
        <x:v>1.8749567844344022</x:v>
      </x:c>
      <x:c r="G1069" s="34" t="n">
        <x:f>-Assumptions!$B$8*E1069</x:f>
        <x:v>2.6517871608256516</x:v>
      </x:c>
      <x:c r="H1069" s="34" t="n">
        <x:f>-Assumptions!$B$9*E1069</x:f>
        <x:v>1.7792013531967952</x:v>
      </x:c>
      <x:c r="I1069" s="34" t="n">
        <x:f>-Assumptions!$B$10*E1069</x:f>
        <x:v>2.9710890200620064</x:v>
      </x:c>
      <x:c r="J1069" s="36" t="n">
        <x:f>IF(C1069&lt;-F1069,1,0)</x:f>
        <x:v>0</x:v>
      </x:c>
      <x:c r="K1069" s="36" t="n">
        <x:f>IF(C1069&lt;-G1069,1,0)</x:f>
        <x:v>0</x:v>
      </x:c>
      <x:c r="L1069" s="36" t="n">
        <x:f>IF(C1069&lt;-H1069,1,0)</x:f>
        <x:v>0</x:v>
      </x:c>
      <x:c r="M1069" s="36" t="n">
        <x:f>IF(C1069&lt;-I1069,1,0)</x:f>
        <x:v>0</x:v>
      </x:c>
      <x:c r="N1069" s="34" t="n">
        <x:f>-F1069</x:f>
        <x:v>-1.8749567844344022</x:v>
      </x:c>
      <x:c r="O1069" s="34" t="n">
        <x:f>-H1069</x:f>
        <x:v>-1.7792013531967952</x:v>
      </x:c>
      <x:c r="P1069" s="34" t="n">
        <x:f>-G1069</x:f>
        <x:v>-2.6517871608256516</x:v>
      </x:c>
      <x:c r="Q1069" s="34" t="n">
        <x:f>-I1069</x:f>
        <x:v>-2.9710890200620064</x:v>
      </x:c>
      <x:c r="R1069" s="36" t="n">
        <x:f>YEAR(A1069)</x:f>
        <x:v>2025</x:v>
      </x:c>
    </x:row>
    <x:row r="1070">
      <x:c r="A1070" s="30" t="n">
        <x:v>45743</x:v>
      </x:c>
      <x:c r="B1070" s="38" t="n">
        <x:v>5693.31</x:v>
      </x:c>
      <x:c r="C1070" s="34" t="n">
        <x:f>(B1070/B1069-1)*100</x:f>
        <x:v>-0.33069570393192693</x:v>
      </x:c>
      <x:c r="D1070" s="34" t="n">
        <x:f>Assumptions!$B$4*D1069+(1-Assumptions!$B$4)*C1069^2</x:f>
        <x:v>1.2960812257232652</x:v>
      </x:c>
      <x:c r="E1070" s="34" t="n">
        <x:f>SQRT(D1070)</x:f>
        <x:v>1.138455631864178</x:v>
      </x:c>
      <x:c r="F1070" s="34" t="n">
        <x:f>-Assumptions!$B$7*E1070</x:f>
        <x:v>1.8725928751951242</x:v>
      </x:c>
      <x:c r="G1070" s="34" t="n">
        <x:f>-Assumptions!$B$8*E1070</x:f>
        <x:v>2.648443838877052</x:v>
      </x:c>
      <x:c r="H1070" s="34" t="n">
        <x:f>-Assumptions!$B$9*E1070</x:f>
        <x:v>1.776958170552654</x:v>
      </x:c>
      <x:c r="I1070" s="34" t="n">
        <x:f>-Assumptions!$B$10*E1070</x:f>
        <x:v>2.967343128506772</x:v>
      </x:c>
      <x:c r="J1070" s="36" t="n">
        <x:f>IF(C1070&lt;-F1070,1,0)</x:f>
        <x:v>0</x:v>
      </x:c>
      <x:c r="K1070" s="36" t="n">
        <x:f>IF(C1070&lt;-G1070,1,0)</x:f>
        <x:v>0</x:v>
      </x:c>
      <x:c r="L1070" s="36" t="n">
        <x:f>IF(C1070&lt;-H1070,1,0)</x:f>
        <x:v>0</x:v>
      </x:c>
      <x:c r="M1070" s="36" t="n">
        <x:f>IF(C1070&lt;-I1070,1,0)</x:f>
        <x:v>0</x:v>
      </x:c>
      <x:c r="N1070" s="34" t="n">
        <x:f>-F1070</x:f>
        <x:v>-1.8725928751951242</x:v>
      </x:c>
      <x:c r="O1070" s="34" t="n">
        <x:f>-H1070</x:f>
        <x:v>-1.776958170552654</x:v>
      </x:c>
      <x:c r="P1070" s="34" t="n">
        <x:f>-G1070</x:f>
        <x:v>-2.648443838877052</x:v>
      </x:c>
      <x:c r="Q1070" s="34" t="n">
        <x:f>-I1070</x:f>
        <x:v>-2.967343128506772</x:v>
      </x:c>
      <x:c r="R1070" s="36" t="n">
        <x:f>YEAR(A1070)</x:f>
        <x:v>2025</x:v>
      </x:c>
    </x:row>
    <x:row r="1071">
      <x:c r="A1071" s="30" t="n">
        <x:v>45744</x:v>
      </x:c>
      <x:c r="B1071" s="38" t="n">
        <x:v>5580.94</x:v>
      </x:c>
      <x:c r="C1071" s="34" t="n">
        <x:f>(B1071/B1070-1)*100</x:f>
        <x:v>-1.9737200328104554</x:v>
      </x:c>
      <x:c r="D1071" s="34" t="n">
        <x:f>Assumptions!$B$4*D1070+(1-Assumptions!$B$4)*C1070^2</x:f>
        <x:v>1.2248779310958111</x:v>
      </x:c>
      <x:c r="E1071" s="34" t="n">
        <x:f>SQRT(D1071)</x:f>
        <x:v>1.1067420345752714</x:v>
      </x:c>
      <x:c r="F1071" s="34" t="n">
        <x:f>-Assumptions!$B$7*E1071</x:f>
        <x:v>1.8204286496707875</x:v>
      </x:c>
      <x:c r="G1071" s="34" t="n">
        <x:f>-Assumptions!$B$8*E1071</x:f>
        <x:v>2.574666979245817</x:v>
      </x:c>
      <x:c r="H1071" s="34" t="n">
        <x:f>-Assumptions!$B$9*E1071</x:f>
        <x:v>1.7274580106493103</x:v>
      </x:c>
      <x:c r="I1071" s="34" t="n">
        <x:f>-Assumptions!$B$10*E1071</x:f>
        <x:v>2.8846827925555374</x:v>
      </x:c>
      <x:c r="J1071" s="36" t="n">
        <x:f>IF(C1071&lt;-F1071,1,0)</x:f>
        <x:v>1</x:v>
      </x:c>
      <x:c r="K1071" s="36" t="n">
        <x:f>IF(C1071&lt;-G1071,1,0)</x:f>
        <x:v>0</x:v>
      </x:c>
      <x:c r="L1071" s="36" t="n">
        <x:f>IF(C1071&lt;-H1071,1,0)</x:f>
        <x:v>1</x:v>
      </x:c>
      <x:c r="M1071" s="36" t="n">
        <x:f>IF(C1071&lt;-I1071,1,0)</x:f>
        <x:v>0</x:v>
      </x:c>
      <x:c r="N1071" s="34" t="n">
        <x:f>-F1071</x:f>
        <x:v>-1.8204286496707875</x:v>
      </x:c>
      <x:c r="O1071" s="34" t="n">
        <x:f>-H1071</x:f>
        <x:v>-1.7274580106493103</x:v>
      </x:c>
      <x:c r="P1071" s="34" t="n">
        <x:f>-G1071</x:f>
        <x:v>-2.574666979245817</x:v>
      </x:c>
      <x:c r="Q1071" s="34" t="n">
        <x:f>-I1071</x:f>
        <x:v>-2.8846827925555374</x:v>
      </x:c>
      <x:c r="R1071" s="36" t="n">
        <x:f>YEAR(A1071)</x:f>
        <x:v>2025</x:v>
      </x:c>
    </x:row>
    <x:row r="1072">
      <x:c r="A1072" s="30" t="n">
        <x:v>45747</x:v>
      </x:c>
      <x:c r="B1072" s="38" t="n">
        <x:v>5611.85</x:v>
      </x:c>
      <x:c r="C1072" s="34" t="n">
        <x:f>(B1072/B1071-1)*100</x:f>
        <x:v>0.5538493515429455</x:v>
      </x:c>
      <x:c r="D1072" s="34" t="n">
        <x:f>Assumptions!$B$4*D1071+(1-Assumptions!$B$4)*C1071^2</x:f>
        <x:v>1.3851195013051008</x:v>
      </x:c>
      <x:c r="E1072" s="34" t="n">
        <x:f>SQRT(D1072)</x:f>
        <x:v>1.1769109997383407</x:v>
      </x:c>
      <x:c r="F1072" s="34" t="n">
        <x:f>-Assumptions!$B$7*E1072</x:f>
        <x:v>1.9358463265186936</x:v>
      </x:c>
      <x:c r="G1072" s="34" t="n">
        <x:f>-Assumptions!$B$8*E1072</x:f>
        <x:v>2.737904402176569</x:v>
      </x:c>
      <x:c r="H1072" s="34" t="n">
        <x:f>-Assumptions!$B$9*E1072</x:f>
        <x:v>1.8369812212829735</x:v>
      </x:c>
      <x:c r="I1072" s="34" t="n">
        <x:f>-Assumptions!$B$10*E1072</x:f>
        <x:v>3.0675756438738797</x:v>
      </x:c>
      <x:c r="J1072" s="36" t="n">
        <x:f>IF(C1072&lt;-F1072,1,0)</x:f>
        <x:v>0</x:v>
      </x:c>
      <x:c r="K1072" s="36" t="n">
        <x:f>IF(C1072&lt;-G1072,1,0)</x:f>
        <x:v>0</x:v>
      </x:c>
      <x:c r="L1072" s="36" t="n">
        <x:f>IF(C1072&lt;-H1072,1,0)</x:f>
        <x:v>0</x:v>
      </x:c>
      <x:c r="M1072" s="36" t="n">
        <x:f>IF(C1072&lt;-I1072,1,0)</x:f>
        <x:v>0</x:v>
      </x:c>
      <x:c r="N1072" s="34" t="n">
        <x:f>-F1072</x:f>
        <x:v>-1.9358463265186936</x:v>
      </x:c>
      <x:c r="O1072" s="34" t="n">
        <x:f>-H1072</x:f>
        <x:v>-1.8369812212829735</x:v>
      </x:c>
      <x:c r="P1072" s="34" t="n">
        <x:f>-G1072</x:f>
        <x:v>-2.737904402176569</x:v>
      </x:c>
      <x:c r="Q1072" s="34" t="n">
        <x:f>-I1072</x:f>
        <x:v>-3.0675756438738797</x:v>
      </x:c>
      <x:c r="R1072" s="36" t="n">
        <x:f>YEAR(A1072)</x:f>
        <x:v>2025</x:v>
      </x:c>
    </x:row>
    <x:row r="1073">
      <x:c r="A1073" s="30" t="n">
        <x:v>45748</x:v>
      </x:c>
      <x:c r="B1073" s="38" t="n">
        <x:v>5633.07</x:v>
      </x:c>
      <x:c r="C1073" s="34" t="n">
        <x:f>(B1073/B1072-1)*100</x:f>
        <x:v>0.3781284246727745</x:v>
      </x:c>
      <x:c r="D1073" s="34" t="n">
        <x:f>Assumptions!$B$4*D1072+(1-Assumptions!$B$4)*C1072^2</x:f>
        <x:v>1.320417277479067</x:v>
      </x:c>
      <x:c r="E1073" s="34" t="n">
        <x:f>SQRT(D1073)</x:f>
        <x:v>1.1490941116719149</x:v>
      </x:c>
      <x:c r="F1073" s="34" t="n">
        <x:f>-Assumptions!$B$7*E1073</x:f>
        <x:v>1.89009161729213</x:v>
      </x:c>
      <x:c r="G1073" s="34" t="n">
        <x:f>-Assumptions!$B$8*E1073</x:f>
        <x:v>2.673192643760807</x:v>
      </x:c>
      <x:c r="H1073" s="34" t="n">
        <x:f>-Assumptions!$B$9*E1073</x:f>
        <x:v>1.7935632389343377</x:v>
      </x:c>
      <x:c r="I1073" s="34" t="n">
        <x:f>-Assumptions!$B$10*E1073</x:f>
        <x:v>2.9950719385470497</x:v>
      </x:c>
      <x:c r="J1073" s="36" t="n">
        <x:f>IF(C1073&lt;-F1073,1,0)</x:f>
        <x:v>0</x:v>
      </x:c>
      <x:c r="K1073" s="36" t="n">
        <x:f>IF(C1073&lt;-G1073,1,0)</x:f>
        <x:v>0</x:v>
      </x:c>
      <x:c r="L1073" s="36" t="n">
        <x:f>IF(C1073&lt;-H1073,1,0)</x:f>
        <x:v>0</x:v>
      </x:c>
      <x:c r="M1073" s="36" t="n">
        <x:f>IF(C1073&lt;-I1073,1,0)</x:f>
        <x:v>0</x:v>
      </x:c>
      <x:c r="N1073" s="34" t="n">
        <x:f>-F1073</x:f>
        <x:v>-1.89009161729213</x:v>
      </x:c>
      <x:c r="O1073" s="34" t="n">
        <x:f>-H1073</x:f>
        <x:v>-1.7935632389343377</x:v>
      </x:c>
      <x:c r="P1073" s="34" t="n">
        <x:f>-G1073</x:f>
        <x:v>-2.673192643760807</x:v>
      </x:c>
      <x:c r="Q1073" s="34" t="n">
        <x:f>-I1073</x:f>
        <x:v>-2.9950719385470497</x:v>
      </x:c>
      <x:c r="R1073" s="36" t="n">
        <x:f>YEAR(A1073)</x:f>
        <x:v>2025</x:v>
      </x:c>
    </x:row>
    <x:row r="1074">
      <x:c r="A1074" s="30" t="n">
        <x:v>45749</x:v>
      </x:c>
      <x:c r="B1074" s="38" t="n">
        <x:v>5670.97</x:v>
      </x:c>
      <x:c r="C1074" s="34" t="n">
        <x:f>(B1074/B1073-1)*100</x:f>
        <x:v>0.6728125160880394</x:v>
      </x:c>
      <x:c r="D1074" s="34" t="n">
        <x:f>Assumptions!$B$4*D1073+(1-Assumptions!$B$4)*C1073^2</x:f>
        <x:v>1.2497711071630537</x:v>
      </x:c>
      <x:c r="E1074" s="34" t="n">
        <x:f>SQRT(D1074)</x:f>
        <x:v>1.1179316200747942</x:v>
      </x:c>
      <x:c r="F1074" s="34" t="n">
        <x:f>-Assumptions!$B$7*E1074</x:f>
        <x:v>1.8388338799637611</x:v>
      </x:c>
      <x:c r="G1074" s="34" t="n">
        <x:f>-Assumptions!$B$8*E1074</x:f>
        <x:v>2.60069784768403</x:v>
      </x:c>
      <x:c r="H1074" s="34" t="n">
        <x:f>-Assumptions!$B$9*E1074</x:f>
        <x:v>1.7449232722036108</x:v>
      </x:c>
      <x:c r="I1074" s="34" t="n">
        <x:f>-Assumptions!$B$10*E1074</x:f>
        <x:v>2.9138480395037023</x:v>
      </x:c>
      <x:c r="J1074" s="36" t="n">
        <x:f>IF(C1074&lt;-F1074,1,0)</x:f>
        <x:v>0</x:v>
      </x:c>
      <x:c r="K1074" s="36" t="n">
        <x:f>IF(C1074&lt;-G1074,1,0)</x:f>
        <x:v>0</x:v>
      </x:c>
      <x:c r="L1074" s="36" t="n">
        <x:f>IF(C1074&lt;-H1074,1,0)</x:f>
        <x:v>0</x:v>
      </x:c>
      <x:c r="M1074" s="36" t="n">
        <x:f>IF(C1074&lt;-I1074,1,0)</x:f>
        <x:v>0</x:v>
      </x:c>
      <x:c r="N1074" s="34" t="n">
        <x:f>-F1074</x:f>
        <x:v>-1.8388338799637611</x:v>
      </x:c>
      <x:c r="O1074" s="34" t="n">
        <x:f>-H1074</x:f>
        <x:v>-1.7449232722036108</x:v>
      </x:c>
      <x:c r="P1074" s="34" t="n">
        <x:f>-G1074</x:f>
        <x:v>-2.60069784768403</x:v>
      </x:c>
      <x:c r="Q1074" s="34" t="n">
        <x:f>-I1074</x:f>
        <x:v>-2.9138480395037023</x:v>
      </x:c>
      <x:c r="R1074" s="36" t="n">
        <x:f>YEAR(A1074)</x:f>
        <x:v>2025</x:v>
      </x:c>
    </x:row>
    <x:row r="1075">
      <x:c r="A1075" s="30" t="n">
        <x:v>45750</x:v>
      </x:c>
      <x:c r="B1075" s="38" t="n">
        <x:v>5396.52</x:v>
      </x:c>
      <x:c r="C1075" s="34" t="n">
        <x:f>(B1075/B1074-1)*100</x:f>
        <x:v>-4.839560075260485</x:v>
      </x:c>
      <x:c r="D1075" s="34" t="n">
        <x:f>Assumptions!$B$4*D1074+(1-Assumptions!$B$4)*C1074^2</x:f>
        <x:v>1.2019454416415536</x:v>
      </x:c>
      <x:c r="E1075" s="34" t="n">
        <x:f>SQRT(D1075)</x:f>
        <x:v>1.096332723967297</x:v>
      </x:c>
      <x:c r="F1075" s="34" t="n">
        <x:f>-Assumptions!$B$7*E1075</x:f>
        <x:v>1.8033068573631965</x:v>
      </x:c>
      <x:c r="G1075" s="34" t="n">
        <x:f>-Assumptions!$B$8*E1075</x:f>
        <x:v>2.550451301642725</x:v>
      </x:c>
      <x:c r="H1075" s="34" t="n">
        <x:f>-Assumptions!$B$9*E1075</x:f>
        <x:v>1.7112106409521948</x:v>
      </x:c>
      <x:c r="I1075" s="34" t="n">
        <x:f>-Assumptions!$B$10*E1075</x:f>
        <x:v>2.8575513036854026</x:v>
      </x:c>
      <x:c r="J1075" s="36" t="n">
        <x:f>IF(C1075&lt;-F1075,1,0)</x:f>
        <x:v>1</x:v>
      </x:c>
      <x:c r="K1075" s="36" t="n">
        <x:f>IF(C1075&lt;-G1075,1,0)</x:f>
        <x:v>1</x:v>
      </x:c>
      <x:c r="L1075" s="36" t="n">
        <x:f>IF(C1075&lt;-H1075,1,0)</x:f>
        <x:v>1</x:v>
      </x:c>
      <x:c r="M1075" s="36" t="n">
        <x:f>IF(C1075&lt;-I1075,1,0)</x:f>
        <x:v>1</x:v>
      </x:c>
      <x:c r="N1075" s="34" t="n">
        <x:f>-F1075</x:f>
        <x:v>-1.8033068573631965</x:v>
      </x:c>
      <x:c r="O1075" s="34" t="n">
        <x:f>-H1075</x:f>
        <x:v>-1.7112106409521948</x:v>
      </x:c>
      <x:c r="P1075" s="34" t="n">
        <x:f>-G1075</x:f>
        <x:v>-2.550451301642725</x:v>
      </x:c>
      <x:c r="Q1075" s="34" t="n">
        <x:f>-I1075</x:f>
        <x:v>-2.8575513036854026</x:v>
      </x:c>
      <x:c r="R1075" s="36" t="n">
        <x:f>YEAR(A1075)</x:f>
        <x:v>2025</x:v>
      </x:c>
    </x:row>
    <x:row r="1076">
      <x:c r="A1076" s="30" t="n">
        <x:v>45751</x:v>
      </x:c>
      <x:c r="B1076" s="38" t="n">
        <x:v>5074.08</x:v>
      </x:c>
      <x:c r="C1076" s="34" t="n">
        <x:f>(B1076/B1075-1)*100</x:f>
        <x:v>-5.974961641947041</x:v>
      </x:c>
      <x:c r="D1076" s="34" t="n">
        <x:f>Assumptions!$B$4*D1075+(1-Assumptions!$B$4)*C1075^2</x:f>
        <x:v>2.5351092184663777</x:v>
      </x:c>
      <x:c r="E1076" s="34" t="n">
        <x:f>SQRT(D1076)</x:f>
        <x:v>1.5922026310951687</x:v>
      </x:c>
      <x:c r="F1076" s="34" t="n">
        <x:f>-Assumptions!$B$7*E1076</x:f>
        <x:v>2.618940272598566</x:v>
      </x:c>
      <x:c r="G1076" s="34" t="n">
        <x:f>-Assumptions!$B$8*E1076</x:f>
        <x:v>3.704017205890478</x:v>
      </x:c>
      <x:c r="H1076" s="34" t="n">
        <x:f>-Assumptions!$B$9*E1076</x:f>
        <x:v>2.4851890537597487</x:v>
      </x:c>
      <x:c r="I1076" s="34" t="n">
        <x:f>-Assumptions!$B$10*E1076</x:f>
        <x:v>4.150018151198636</x:v>
      </x:c>
      <x:c r="J1076" s="36" t="n">
        <x:f>IF(C1076&lt;-F1076,1,0)</x:f>
        <x:v>1</x:v>
      </x:c>
      <x:c r="K1076" s="36" t="n">
        <x:f>IF(C1076&lt;-G1076,1,0)</x:f>
        <x:v>1</x:v>
      </x:c>
      <x:c r="L1076" s="36" t="n">
        <x:f>IF(C1076&lt;-H1076,1,0)</x:f>
        <x:v>1</x:v>
      </x:c>
      <x:c r="M1076" s="36" t="n">
        <x:f>IF(C1076&lt;-I1076,1,0)</x:f>
        <x:v>1</x:v>
      </x:c>
      <x:c r="N1076" s="34" t="n">
        <x:f>-F1076</x:f>
        <x:v>-2.618940272598566</x:v>
      </x:c>
      <x:c r="O1076" s="34" t="n">
        <x:f>-H1076</x:f>
        <x:v>-2.4851890537597487</x:v>
      </x:c>
      <x:c r="P1076" s="34" t="n">
        <x:f>-G1076</x:f>
        <x:v>-3.704017205890478</x:v>
      </x:c>
      <x:c r="Q1076" s="34" t="n">
        <x:f>-I1076</x:f>
        <x:v>-4.150018151198636</x:v>
      </x:c>
      <x:c r="R1076" s="36" t="n">
        <x:f>YEAR(A1076)</x:f>
        <x:v>2025</x:v>
      </x:c>
    </x:row>
    <x:row r="1077">
      <x:c r="A1077" s="30" t="n">
        <x:v>45754</x:v>
      </x:c>
      <x:c r="B1077" s="38" t="n">
        <x:v>5062.25</x:v>
      </x:c>
      <x:c r="C1077" s="34" t="n">
        <x:f>(B1077/B1076-1)*100</x:f>
        <x:v>-0.23314571311449095</x:v>
      </x:c>
      <x:c r="D1077" s="34" t="n">
        <x:f>Assumptions!$B$4*D1076+(1-Assumptions!$B$4)*C1076^2</x:f>
        <x:v>4.525012662722705</x:v>
      </x:c>
      <x:c r="E1077" s="34" t="n">
        <x:f>SQRT(D1077)</x:f>
        <x:v>2.1272077149922866</x:v>
      </x:c>
      <x:c r="F1077" s="34" t="n">
        <x:f>-Assumptions!$B$7*E1077</x:f>
        <x:v>3.4989453252842173</x:v>
      </x:c>
      <x:c r="G1077" s="34" t="n">
        <x:f>-Assumptions!$B$8*E1077</x:f>
        <x:v>4.94862514541558</x:v>
      </x:c>
      <x:c r="H1077" s="34" t="n">
        <x:f>-Assumptions!$B$9*E1077</x:f>
        <x:v>3.3202515968309148</x:v>
      </x:c>
      <x:c r="I1077" s="34" t="n">
        <x:f>-Assumptions!$B$10*E1077</x:f>
        <x:v>5.544489411197376</x:v>
      </x:c>
      <x:c r="J1077" s="36" t="n">
        <x:f>IF(C1077&lt;-F1077,1,0)</x:f>
        <x:v>0</x:v>
      </x:c>
      <x:c r="K1077" s="36" t="n">
        <x:f>IF(C1077&lt;-G1077,1,0)</x:f>
        <x:v>0</x:v>
      </x:c>
      <x:c r="L1077" s="36" t="n">
        <x:f>IF(C1077&lt;-H1077,1,0)</x:f>
        <x:v>0</x:v>
      </x:c>
      <x:c r="M1077" s="36" t="n">
        <x:f>IF(C1077&lt;-I1077,1,0)</x:f>
        <x:v>0</x:v>
      </x:c>
      <x:c r="N1077" s="34" t="n">
        <x:f>-F1077</x:f>
        <x:v>-3.4989453252842173</x:v>
      </x:c>
      <x:c r="O1077" s="34" t="n">
        <x:f>-H1077</x:f>
        <x:v>-3.3202515968309148</x:v>
      </x:c>
      <x:c r="P1077" s="34" t="n">
        <x:f>-G1077</x:f>
        <x:v>-4.94862514541558</x:v>
      </x:c>
      <x:c r="Q1077" s="34" t="n">
        <x:f>-I1077</x:f>
        <x:v>-5.544489411197376</x:v>
      </x:c>
      <x:c r="R1077" s="36" t="n">
        <x:f>YEAR(A1077)</x:f>
        <x:v>2025</x:v>
      </x:c>
    </x:row>
    <x:row r="1078">
      <x:c r="A1078" s="30" t="n">
        <x:v>45755</x:v>
      </x:c>
      <x:c r="B1078" s="38" t="n">
        <x:v>4982.77</x:v>
      </x:c>
      <x:c r="C1078" s="34" t="n">
        <x:f>(B1078/B1077-1)*100</x:f>
        <x:v>-1.5700528421156545</x:v>
      </x:c>
      <x:c r="D1078" s="34" t="n">
        <x:f>Assumptions!$B$4*D1077+(1-Assumptions!$B$4)*C1077^2</x:f>
        <x:v>4.2567733183719625</x:v>
      </x:c>
      <x:c r="E1078" s="34" t="n">
        <x:f>SQRT(D1078)</x:f>
        <x:v>2.0631949298047343</x:v>
      </x:c>
      <x:c r="F1078" s="34" t="n">
        <x:f>-Assumptions!$B$7*E1078</x:f>
        <x:v>3.3936536633972065</x:v>
      </x:c>
      <x:c r="G1078" s="34" t="n">
        <x:f>-Assumptions!$B$8*E1078</x:f>
        <x:v>4.799709138683085</x:v>
      </x:c>
      <x:c r="H1078" s="34" t="n">
        <x:f>-Assumptions!$B$9*E1078</x:f>
        <x:v>3.220337258076584</x:v>
      </x:c>
      <x:c r="I1078" s="34" t="n">
        <x:f>-Assumptions!$B$10*E1078</x:f>
        <x:v>5.377642418704721</x:v>
      </x:c>
      <x:c r="J1078" s="36" t="n">
        <x:f>IF(C1078&lt;-F1078,1,0)</x:f>
        <x:v>0</x:v>
      </x:c>
      <x:c r="K1078" s="36" t="n">
        <x:f>IF(C1078&lt;-G1078,1,0)</x:f>
        <x:v>0</x:v>
      </x:c>
      <x:c r="L1078" s="36" t="n">
        <x:f>IF(C1078&lt;-H1078,1,0)</x:f>
        <x:v>0</x:v>
      </x:c>
      <x:c r="M1078" s="36" t="n">
        <x:f>IF(C1078&lt;-I1078,1,0)</x:f>
        <x:v>0</x:v>
      </x:c>
      <x:c r="N1078" s="34" t="n">
        <x:f>-F1078</x:f>
        <x:v>-3.3936536633972065</x:v>
      </x:c>
      <x:c r="O1078" s="34" t="n">
        <x:f>-H1078</x:f>
        <x:v>-3.220337258076584</x:v>
      </x:c>
      <x:c r="P1078" s="34" t="n">
        <x:f>-G1078</x:f>
        <x:v>-4.799709138683085</x:v>
      </x:c>
      <x:c r="Q1078" s="34" t="n">
        <x:f>-I1078</x:f>
        <x:v>-5.377642418704721</x:v>
      </x:c>
      <x:c r="R1078" s="36" t="n">
        <x:f>YEAR(A1078)</x:f>
        <x:v>2025</x:v>
      </x:c>
    </x:row>
    <x:row r="1079">
      <x:c r="A1079" s="30" t="n">
        <x:v>45756</x:v>
      </x:c>
      <x:c r="B1079" s="38" t="n">
        <x:v>5456.9</x:v>
      </x:c>
      <x:c r="C1079" s="34" t="n">
        <x:f>(B1079/B1078-1)*100</x:f>
        <x:v>9.515390034057347</x:v>
      </x:c>
      <x:c r="D1079" s="34" t="n">
        <x:f>Assumptions!$B$4*D1078+(1-Assumptions!$B$4)*C1078^2</x:f>
        <x:v>4.149270874891771</x:v>
      </x:c>
      <x:c r="E1079" s="34" t="n">
        <x:f>SQRT(D1079)</x:f>
        <x:v>2.036975914165843</x:v>
      </x:c>
      <x:c r="F1079" s="34" t="n">
        <x:f>-Assumptions!$B$7*E1079</x:f>
        <x:v>3.350527220428479</x:v>
      </x:c>
      <x:c r="G1079" s="34" t="n">
        <x:f>-Assumptions!$B$8*E1079</x:f>
        <x:v>4.738714587392106</x:v>
      </x:c>
      <x:c r="H1079" s="34" t="n">
        <x:f>-Assumptions!$B$9*E1079</x:f>
        <x:v>3.179413314481974</x:v>
      </x:c>
      <x:c r="I1079" s="34" t="n">
        <x:f>-Assumptions!$B$10*E1079</x:f>
        <x:v>5.309303509646948</x:v>
      </x:c>
      <x:c r="J1079" s="36" t="n">
        <x:f>IF(C1079&lt;-F1079,1,0)</x:f>
        <x:v>0</x:v>
      </x:c>
      <x:c r="K1079" s="36" t="n">
        <x:f>IF(C1079&lt;-G1079,1,0)</x:f>
        <x:v>0</x:v>
      </x:c>
      <x:c r="L1079" s="36" t="n">
        <x:f>IF(C1079&lt;-H1079,1,0)</x:f>
        <x:v>0</x:v>
      </x:c>
      <x:c r="M1079" s="36" t="n">
        <x:f>IF(C1079&lt;-I1079,1,0)</x:f>
        <x:v>0</x:v>
      </x:c>
      <x:c r="N1079" s="34" t="n">
        <x:f>-F1079</x:f>
        <x:v>-3.350527220428479</x:v>
      </x:c>
      <x:c r="O1079" s="34" t="n">
        <x:f>-H1079</x:f>
        <x:v>-3.179413314481974</x:v>
      </x:c>
      <x:c r="P1079" s="34" t="n">
        <x:f>-G1079</x:f>
        <x:v>-4.738714587392106</x:v>
      </x:c>
      <x:c r="Q1079" s="34" t="n">
        <x:f>-I1079</x:f>
        <x:v>-5.309303509646948</x:v>
      </x:c>
      <x:c r="R1079" s="36" t="n">
        <x:f>YEAR(A1079)</x:f>
        <x:v>2025</x:v>
      </x:c>
    </x:row>
    <x:row r="1080">
      <x:c r="A1080" s="30" t="n">
        <x:v>45757</x:v>
      </x:c>
      <x:c r="B1080" s="38" t="n">
        <x:v>5268.05</x:v>
      </x:c>
      <x:c r="C1080" s="34" t="n">
        <x:f>(B1080/B1079-1)*100</x:f>
        <x:v>-3.4607561069471604</x:v>
      </x:c>
      <x:c r="D1080" s="34" t="n">
        <x:f>Assumptions!$B$4*D1079+(1-Assumptions!$B$4)*C1079^2</x:f>
        <x:v>9.332873472412542</x:v>
      </x:c>
      <x:c r="E1080" s="34" t="n">
        <x:f>SQRT(D1080)</x:f>
        <x:v>3.0549751999668575</x:v>
      </x:c>
      <x:c r="F1080" s="34" t="n">
        <x:f>-Assumptions!$B$7*E1080</x:f>
        <x:v>5.024987037912287</x:v>
      </x:c>
      <x:c r="G1080" s="34" t="n">
        <x:f>-Assumptions!$B$8*E1080</x:f>
        <x:v>7.10693506169039</x:v>
      </x:c>
      <x:c r="H1080" s="34" t="n">
        <x:f>-Assumptions!$B$9*E1080</x:f>
        <x:v>4.768357229282417</x:v>
      </x:c>
      <x:c r="I1080" s="34" t="n">
        <x:f>-Assumptions!$B$10*E1080</x:f>
        <x:v>7.9626815605772885</x:v>
      </x:c>
      <x:c r="J1080" s="36" t="n">
        <x:f>IF(C1080&lt;-F1080,1,0)</x:f>
        <x:v>0</x:v>
      </x:c>
      <x:c r="K1080" s="36" t="n">
        <x:f>IF(C1080&lt;-G1080,1,0)</x:f>
        <x:v>0</x:v>
      </x:c>
      <x:c r="L1080" s="36" t="n">
        <x:f>IF(C1080&lt;-H1080,1,0)</x:f>
        <x:v>0</x:v>
      </x:c>
      <x:c r="M1080" s="36" t="n">
        <x:f>IF(C1080&lt;-I1080,1,0)</x:f>
        <x:v>0</x:v>
      </x:c>
      <x:c r="N1080" s="34" t="n">
        <x:f>-F1080</x:f>
        <x:v>-5.024987037912287</x:v>
      </x:c>
      <x:c r="O1080" s="34" t="n">
        <x:f>-H1080</x:f>
        <x:v>-4.768357229282417</x:v>
      </x:c>
      <x:c r="P1080" s="34" t="n">
        <x:f>-G1080</x:f>
        <x:v>-7.10693506169039</x:v>
      </x:c>
      <x:c r="Q1080" s="34" t="n">
        <x:f>-I1080</x:f>
        <x:v>-7.9626815605772885</x:v>
      </x:c>
      <x:c r="R1080" s="36" t="n">
        <x:f>YEAR(A1080)</x:f>
        <x:v>2025</x:v>
      </x:c>
    </x:row>
    <x:row r="1081">
      <x:c r="A1081" s="30" t="n">
        <x:v>45758</x:v>
      </x:c>
      <x:c r="B1081" s="38" t="n">
        <x:v>5363.36</x:v>
      </x:c>
      <x:c r="C1081" s="34" t="n">
        <x:f>(B1081/B1080-1)*100</x:f>
        <x:v>1.8092083408471682</x:v>
      </x:c>
      <x:c r="D1081" s="34" t="n">
        <x:f>Assumptions!$B$4*D1080+(1-Assumptions!$B$4)*C1080^2</x:f>
        <x:v>9.491511033974113</x:v>
      </x:c>
      <x:c r="E1081" s="34" t="n">
        <x:f>SQRT(D1081)</x:f>
        <x:v>3.080829601580411</x:v>
      </x:c>
      <x:c r="F1081" s="34" t="n">
        <x:f>-Assumptions!$B$7*E1081</x:f>
        <x:v>5.067513744179</x:v>
      </x:c>
      <x:c r="G1081" s="34" t="n">
        <x:f>-Assumptions!$B$8*E1081</x:f>
        <x:v>7.167081393918678</x:v>
      </x:c>
      <x:c r="H1081" s="34" t="n">
        <x:f>-Assumptions!$B$9*E1081</x:f>
        <x:v>4.8087120651724415</x:v>
      </x:c>
      <x:c r="I1081" s="34" t="n">
        <x:f>-Assumptions!$B$10*E1081</x:f>
        <x:v>8.03007011646155</x:v>
      </x:c>
      <x:c r="J1081" s="36" t="n">
        <x:f>IF(C1081&lt;-F1081,1,0)</x:f>
        <x:v>0</x:v>
      </x:c>
      <x:c r="K1081" s="36" t="n">
        <x:f>IF(C1081&lt;-G1081,1,0)</x:f>
        <x:v>0</x:v>
      </x:c>
      <x:c r="L1081" s="36" t="n">
        <x:f>IF(C1081&lt;-H1081,1,0)</x:f>
        <x:v>0</x:v>
      </x:c>
      <x:c r="M1081" s="36" t="n">
        <x:f>IF(C1081&lt;-I1081,1,0)</x:f>
        <x:v>0</x:v>
      </x:c>
      <x:c r="N1081" s="34" t="n">
        <x:f>-F1081</x:f>
        <x:v>-5.067513744179</x:v>
      </x:c>
      <x:c r="O1081" s="34" t="n">
        <x:f>-H1081</x:f>
        <x:v>-4.8087120651724415</x:v>
      </x:c>
      <x:c r="P1081" s="34" t="n">
        <x:f>-G1081</x:f>
        <x:v>-7.167081393918678</x:v>
      </x:c>
      <x:c r="Q1081" s="34" t="n">
        <x:f>-I1081</x:f>
        <x:v>-8.03007011646155</x:v>
      </x:c>
      <x:c r="R1081" s="36" t="n">
        <x:f>YEAR(A1081)</x:f>
        <x:v>2025</x:v>
      </x:c>
    </x:row>
    <x:row r="1082">
      <x:c r="A1082" s="30" t="n">
        <x:v>45761</x:v>
      </x:c>
      <x:c r="B1082" s="38" t="n">
        <x:v>5405.97</x:v>
      </x:c>
      <x:c r="C1082" s="34" t="n">
        <x:f>(B1082/B1081-1)*100</x:f>
        <x:v>0.7944646639420183</x:v>
      </x:c>
      <x:c r="D1082" s="34" t="n">
        <x:f>Assumptions!$B$4*D1081+(1-Assumptions!$B$4)*C1081^2</x:f>
        <x:v>9.118414461171124</x:v>
      </x:c>
      <x:c r="E1082" s="34" t="n">
        <x:f>SQRT(D1082)</x:f>
        <x:v>3.0196712505124004</x:v>
      </x:c>
      <x:c r="F1082" s="34" t="n">
        <x:f>-Assumptions!$B$7*E1082</x:f>
        <x:v>4.966917208606412</x:v>
      </x:c>
      <x:c r="G1082" s="34" t="n">
        <x:f>-Assumptions!$B$8*E1082</x:f>
        <x:v>7.024805793931768</x:v>
      </x:c>
      <x:c r="H1082" s="34" t="n">
        <x:f>-Assumptions!$B$9*E1082</x:f>
        <x:v>4.7132530691552885</x:v>
      </x:c>
      <x:c r="I1082" s="34" t="n">
        <x:f>-Assumptions!$B$10*E1082</x:f>
        <x:v>7.87066310250941</x:v>
      </x:c>
      <x:c r="J1082" s="36" t="n">
        <x:f>IF(C1082&lt;-F1082,1,0)</x:f>
        <x:v>0</x:v>
      </x:c>
      <x:c r="K1082" s="36" t="n">
        <x:f>IF(C1082&lt;-G1082,1,0)</x:f>
        <x:v>0</x:v>
      </x:c>
      <x:c r="L1082" s="36" t="n">
        <x:f>IF(C1082&lt;-H1082,1,0)</x:f>
        <x:v>0</x:v>
      </x:c>
      <x:c r="M1082" s="36" t="n">
        <x:f>IF(C1082&lt;-I1082,1,0)</x:f>
        <x:v>0</x:v>
      </x:c>
      <x:c r="N1082" s="34" t="n">
        <x:f>-F1082</x:f>
        <x:v>-4.966917208606412</x:v>
      </x:c>
      <x:c r="O1082" s="34" t="n">
        <x:f>-H1082</x:f>
        <x:v>-4.7132530691552885</x:v>
      </x:c>
      <x:c r="P1082" s="34" t="n">
        <x:f>-G1082</x:f>
        <x:v>-7.024805793931768</x:v>
      </x:c>
      <x:c r="Q1082" s="34" t="n">
        <x:f>-I1082</x:f>
        <x:v>-7.87066310250941</x:v>
      </x:c>
      <x:c r="R1082" s="36" t="n">
        <x:f>YEAR(A1082)</x:f>
        <x:v>2025</x:v>
      </x:c>
    </x:row>
    <x:row r="1083">
      <x:c r="A1083" s="30" t="n">
        <x:v>45762</x:v>
      </x:c>
      <x:c r="B1083" s="38" t="n">
        <x:v>5396.63</x:v>
      </x:c>
      <x:c r="C1083" s="34" t="n">
        <x:f>(B1083/B1082-1)*100</x:f>
        <x:v>-0.17277195396940837</x:v>
      </x:c>
      <x:c r="D1083" s="34" t="n">
        <x:f>Assumptions!$B$4*D1082+(1-Assumptions!$B$4)*C1082^2</x:f>
        <x:v>8.609180039636007</x:v>
      </x:c>
      <x:c r="E1083" s="34" t="n">
        <x:f>SQRT(D1083)</x:f>
        <x:v>2.9341404260253134</x:v>
      </x:c>
      <x:c r="F1083" s="34" t="n">
        <x:f>-Assumptions!$B$7*E1083</x:f>
        <x:v>4.8262315217326766</x:v>
      </x:c>
      <x:c r="G1083" s="34" t="n">
        <x:f>-Assumptions!$B$8*E1083</x:f>
        <x:v>6.8258313422212735</x:v>
      </x:c>
      <x:c r="H1083" s="34" t="n">
        <x:f>-Assumptions!$B$9*E1083</x:f>
        <x:v>4.579752304476769</x:v>
      </x:c>
      <x:c r="I1083" s="34" t="n">
        <x:f>-Assumptions!$B$10*E1083</x:f>
        <x:v>7.647730124522654</x:v>
      </x:c>
      <x:c r="J1083" s="36" t="n">
        <x:f>IF(C1083&lt;-F1083,1,0)</x:f>
        <x:v>0</x:v>
      </x:c>
      <x:c r="K1083" s="36" t="n">
        <x:f>IF(C1083&lt;-G1083,1,0)</x:f>
        <x:v>0</x:v>
      </x:c>
      <x:c r="L1083" s="36" t="n">
        <x:f>IF(C1083&lt;-H1083,1,0)</x:f>
        <x:v>0</x:v>
      </x:c>
      <x:c r="M1083" s="36" t="n">
        <x:f>IF(C1083&lt;-I1083,1,0)</x:f>
        <x:v>0</x:v>
      </x:c>
      <x:c r="N1083" s="34" t="n">
        <x:f>-F1083</x:f>
        <x:v>-4.8262315217326766</x:v>
      </x:c>
      <x:c r="O1083" s="34" t="n">
        <x:f>-H1083</x:f>
        <x:v>-4.579752304476769</x:v>
      </x:c>
      <x:c r="P1083" s="34" t="n">
        <x:f>-G1083</x:f>
        <x:v>-6.8258313422212735</x:v>
      </x:c>
      <x:c r="Q1083" s="34" t="n">
        <x:f>-I1083</x:f>
        <x:v>-7.647730124522654</x:v>
      </x:c>
      <x:c r="R1083" s="36" t="n">
        <x:f>YEAR(A1083)</x:f>
        <x:v>2025</x:v>
      </x:c>
    </x:row>
    <x:row r="1084">
      <x:c r="A1084" s="30" t="n">
        <x:v>45763</x:v>
      </x:c>
      <x:c r="B1084" s="38" t="n">
        <x:v>5275.7</x:v>
      </x:c>
      <x:c r="C1084" s="34" t="n">
        <x:f>(B1084/B1083-1)*100</x:f>
        <x:v>-2.2408428964001637</x:v>
      </x:c>
      <x:c r="D1084" s="34" t="n">
        <x:f>Assumptions!$B$4*D1083+(1-Assumptions!$B$4)*C1083^2</x:f>
        <x:v>8.094420246142551</x:v>
      </x:c>
      <x:c r="E1084" s="34" t="n">
        <x:f>SQRT(D1084)</x:f>
        <x:v>2.845069462445961</x:v>
      </x:c>
      <x:c r="F1084" s="34" t="n">
        <x:f>-Assumptions!$B$7*E1084</x:f>
        <x:v>4.679722824233116</x:v>
      </x:c>
      <x:c r="G1084" s="34" t="n">
        <x:f>-Assumptions!$B$8*E1084</x:f>
        <x:v>6.618621295459678</x:v>
      </x:c>
      <x:c r="H1084" s="34" t="n">
        <x:f>-Assumptions!$B$9*E1084</x:f>
        <x:v>4.4407259146365625</x:v>
      </x:c>
      <x:c r="I1084" s="34" t="n">
        <x:f>-Assumptions!$B$10*E1084</x:f>
        <x:v>7.415569902965419</x:v>
      </x:c>
      <x:c r="J1084" s="36" t="n">
        <x:f>IF(C1084&lt;-F1084,1,0)</x:f>
        <x:v>0</x:v>
      </x:c>
      <x:c r="K1084" s="36" t="n">
        <x:f>IF(C1084&lt;-G1084,1,0)</x:f>
        <x:v>0</x:v>
      </x:c>
      <x:c r="L1084" s="36" t="n">
        <x:f>IF(C1084&lt;-H1084,1,0)</x:f>
        <x:v>0</x:v>
      </x:c>
      <x:c r="M1084" s="36" t="n">
        <x:f>IF(C1084&lt;-I1084,1,0)</x:f>
        <x:v>0</x:v>
      </x:c>
      <x:c r="N1084" s="34" t="n">
        <x:f>-F1084</x:f>
        <x:v>-4.679722824233116</x:v>
      </x:c>
      <x:c r="O1084" s="34" t="n">
        <x:f>-H1084</x:f>
        <x:v>-4.4407259146365625</x:v>
      </x:c>
      <x:c r="P1084" s="34" t="n">
        <x:f>-G1084</x:f>
        <x:v>-6.618621295459678</x:v>
      </x:c>
      <x:c r="Q1084" s="34" t="n">
        <x:f>-I1084</x:f>
        <x:v>-7.415569902965419</x:v>
      </x:c>
      <x:c r="R1084" s="36" t="n">
        <x:f>YEAR(A1084)</x:f>
        <x:v>2025</x:v>
      </x:c>
    </x:row>
    <x:row r="1085">
      <x:c r="A1085" s="30" t="n">
        <x:v>45764</x:v>
      </x:c>
      <x:c r="B1085" s="38" t="n">
        <x:v>5282.7</x:v>
      </x:c>
      <x:c r="C1085" s="34" t="n">
        <x:f>(B1085/B1084-1)*100</x:f>
        <x:v>0.13268381447011368</x:v>
      </x:c>
      <x:c r="D1085" s="34" t="n">
        <x:f>Assumptions!$B$4*D1084+(1-Assumptions!$B$4)*C1084^2</x:f>
        <x:v>7.910037644554823</x:v>
      </x:c>
      <x:c r="E1085" s="34" t="n">
        <x:f>SQRT(D1085)</x:f>
        <x:v>2.8124789145084845</x:v>
      </x:c>
      <x:c r="F1085" s="34" t="n">
        <x:f>-Assumptions!$B$7*E1085</x:f>
        <x:v>4.626116143253822</x:v>
      </x:c>
      <x:c r="G1085" s="34" t="n">
        <x:f>-Assumptions!$B$8*E1085</x:f>
        <x:v>6.542804343551503</x:v>
      </x:c>
      <x:c r="H1085" s="34" t="n">
        <x:f>-Assumptions!$B$9*E1085</x:f>
        <x:v>4.389856966546369</x:v>
      </x:c>
      <x:c r="I1085" s="34" t="n">
        <x:f>-Assumptions!$B$10*E1085</x:f>
        <x:v>7.330623827097547</x:v>
      </x:c>
      <x:c r="J1085" s="36" t="n">
        <x:f>IF(C1085&lt;-F1085,1,0)</x:f>
        <x:v>0</x:v>
      </x:c>
      <x:c r="K1085" s="36" t="n">
        <x:f>IF(C1085&lt;-G1085,1,0)</x:f>
        <x:v>0</x:v>
      </x:c>
      <x:c r="L1085" s="36" t="n">
        <x:f>IF(C1085&lt;-H1085,1,0)</x:f>
        <x:v>0</x:v>
      </x:c>
      <x:c r="M1085" s="36" t="n">
        <x:f>IF(C1085&lt;-I1085,1,0)</x:f>
        <x:v>0</x:v>
      </x:c>
      <x:c r="N1085" s="34" t="n">
        <x:f>-F1085</x:f>
        <x:v>-4.626116143253822</x:v>
      </x:c>
      <x:c r="O1085" s="34" t="n">
        <x:f>-H1085</x:f>
        <x:v>-4.389856966546369</x:v>
      </x:c>
      <x:c r="P1085" s="34" t="n">
        <x:f>-G1085</x:f>
        <x:v>-6.542804343551503</x:v>
      </x:c>
      <x:c r="Q1085" s="34" t="n">
        <x:f>-I1085</x:f>
        <x:v>-7.330623827097547</x:v>
      </x:c>
      <x:c r="R1085" s="36" t="n">
        <x:f>YEAR(A1085)</x:f>
        <x:v>2025</x:v>
      </x:c>
    </x:row>
    <x:row r="1086">
      <x:c r="A1086" s="30" t="n">
        <x:v>45768</x:v>
      </x:c>
      <x:c r="B1086" s="38" t="n">
        <x:v>5158.2</x:v>
      </x:c>
      <x:c r="C1086" s="34" t="n">
        <x:f>(B1086/B1085-1)*100</x:f>
        <x:v>-2.3567493895167213</x:v>
      </x:c>
      <x:c r="D1086" s="34" t="n">
        <x:f>Assumptions!$B$4*D1085+(1-Assumptions!$B$4)*C1085^2</x:f>
        <x:v>7.436491685558873</x:v>
      </x:c>
      <x:c r="E1086" s="34" t="n">
        <x:f>SQRT(D1086)</x:f>
        <x:v>2.726993158326378</x:v>
      </x:c>
      <x:c r="F1086" s="34" t="n">
        <x:f>-Assumptions!$B$7*E1086</x:f>
        <x:v>4.485504587144995</x:v>
      </x:c>
      <x:c r="G1086" s="34" t="n">
        <x:f>-Assumptions!$B$8*E1086</x:f>
        <x:v>6.343934736396486</x:v>
      </x:c>
      <x:c r="H1086" s="34" t="n">
        <x:f>-Assumptions!$B$9*E1086</x:f>
        <x:v>4.256426546719706</x:v>
      </x:c>
      <x:c r="I1086" s="34" t="n">
        <x:f>-Assumptions!$B$10*E1086</x:f>
        <x:v>7.107808318005803</x:v>
      </x:c>
      <x:c r="J1086" s="36" t="n">
        <x:f>IF(C1086&lt;-F1086,1,0)</x:f>
        <x:v>0</x:v>
      </x:c>
      <x:c r="K1086" s="36" t="n">
        <x:f>IF(C1086&lt;-G1086,1,0)</x:f>
        <x:v>0</x:v>
      </x:c>
      <x:c r="L1086" s="36" t="n">
        <x:f>IF(C1086&lt;-H1086,1,0)</x:f>
        <x:v>0</x:v>
      </x:c>
      <x:c r="M1086" s="36" t="n">
        <x:f>IF(C1086&lt;-I1086,1,0)</x:f>
        <x:v>0</x:v>
      </x:c>
      <x:c r="N1086" s="34" t="n">
        <x:f>-F1086</x:f>
        <x:v>-4.485504587144995</x:v>
      </x:c>
      <x:c r="O1086" s="34" t="n">
        <x:f>-H1086</x:f>
        <x:v>-4.256426546719706</x:v>
      </x:c>
      <x:c r="P1086" s="34" t="n">
        <x:f>-G1086</x:f>
        <x:v>-6.343934736396486</x:v>
      </x:c>
      <x:c r="Q1086" s="34" t="n">
        <x:f>-I1086</x:f>
        <x:v>-7.107808318005803</x:v>
      </x:c>
      <x:c r="R1086" s="36" t="n">
        <x:f>YEAR(A1086)</x:f>
        <x:v>2025</x:v>
      </x:c>
    </x:row>
    <x:row r="1087">
      <x:c r="A1087" s="30" t="n">
        <x:v>45769</x:v>
      </x:c>
      <x:c r="B1087" s="38" t="n">
        <x:v>5287.76</x:v>
      </x:c>
      <x:c r="C1087" s="34" t="n">
        <x:f>(B1087/B1086-1)*100</x:f>
        <x:v>2.511728897677501</x:v>
      </x:c>
      <x:c r="D1087" s="34" t="n">
        <x:f>Assumptions!$B$4*D1086+(1-Assumptions!$B$4)*C1086^2</x:f>
        <x:v>7.323558245524588</x:v>
      </x:c>
      <x:c r="E1087" s="34" t="n">
        <x:f>SQRT(D1087)</x:f>
        <x:v>2.7062073544953256</x:v>
      </x:c>
      <x:c r="F1087" s="34" t="n">
        <x:f>-Assumptions!$B$7*E1087</x:f>
        <x:v>4.451314982324386</x:v>
      </x:c>
      <x:c r="G1087" s="34" t="n">
        <x:f>-Assumptions!$B$8*E1087</x:f>
        <x:v>6.295579725843887</x:v>
      </x:c>
      <x:c r="H1087" s="34" t="n">
        <x:f>-Assumptions!$B$9*E1087</x:f>
        <x:v>4.223983030331973</x:v>
      </x:c>
      <x:c r="I1087" s="34" t="n">
        <x:f>-Assumptions!$B$10*E1087</x:f>
        <x:v>7.053630877583671</x:v>
      </x:c>
      <x:c r="J1087" s="36" t="n">
        <x:f>IF(C1087&lt;-F1087,1,0)</x:f>
        <x:v>0</x:v>
      </x:c>
      <x:c r="K1087" s="36" t="n">
        <x:f>IF(C1087&lt;-G1087,1,0)</x:f>
        <x:v>0</x:v>
      </x:c>
      <x:c r="L1087" s="36" t="n">
        <x:f>IF(C1087&lt;-H1087,1,0)</x:f>
        <x:v>0</x:v>
      </x:c>
      <x:c r="M1087" s="36" t="n">
        <x:f>IF(C1087&lt;-I1087,1,0)</x:f>
        <x:v>0</x:v>
      </x:c>
      <x:c r="N1087" s="34" t="n">
        <x:f>-F1087</x:f>
        <x:v>-4.451314982324386</x:v>
      </x:c>
      <x:c r="O1087" s="34" t="n">
        <x:f>-H1087</x:f>
        <x:v>-4.223983030331973</x:v>
      </x:c>
      <x:c r="P1087" s="34" t="n">
        <x:f>-G1087</x:f>
        <x:v>-6.295579725843887</x:v>
      </x:c>
      <x:c r="Q1087" s="34" t="n">
        <x:f>-I1087</x:f>
        <x:v>-7.053630877583671</x:v>
      </x:c>
      <x:c r="R1087" s="36" t="n">
        <x:f>YEAR(A1087)</x:f>
        <x:v>2025</x:v>
      </x:c>
    </x:row>
    <x:row r="1088">
      <x:c r="A1088" s="30" t="n">
        <x:v>45770</x:v>
      </x:c>
      <x:c r="B1088" s="38" t="n">
        <x:v>5375.86</x:v>
      </x:c>
      <x:c r="C1088" s="34" t="n">
        <x:f>(B1088/B1087-1)*100</x:f>
        <x:v>1.6661119264111734</x:v>
      </x:c>
      <x:c r="D1088" s="34" t="n">
        <x:f>Assumptions!$B$4*D1087+(1-Assumptions!$B$4)*C1087^2</x:f>
        <x:v>7.262671674118806</x:v>
      </x:c>
      <x:c r="E1088" s="34" t="n">
        <x:f>SQRT(D1088)</x:f>
        <x:v>2.69493444709121</x:v>
      </x:c>
      <x:c r="F1088" s="34" t="n">
        <x:f>-Assumptions!$B$7*E1088</x:f>
        <x:v>4.432772699694439</x:v>
      </x:c>
      <x:c r="G1088" s="34" t="n">
        <x:f>-Assumptions!$B$8*E1088</x:f>
        <x:v>6.269355021670064</x:v>
      </x:c>
      <x:c r="H1088" s="34" t="n">
        <x:f>-Assumptions!$B$9*E1088</x:f>
        <x:v>4.206387715805024</x:v>
      </x:c>
      <x:c r="I1088" s="34" t="n">
        <x:f>-Assumptions!$B$10*E1088</x:f>
        <x:v>7.024248455126749</x:v>
      </x:c>
      <x:c r="J1088" s="36" t="n">
        <x:f>IF(C1088&lt;-F1088,1,0)</x:f>
        <x:v>0</x:v>
      </x:c>
      <x:c r="K1088" s="36" t="n">
        <x:f>IF(C1088&lt;-G1088,1,0)</x:f>
        <x:v>0</x:v>
      </x:c>
      <x:c r="L1088" s="36" t="n">
        <x:f>IF(C1088&lt;-H1088,1,0)</x:f>
        <x:v>0</x:v>
      </x:c>
      <x:c r="M1088" s="36" t="n">
        <x:f>IF(C1088&lt;-I1088,1,0)</x:f>
        <x:v>0</x:v>
      </x:c>
      <x:c r="N1088" s="34" t="n">
        <x:f>-F1088</x:f>
        <x:v>-4.432772699694439</x:v>
      </x:c>
      <x:c r="O1088" s="34" t="n">
        <x:f>-H1088</x:f>
        <x:v>-4.206387715805024</x:v>
      </x:c>
      <x:c r="P1088" s="34" t="n">
        <x:f>-G1088</x:f>
        <x:v>-6.269355021670064</x:v>
      </x:c>
      <x:c r="Q1088" s="34" t="n">
        <x:f>-I1088</x:f>
        <x:v>-7.024248455126749</x:v>
      </x:c>
      <x:c r="R1088" s="36" t="n">
        <x:f>YEAR(A1088)</x:f>
        <x:v>2025</x:v>
      </x:c>
    </x:row>
    <x:row r="1089">
      <x:c r="A1089" s="30" t="n">
        <x:v>45771</x:v>
      </x:c>
      <x:c r="B1089" s="38" t="n">
        <x:v>5484.77</x:v>
      </x:c>
      <x:c r="C1089" s="34" t="n">
        <x:f>(B1089/B1088-1)*100</x:f>
        <x:v>2.025908412793509</x:v>
      </x:c>
      <x:c r="D1089" s="34" t="n">
        <x:f>Assumptions!$B$4*D1088+(1-Assumptions!$B$4)*C1088^2</x:f>
        <x:v>6.9934671107514506</x:v>
      </x:c>
      <x:c r="E1089" s="34" t="n">
        <x:f>SQRT(D1089)</x:f>
        <x:v>2.644516422855311</x:v>
      </x:c>
      <x:c r="F1089" s="34" t="n">
        <x:f>-Assumptions!$B$7*E1089</x:f>
        <x:v>4.349842429666293</x:v>
      </x:c>
      <x:c r="G1089" s="34" t="n">
        <x:f>-Assumptions!$B$8*E1089</x:f>
        <x:v>6.152065158175541</x:v>
      </x:c>
      <x:c r="H1089" s="34" t="n">
        <x:f>-Assumptions!$B$9*E1089</x:f>
        <x:v>4.127692756070492</x:v>
      </x:c>
      <x:c r="I1089" s="34" t="n">
        <x:f>-Assumptions!$B$10*E1089</x:f>
        <x:v>6.892835711773452</x:v>
      </x:c>
      <x:c r="J1089" s="36" t="n">
        <x:f>IF(C1089&lt;-F1089,1,0)</x:f>
        <x:v>0</x:v>
      </x:c>
      <x:c r="K1089" s="36" t="n">
        <x:f>IF(C1089&lt;-G1089,1,0)</x:f>
        <x:v>0</x:v>
      </x:c>
      <x:c r="L1089" s="36" t="n">
        <x:f>IF(C1089&lt;-H1089,1,0)</x:f>
        <x:v>0</x:v>
      </x:c>
      <x:c r="M1089" s="36" t="n">
        <x:f>IF(C1089&lt;-I1089,1,0)</x:f>
        <x:v>0</x:v>
      </x:c>
      <x:c r="N1089" s="34" t="n">
        <x:f>-F1089</x:f>
        <x:v>-4.349842429666293</x:v>
      </x:c>
      <x:c r="O1089" s="34" t="n">
        <x:f>-H1089</x:f>
        <x:v>-4.127692756070492</x:v>
      </x:c>
      <x:c r="P1089" s="34" t="n">
        <x:f>-G1089</x:f>
        <x:v>-6.152065158175541</x:v>
      </x:c>
      <x:c r="Q1089" s="34" t="n">
        <x:f>-I1089</x:f>
        <x:v>-6.892835711773452</x:v>
      </x:c>
      <x:c r="R1089" s="36" t="n">
        <x:f>YEAR(A1089)</x:f>
        <x:v>2025</x:v>
      </x:c>
    </x:row>
    <x:row r="1090">
      <x:c r="A1090" s="30" t="n">
        <x:v>45772</x:v>
      </x:c>
      <x:c r="B1090" s="38" t="n">
        <x:v>5525.21</x:v>
      </x:c>
      <x:c r="C1090" s="34" t="n">
        <x:f>(B1090/B1089-1)*100</x:f>
        <x:v>0.7373144179245283</x:v>
      </x:c>
      <x:c r="D1090" s="34" t="n">
        <x:f>Assumptions!$B$4*D1089+(1-Assumptions!$B$4)*C1089^2</x:f>
        <x:v>6.820117377928014</x:v>
      </x:c>
      <x:c r="E1090" s="34" t="n">
        <x:f>SQRT(D1090)</x:f>
        <x:v>2.6115354445092285</x:v>
      </x:c>
      <x:c r="F1090" s="34" t="n">
        <x:f>-Assumptions!$B$7*E1090</x:f>
        <x:v>4.295593547813331</x:v>
      </x:c>
      <x:c r="G1090" s="34" t="n">
        <x:f>-Assumptions!$B$8*E1090</x:f>
        <x:v>6.075339929316344</x:v>
      </x:c>
      <x:c r="H1090" s="34" t="n">
        <x:f>-Assumptions!$B$9*E1090</x:f>
        <x:v>4.076214404780748</x:v>
      </x:c>
      <x:c r="I1090" s="34" t="n">
        <x:f>-Assumptions!$B$10*E1090</x:f>
        <x:v>6.806871993269616</x:v>
      </x:c>
      <x:c r="J1090" s="36" t="n">
        <x:f>IF(C1090&lt;-F1090,1,0)</x:f>
        <x:v>0</x:v>
      </x:c>
      <x:c r="K1090" s="36" t="n">
        <x:f>IF(C1090&lt;-G1090,1,0)</x:f>
        <x:v>0</x:v>
      </x:c>
      <x:c r="L1090" s="36" t="n">
        <x:f>IF(C1090&lt;-H1090,1,0)</x:f>
        <x:v>0</x:v>
      </x:c>
      <x:c r="M1090" s="36" t="n">
        <x:f>IF(C1090&lt;-I1090,1,0)</x:f>
        <x:v>0</x:v>
      </x:c>
      <x:c r="N1090" s="34" t="n">
        <x:f>-F1090</x:f>
        <x:v>-4.295593547813331</x:v>
      </x:c>
      <x:c r="O1090" s="34" t="n">
        <x:f>-H1090</x:f>
        <x:v>-4.076214404780748</x:v>
      </x:c>
      <x:c r="P1090" s="34" t="n">
        <x:f>-G1090</x:f>
        <x:v>-6.075339929316344</x:v>
      </x:c>
      <x:c r="Q1090" s="34" t="n">
        <x:f>-I1090</x:f>
        <x:v>-6.806871993269616</x:v>
      </x:c>
      <x:c r="R1090" s="36" t="n">
        <x:f>YEAR(A1090)</x:f>
        <x:v>2025</x:v>
      </x:c>
    </x:row>
    <x:row r="1091">
      <x:c r="A1091" s="30" t="n">
        <x:v>45775</x:v>
      </x:c>
      <x:c r="B1091" s="38" t="n">
        <x:v>5528.75</x:v>
      </x:c>
      <x:c r="C1091" s="34" t="n">
        <x:f>(B1091/B1090-1)*100</x:f>
        <x:v>0.06406996295162948</x:v>
      </x:c>
      <x:c r="D1091" s="34" t="n">
        <x:f>Assumptions!$B$4*D1090+(1-Assumptions!$B$4)*C1090^2</x:f>
        <x:v>6.443528288305096</x:v>
      </x:c>
      <x:c r="E1091" s="34" t="n">
        <x:f>SQRT(D1091)</x:f>
        <x:v>2.538410583082472</x:v>
      </x:c>
      <x:c r="F1091" s="34" t="n">
        <x:f>-Assumptions!$B$7*E1091</x:f>
        <x:v>4.175313854275207</x:v>
      </x:c>
      <x:c r="G1091" s="34" t="n">
        <x:f>-Assumptions!$B$8*E1091</x:f>
        <x:v>5.905226063396678</x:v>
      </x:c>
      <x:c r="H1091" s="34" t="n">
        <x:f>-Assumptions!$B$9*E1091</x:f>
        <x:v>3.962077484249173</x:v>
      </x:c>
      <x:c r="I1091" s="34" t="n">
        <x:f>-Assumptions!$B$10*E1091</x:f>
        <x:v>6.616274706028488</x:v>
      </x:c>
      <x:c r="J1091" s="36" t="n">
        <x:f>IF(C1091&lt;-F1091,1,0)</x:f>
        <x:v>0</x:v>
      </x:c>
      <x:c r="K1091" s="36" t="n">
        <x:f>IF(C1091&lt;-G1091,1,0)</x:f>
        <x:v>0</x:v>
      </x:c>
      <x:c r="L1091" s="36" t="n">
        <x:f>IF(C1091&lt;-H1091,1,0)</x:f>
        <x:v>0</x:v>
      </x:c>
      <x:c r="M1091" s="36" t="n">
        <x:f>IF(C1091&lt;-I1091,1,0)</x:f>
        <x:v>0</x:v>
      </x:c>
      <x:c r="N1091" s="34" t="n">
        <x:f>-F1091</x:f>
        <x:v>-4.175313854275207</x:v>
      </x:c>
      <x:c r="O1091" s="34" t="n">
        <x:f>-H1091</x:f>
        <x:v>-3.962077484249173</x:v>
      </x:c>
      <x:c r="P1091" s="34" t="n">
        <x:f>-G1091</x:f>
        <x:v>-5.905226063396678</x:v>
      </x:c>
      <x:c r="Q1091" s="34" t="n">
        <x:f>-I1091</x:f>
        <x:v>-6.616274706028488</x:v>
      </x:c>
      <x:c r="R1091" s="36" t="n">
        <x:f>YEAR(A1091)</x:f>
        <x:v>2025</x:v>
      </x:c>
    </x:row>
    <x:row r="1092">
      <x:c r="A1092" s="30" t="n">
        <x:v>45776</x:v>
      </x:c>
      <x:c r="B1092" s="38" t="n">
        <x:v>5560.83</x:v>
      </x:c>
      <x:c r="C1092" s="34" t="n">
        <x:f>(B1092/B1091-1)*100</x:f>
        <x:v>0.580239656341841</x:v>
      </x:c>
      <x:c r="D1092" s="34" t="n">
        <x:f>Assumptions!$B$4*D1091+(1-Assumptions!$B$4)*C1091^2</x:f>
        <x:v>6.057162888615947</x:v>
      </x:c>
      <x:c r="E1092" s="34" t="n">
        <x:f>SQRT(D1092)</x:f>
        <x:v>2.4611304086975863</x:v>
      </x:c>
      <x:c r="F1092" s="34" t="n">
        <x:f>-Assumptions!$B$7*E1092</x:f>
        <x:v>4.048199279146785</x:v>
      </x:c>
      <x:c r="G1092" s="34" t="n">
        <x:f>-Assumptions!$B$8*E1092</x:f>
        <x:v>5.725445494010894</x:v>
      </x:c>
      <x:c r="H1092" s="34" t="n">
        <x:f>-Assumptions!$B$9*E1092</x:f>
        <x:v>3.8414547445908043</x:v>
      </x:c>
      <x:c r="I1092" s="34" t="n">
        <x:f>-Assumptions!$B$10*E1092</x:f>
        <x:v>6.414846746947379</x:v>
      </x:c>
      <x:c r="J1092" s="36" t="n">
        <x:f>IF(C1092&lt;-F1092,1,0)</x:f>
        <x:v>0</x:v>
      </x:c>
      <x:c r="K1092" s="36" t="n">
        <x:f>IF(C1092&lt;-G1092,1,0)</x:f>
        <x:v>0</x:v>
      </x:c>
      <x:c r="L1092" s="36" t="n">
        <x:f>IF(C1092&lt;-H1092,1,0)</x:f>
        <x:v>0</x:v>
      </x:c>
      <x:c r="M1092" s="36" t="n">
        <x:f>IF(C1092&lt;-I1092,1,0)</x:f>
        <x:v>0</x:v>
      </x:c>
      <x:c r="N1092" s="34" t="n">
        <x:f>-F1092</x:f>
        <x:v>-4.048199279146785</x:v>
      </x:c>
      <x:c r="O1092" s="34" t="n">
        <x:f>-H1092</x:f>
        <x:v>-3.8414547445908043</x:v>
      </x:c>
      <x:c r="P1092" s="34" t="n">
        <x:f>-G1092</x:f>
        <x:v>-5.725445494010894</x:v>
      </x:c>
      <x:c r="Q1092" s="34" t="n">
        <x:f>-I1092</x:f>
        <x:v>-6.414846746947379</x:v>
      </x:c>
      <x:c r="R1092" s="36" t="n">
        <x:f>YEAR(A1092)</x:f>
        <x:v>2025</x:v>
      </x:c>
    </x:row>
    <x:row r="1093">
      <x:c r="A1093" s="30" t="n">
        <x:v>45777</x:v>
      </x:c>
      <x:c r="B1093" s="38" t="n">
        <x:v>5569.06</x:v>
      </x:c>
      <x:c r="C1093" s="34" t="n">
        <x:f>(B1093/B1092-1)*100</x:f>
        <x:v>0.14799948928487794</x:v>
      </x:c>
      <x:c r="D1093" s="34" t="n">
        <x:f>Assumptions!$B$4*D1092+(1-Assumptions!$B$4)*C1092^2</x:f>
        <x:v>5.713933798826492</x:v>
      </x:c>
      <x:c r="E1093" s="34" t="n">
        <x:f>SQRT(D1093)</x:f>
        <x:v>2.3903836091360926</x:v>
      </x:c>
      <x:c r="F1093" s="34" t="n">
        <x:f>-Assumptions!$B$7*E1093</x:f>
        <x:v>3.931831149292854</x:v>
      </x:c>
      <x:c r="G1093" s="34" t="n">
        <x:f>-Assumptions!$B$8*E1093</x:f>
        <x:v>5.56086382725582</x:v>
      </x:c>
      <x:c r="H1093" s="34" t="n">
        <x:f>-Assumptions!$B$9*E1093</x:f>
        <x:v>3.731029621289868</x:v>
      </x:c>
      <x:c r="I1093" s="34" t="n">
        <x:f>-Assumptions!$B$10*E1093</x:f>
        <x:v>6.230447791321071</x:v>
      </x:c>
      <x:c r="J1093" s="36" t="n">
        <x:f>IF(C1093&lt;-F1093,1,0)</x:f>
        <x:v>0</x:v>
      </x:c>
      <x:c r="K1093" s="36" t="n">
        <x:f>IF(C1093&lt;-G1093,1,0)</x:f>
        <x:v>0</x:v>
      </x:c>
      <x:c r="L1093" s="36" t="n">
        <x:f>IF(C1093&lt;-H1093,1,0)</x:f>
        <x:v>0</x:v>
      </x:c>
      <x:c r="M1093" s="36" t="n">
        <x:f>IF(C1093&lt;-I1093,1,0)</x:f>
        <x:v>0</x:v>
      </x:c>
      <x:c r="N1093" s="34" t="n">
        <x:f>-F1093</x:f>
        <x:v>-3.931831149292854</x:v>
      </x:c>
      <x:c r="O1093" s="34" t="n">
        <x:f>-H1093</x:f>
        <x:v>-3.731029621289868</x:v>
      </x:c>
      <x:c r="P1093" s="34" t="n">
        <x:f>-G1093</x:f>
        <x:v>-5.56086382725582</x:v>
      </x:c>
      <x:c r="Q1093" s="34" t="n">
        <x:f>-I1093</x:f>
        <x:v>-6.230447791321071</x:v>
      </x:c>
      <x:c r="R1093" s="36" t="n">
        <x:f>YEAR(A1093)</x:f>
        <x:v>2025</x:v>
      </x:c>
    </x:row>
    <x:row r="1094">
      <x:c r="A1094" s="30" t="n">
        <x:v>45778</x:v>
      </x:c>
      <x:c r="B1094" s="38" t="n">
        <x:v>5604.14</x:v>
      </x:c>
      <x:c r="C1094" s="34" t="n">
        <x:f>(B1094/B1093-1)*100</x:f>
        <x:v>0.6299088176460632</x:v>
      </x:c>
      <x:c r="D1094" s="34" t="n">
        <x:f>Assumptions!$B$4*D1093+(1-Assumptions!$B$4)*C1093^2</x:f>
        <x:v>5.372412001826618</x:v>
      </x:c>
      <x:c r="E1094" s="34" t="n">
        <x:f>SQRT(D1094)</x:f>
        <x:v>2.317846414632906</x:v>
      </x:c>
      <x:c r="F1094" s="34" t="n">
        <x:f>-Assumptions!$B$7*E1094</x:f>
        <x:v>3.812518081825403</x:v>
      </x:c>
      <x:c r="G1094" s="34" t="n">
        <x:f>-Assumptions!$B$8*E1094</x:f>
        <x:v>5.3921170790344455</x:v>
      </x:c>
      <x:c r="H1094" s="34" t="n">
        <x:f>-Assumptions!$B$9*E1094</x:f>
        <x:v>3.6178099605198275</x:v>
      </x:c>
      <x:c r="I1094" s="34" t="n">
        <x:f>-Assumptions!$B$10*E1094</x:f>
        <x:v>6.041382236506485</x:v>
      </x:c>
      <x:c r="J1094" s="36" t="n">
        <x:f>IF(C1094&lt;-F1094,1,0)</x:f>
        <x:v>0</x:v>
      </x:c>
      <x:c r="K1094" s="36" t="n">
        <x:f>IF(C1094&lt;-G1094,1,0)</x:f>
        <x:v>0</x:v>
      </x:c>
      <x:c r="L1094" s="36" t="n">
        <x:f>IF(C1094&lt;-H1094,1,0)</x:f>
        <x:v>0</x:v>
      </x:c>
      <x:c r="M1094" s="36" t="n">
        <x:f>IF(C1094&lt;-I1094,1,0)</x:f>
        <x:v>0</x:v>
      </x:c>
      <x:c r="N1094" s="34" t="n">
        <x:f>-F1094</x:f>
        <x:v>-3.812518081825403</x:v>
      </x:c>
      <x:c r="O1094" s="34" t="n">
        <x:f>-H1094</x:f>
        <x:v>-3.6178099605198275</x:v>
      </x:c>
      <x:c r="P1094" s="34" t="n">
        <x:f>-G1094</x:f>
        <x:v>-5.3921170790344455</x:v>
      </x:c>
      <x:c r="Q1094" s="34" t="n">
        <x:f>-I1094</x:f>
        <x:v>-6.041382236506485</x:v>
      </x:c>
      <x:c r="R1094" s="36" t="n">
        <x:f>YEAR(A1094)</x:f>
        <x:v>2025</x:v>
      </x:c>
    </x:row>
    <x:row r="1095">
      <x:c r="A1095" s="30" t="n">
        <x:v>45779</x:v>
      </x:c>
      <x:c r="B1095" s="38" t="n">
        <x:v>5686.67</x:v>
      </x:c>
      <x:c r="C1095" s="34" t="n">
        <x:f>(B1095/B1094-1)*100</x:f>
        <x:v>1.4726612825518126</x:v>
      </x:c>
      <x:c r="D1095" s="34" t="n">
        <x:f>Assumptions!$B$4*D1094+(1-Assumptions!$B$4)*C1094^2</x:f>
        <x:v>5.073874388829917</x:v>
      </x:c>
      <x:c r="E1095" s="34" t="n">
        <x:f>SQRT(D1095)</x:f>
        <x:v>2.252526223782959</x:v>
      </x:c>
      <x:c r="F1095" s="34" t="n">
        <x:f>-Assumptions!$B$7*E1095</x:f>
        <x:v>3.705075928992705</x:v>
      </x:c>
      <x:c r="G1095" s="34" t="n">
        <x:f>-Assumptions!$B$8*E1095</x:f>
        <x:v>5.2401595919187285</x:v>
      </x:c>
      <x:c r="H1095" s="34" t="n">
        <x:f>-Assumptions!$B$9*E1095</x:f>
        <x:v>3.5158549579846734</x:v>
      </x:c>
      <x:c r="I1095" s="34" t="n">
        <x:f>-Assumptions!$B$10*E1095</x:f>
        <x:v>5.871127538785893</x:v>
      </x:c>
      <x:c r="J1095" s="36" t="n">
        <x:f>IF(C1095&lt;-F1095,1,0)</x:f>
        <x:v>0</x:v>
      </x:c>
      <x:c r="K1095" s="36" t="n">
        <x:f>IF(C1095&lt;-G1095,1,0)</x:f>
        <x:v>0</x:v>
      </x:c>
      <x:c r="L1095" s="36" t="n">
        <x:f>IF(C1095&lt;-H1095,1,0)</x:f>
        <x:v>0</x:v>
      </x:c>
      <x:c r="M1095" s="36" t="n">
        <x:f>IF(C1095&lt;-I1095,1,0)</x:f>
        <x:v>0</x:v>
      </x:c>
      <x:c r="N1095" s="34" t="n">
        <x:f>-F1095</x:f>
        <x:v>-3.705075928992705</x:v>
      </x:c>
      <x:c r="O1095" s="34" t="n">
        <x:f>-H1095</x:f>
        <x:v>-3.5158549579846734</x:v>
      </x:c>
      <x:c r="P1095" s="34" t="n">
        <x:f>-G1095</x:f>
        <x:v>-5.2401595919187285</x:v>
      </x:c>
      <x:c r="Q1095" s="34" t="n">
        <x:f>-I1095</x:f>
        <x:v>-5.871127538785893</x:v>
      </x:c>
      <x:c r="R1095" s="36" t="n">
        <x:f>YEAR(A1095)</x:f>
        <x:v>2025</x:v>
      </x:c>
    </x:row>
    <x:row r="1096">
      <x:c r="A1096" s="30" t="n">
        <x:v>45782</x:v>
      </x:c>
      <x:c r="B1096" s="38" t="n">
        <x:v>5650.38</x:v>
      </x:c>
      <x:c r="C1096" s="34" t="n">
        <x:f>(B1096/B1095-1)*100</x:f>
        <x:v>-0.6381590632127399</x:v>
      </x:c>
      <x:c r="D1096" s="34" t="n">
        <x:f>Assumptions!$B$4*D1095+(1-Assumptions!$B$4)*C1095^2</x:f>
        <x:v>4.899565800687751</x:v>
      </x:c>
      <x:c r="E1096" s="34" t="n">
        <x:f>SQRT(D1096)</x:f>
        <x:v>2.213496284317584</x:v>
      </x:c>
      <x:c r="F1096" s="34" t="n">
        <x:f>-Assumptions!$B$7*E1096</x:f>
        <x:v>3.6408773915033863</x:v>
      </x:c>
      <x:c r="G1096" s="34" t="n">
        <x:f>-Assumptions!$B$8*E1096</x:f>
        <x:v>5.149362375219511</x:v>
      </x:c>
      <x:c r="H1096" s="34" t="n">
        <x:f>-Assumptions!$B$9*E1096</x:f>
        <x:v>3.454935087338851</x:v>
      </x:c>
      <x:c r="I1096" s="34" t="n">
        <x:f>-Assumptions!$B$10*E1096</x:f>
        <x:v>5.769397423498947</x:v>
      </x:c>
      <x:c r="J1096" s="36" t="n">
        <x:f>IF(C1096&lt;-F1096,1,0)</x:f>
        <x:v>0</x:v>
      </x:c>
      <x:c r="K1096" s="36" t="n">
        <x:f>IF(C1096&lt;-G1096,1,0)</x:f>
        <x:v>0</x:v>
      </x:c>
      <x:c r="L1096" s="36" t="n">
        <x:f>IF(C1096&lt;-H1096,1,0)</x:f>
        <x:v>0</x:v>
      </x:c>
      <x:c r="M1096" s="36" t="n">
        <x:f>IF(C1096&lt;-I1096,1,0)</x:f>
        <x:v>0</x:v>
      </x:c>
      <x:c r="N1096" s="34" t="n">
        <x:f>-F1096</x:f>
        <x:v>-3.6408773915033863</x:v>
      </x:c>
      <x:c r="O1096" s="34" t="n">
        <x:f>-H1096</x:f>
        <x:v>-3.454935087338851</x:v>
      </x:c>
      <x:c r="P1096" s="34" t="n">
        <x:f>-G1096</x:f>
        <x:v>-5.149362375219511</x:v>
      </x:c>
      <x:c r="Q1096" s="34" t="n">
        <x:f>-I1096</x:f>
        <x:v>-5.769397423498947</x:v>
      </x:c>
      <x:c r="R1096" s="36" t="n">
        <x:f>YEAR(A1096)</x:f>
        <x:v>2025</x:v>
      </x:c>
    </x:row>
    <x:row r="1097">
      <x:c r="A1097" s="30" t="n">
        <x:v>45783</x:v>
      </x:c>
      <x:c r="B1097" s="38" t="n">
        <x:v>5606.91</x:v>
      </x:c>
      <x:c r="C1097" s="34" t="n">
        <x:f>(B1097/B1096-1)*100</x:f>
        <x:v>-0.7693287885062627</x:v>
      </x:c>
      <x:c r="D1097" s="34" t="n">
        <x:f>Assumptions!$B$4*D1096+(1-Assumptions!$B$4)*C1096^2</x:f>
        <x:v>4.630026672044119</x:v>
      </x:c>
      <x:c r="E1097" s="34" t="n">
        <x:f>SQRT(D1097)</x:f>
        <x:v>2.1517496769011304</x:v>
      </x:c>
      <x:c r="F1097" s="34" t="n">
        <x:f>-Assumptions!$B$7*E1097</x:f>
        <x:v>3.5393132603424844</x:v>
      </x:c>
      <x:c r="G1097" s="34" t="n">
        <x:f>-Assumptions!$B$8*E1097</x:f>
        <x:v>5.00571828632701</x:v>
      </x:c>
      <x:c r="H1097" s="34" t="n">
        <x:f>-Assumptions!$B$9*E1097</x:f>
        <x:v>3.3585579115565065</x:v>
      </x:c>
      <x:c r="I1097" s="34" t="n">
        <x:f>-Assumptions!$B$10*E1097</x:f>
        <x:v>5.608457140805807</x:v>
      </x:c>
      <x:c r="J1097" s="36" t="n">
        <x:f>IF(C1097&lt;-F1097,1,0)</x:f>
        <x:v>0</x:v>
      </x:c>
      <x:c r="K1097" s="36" t="n">
        <x:f>IF(C1097&lt;-G1097,1,0)</x:f>
        <x:v>0</x:v>
      </x:c>
      <x:c r="L1097" s="36" t="n">
        <x:f>IF(C1097&lt;-H1097,1,0)</x:f>
        <x:v>0</x:v>
      </x:c>
      <x:c r="M1097" s="36" t="n">
        <x:f>IF(C1097&lt;-I1097,1,0)</x:f>
        <x:v>0</x:v>
      </x:c>
      <x:c r="N1097" s="34" t="n">
        <x:f>-F1097</x:f>
        <x:v>-3.5393132603424844</x:v>
      </x:c>
      <x:c r="O1097" s="34" t="n">
        <x:f>-H1097</x:f>
        <x:v>-3.3585579115565065</x:v>
      </x:c>
      <x:c r="P1097" s="34" t="n">
        <x:f>-G1097</x:f>
        <x:v>-5.00571828632701</x:v>
      </x:c>
      <x:c r="Q1097" s="34" t="n">
        <x:f>-I1097</x:f>
        <x:v>-5.608457140805807</x:v>
      </x:c>
      <x:c r="R1097" s="36" t="n">
        <x:f>YEAR(A1097)</x:f>
        <x:v>2025</x:v>
      </x:c>
    </x:row>
    <x:row r="1098">
      <x:c r="A1098" s="30" t="n">
        <x:v>45784</x:v>
      </x:c>
      <x:c r="B1098" s="38" t="n">
        <x:v>5631.28</x:v>
      </x:c>
      <x:c r="C1098" s="34" t="n">
        <x:f>(B1098/B1097-1)*100</x:f>
        <x:v>0.43464225393308187</x:v>
      </x:c>
      <x:c r="D1098" s="34" t="n">
        <x:f>Assumptions!$B$4*D1097+(1-Assumptions!$B$4)*C1097^2</x:f>
        <x:v>4.387737078810942</x:v>
      </x:c>
      <x:c r="E1098" s="34" t="n">
        <x:f>SQRT(D1098)</x:f>
        <x:v>2.094692597688487</x:v>
      </x:c>
      <x:c r="F1098" s="34" t="n">
        <x:f>-Assumptions!$B$7*E1098</x:f>
        <x:v>3.44546271665631</x:v>
      </x:c>
      <x:c r="G1098" s="34" t="n">
        <x:f>-Assumptions!$B$8*E1098</x:f>
        <x:v>4.8729836714016965</x:v>
      </x:c>
      <x:c r="H1098" s="34" t="n">
        <x:f>-Assumptions!$B$9*E1098</x:f>
        <x:v>3.2695003846252573</x:v>
      </x:c>
      <x:c r="I1098" s="34" t="n">
        <x:f>-Assumptions!$B$10*E1098</x:f>
        <x:v>5.4597399425281115</x:v>
      </x:c>
      <x:c r="J1098" s="36" t="n">
        <x:f>IF(C1098&lt;-F1098,1,0)</x:f>
        <x:v>0</x:v>
      </x:c>
      <x:c r="K1098" s="36" t="n">
        <x:f>IF(C1098&lt;-G1098,1,0)</x:f>
        <x:v>0</x:v>
      </x:c>
      <x:c r="L1098" s="36" t="n">
        <x:f>IF(C1098&lt;-H1098,1,0)</x:f>
        <x:v>0</x:v>
      </x:c>
      <x:c r="M1098" s="36" t="n">
        <x:f>IF(C1098&lt;-I1098,1,0)</x:f>
        <x:v>0</x:v>
      </x:c>
      <x:c r="N1098" s="34" t="n">
        <x:f>-F1098</x:f>
        <x:v>-3.44546271665631</x:v>
      </x:c>
      <x:c r="O1098" s="34" t="n">
        <x:f>-H1098</x:f>
        <x:v>-3.2695003846252573</x:v>
      </x:c>
      <x:c r="P1098" s="34" t="n">
        <x:f>-G1098</x:f>
        <x:v>-4.8729836714016965</x:v>
      </x:c>
      <x:c r="Q1098" s="34" t="n">
        <x:f>-I1098</x:f>
        <x:v>-5.4597399425281115</x:v>
      </x:c>
      <x:c r="R1098" s="36" t="n">
        <x:f>YEAR(A1098)</x:f>
        <x:v>2025</x:v>
      </x:c>
    </x:row>
    <x:row r="1099">
      <x:c r="A1099" s="30" t="n">
        <x:v>45785</x:v>
      </x:c>
      <x:c r="B1099" s="38" t="n">
        <x:v>5663.94</x:v>
      </x:c>
      <x:c r="C1099" s="34" t="n">
        <x:f>(B1099/B1098-1)*100</x:f>
        <x:v>0.5799747126763233</x:v>
      </x:c>
      <x:c r="D1099" s="34" t="n">
        <x:f>Assumptions!$B$4*D1098+(1-Assumptions!$B$4)*C1098^2</x:f>
        <x:v>4.135807687416527</x:v>
      </x:c>
      <x:c r="E1099" s="34" t="n">
        <x:f>SQRT(D1099)</x:f>
        <x:v>2.0336685293863717</x:v>
      </x:c>
      <x:c r="F1099" s="34" t="n">
        <x:f>-Assumptions!$B$7*E1099</x:f>
        <x:v>3.3450870565782416</x:v>
      </x:c>
      <x:c r="G1099" s="34" t="n">
        <x:f>-Assumptions!$B$8*E1099</x:f>
        <x:v>4.731020459841748</x:v>
      </x:c>
      <x:c r="H1099" s="34" t="n">
        <x:f>-Assumptions!$B$9*E1099</x:f>
        <x:v>3.1742509838275774</x:v>
      </x:c>
      <x:c r="I1099" s="34" t="n">
        <x:f>-Assumptions!$B$10*E1099</x:f>
        <x:v>5.300682931713118</x:v>
      </x:c>
      <x:c r="J1099" s="36" t="n">
        <x:f>IF(C1099&lt;-F1099,1,0)</x:f>
        <x:v>0</x:v>
      </x:c>
      <x:c r="K1099" s="36" t="n">
        <x:f>IF(C1099&lt;-G1099,1,0)</x:f>
        <x:v>0</x:v>
      </x:c>
      <x:c r="L1099" s="36" t="n">
        <x:f>IF(C1099&lt;-H1099,1,0)</x:f>
        <x:v>0</x:v>
      </x:c>
      <x:c r="M1099" s="36" t="n">
        <x:f>IF(C1099&lt;-I1099,1,0)</x:f>
        <x:v>0</x:v>
      </x:c>
      <x:c r="N1099" s="34" t="n">
        <x:f>-F1099</x:f>
        <x:v>-3.3450870565782416</x:v>
      </x:c>
      <x:c r="O1099" s="34" t="n">
        <x:f>-H1099</x:f>
        <x:v>-3.1742509838275774</x:v>
      </x:c>
      <x:c r="P1099" s="34" t="n">
        <x:f>-G1099</x:f>
        <x:v>-4.731020459841748</x:v>
      </x:c>
      <x:c r="Q1099" s="34" t="n">
        <x:f>-I1099</x:f>
        <x:v>-5.300682931713118</x:v>
      </x:c>
      <x:c r="R1099" s="36" t="n">
        <x:f>YEAR(A1099)</x:f>
        <x:v>2025</x:v>
      </x:c>
    </x:row>
    <x:row r="1100">
      <x:c r="A1100" s="30" t="n">
        <x:v>45786</x:v>
      </x:c>
      <x:c r="B1100" s="38" t="n">
        <x:v>5659.91</x:v>
      </x:c>
      <x:c r="C1100" s="34" t="n">
        <x:f>(B1100/B1099-1)*100</x:f>
        <x:v>-0.07115188367108338</x:v>
      </x:c>
      <x:c r="D1100" s="34" t="n">
        <x:f>Assumptions!$B$4*D1099+(1-Assumptions!$B$4)*C1099^2</x:f>
        <x:v>3.907841466212174</x:v>
      </x:c>
      <x:c r="E1100" s="34" t="n">
        <x:f>SQRT(D1100)</x:f>
        <x:v>1.9768261092499193</x:v>
      </x:c>
      <x:c r="F1100" s="34" t="n">
        <x:f>-Assumptions!$B$7*E1100</x:f>
        <x:v>3.2515895956520984</x:v>
      </x:c>
      <x:c r="G1100" s="34" t="n">
        <x:f>-Assumptions!$B$8*E1100</x:f>
        <x:v>4.598785216601976</x:v>
      </x:c>
      <x:c r="H1100" s="34" t="n">
        <x:f>-Assumptions!$B$9*E1100</x:f>
        <x:v>3.085528507458374</x:v>
      </x:c>
      <x:c r="I1100" s="34" t="n">
        <x:f>-Assumptions!$B$10*E1100</x:f>
        <x:v>5.152525234497106</x:v>
      </x:c>
      <x:c r="J1100" s="36" t="n">
        <x:f>IF(C1100&lt;-F1100,1,0)</x:f>
        <x:v>0</x:v>
      </x:c>
      <x:c r="K1100" s="36" t="n">
        <x:f>IF(C1100&lt;-G1100,1,0)</x:f>
        <x:v>0</x:v>
      </x:c>
      <x:c r="L1100" s="36" t="n">
        <x:f>IF(C1100&lt;-H1100,1,0)</x:f>
        <x:v>0</x:v>
      </x:c>
      <x:c r="M1100" s="36" t="n">
        <x:f>IF(C1100&lt;-I1100,1,0)</x:f>
        <x:v>0</x:v>
      </x:c>
      <x:c r="N1100" s="34" t="n">
        <x:f>-F1100</x:f>
        <x:v>-3.2515895956520984</x:v>
      </x:c>
      <x:c r="O1100" s="34" t="n">
        <x:f>-H1100</x:f>
        <x:v>-3.085528507458374</x:v>
      </x:c>
      <x:c r="P1100" s="34" t="n">
        <x:f>-G1100</x:f>
        <x:v>-4.598785216601976</x:v>
      </x:c>
      <x:c r="Q1100" s="34" t="n">
        <x:f>-I1100</x:f>
        <x:v>-5.152525234497106</x:v>
      </x:c>
      <x:c r="R1100" s="36" t="n">
        <x:f>YEAR(A1100)</x:f>
        <x:v>2025</x:v>
      </x:c>
    </x:row>
    <x:row r="1101">
      <x:c r="A1101" s="30" t="n">
        <x:v>45789</x:v>
      </x:c>
      <x:c r="B1101" s="38" t="n">
        <x:v>5844.19</x:v>
      </x:c>
      <x:c r="C1101" s="34" t="n">
        <x:f>(B1101/B1100-1)*100</x:f>
        <x:v>3.255882160670387</x:v>
      </x:c>
      <x:c r="D1101" s="34" t="n">
        <x:f>Assumptions!$B$4*D1100+(1-Assumptions!$B$4)*C1100^2</x:f>
        <x:v>3.6736747336724402</x:v>
      </x:c>
      <x:c r="E1101" s="34" t="n">
        <x:f>SQRT(D1101)</x:f>
        <x:v>1.9166832637847184</x:v>
      </x:c>
      <x:c r="F1101" s="34" t="n">
        <x:f>-Assumptions!$B$7*E1101</x:f>
        <x:v>3.1526634181534807</x:v>
      </x:c>
      <x:c r="G1101" s="34" t="n">
        <x:f>-Assumptions!$B$8*E1101</x:f>
        <x:v>4.458872035915239</x:v>
      </x:c>
      <x:c r="H1101" s="34" t="n">
        <x:f>-Assumptions!$B$9*E1101</x:f>
        <x:v>2.9916545630915863</x:v>
      </x:c>
      <x:c r="I1101" s="34" t="n">
        <x:f>-Assumptions!$B$10*E1101</x:f>
        <x:v>4.995765098902028</x:v>
      </x:c>
      <x:c r="J1101" s="36" t="n">
        <x:f>IF(C1101&lt;-F1101,1,0)</x:f>
        <x:v>0</x:v>
      </x:c>
      <x:c r="K1101" s="36" t="n">
        <x:f>IF(C1101&lt;-G1101,1,0)</x:f>
        <x:v>0</x:v>
      </x:c>
      <x:c r="L1101" s="36" t="n">
        <x:f>IF(C1101&lt;-H1101,1,0)</x:f>
        <x:v>0</x:v>
      </x:c>
      <x:c r="M1101" s="36" t="n">
        <x:f>IF(C1101&lt;-I1101,1,0)</x:f>
        <x:v>0</x:v>
      </x:c>
      <x:c r="N1101" s="34" t="n">
        <x:f>-F1101</x:f>
        <x:v>-3.1526634181534807</x:v>
      </x:c>
      <x:c r="O1101" s="34" t="n">
        <x:f>-H1101</x:f>
        <x:v>-2.9916545630915863</x:v>
      </x:c>
      <x:c r="P1101" s="34" t="n">
        <x:f>-G1101</x:f>
        <x:v>-4.458872035915239</x:v>
      </x:c>
      <x:c r="Q1101" s="34" t="n">
        <x:f>-I1101</x:f>
        <x:v>-4.995765098902028</x:v>
      </x:c>
      <x:c r="R1101" s="36" t="n">
        <x:f>YEAR(A1101)</x:f>
        <x:v>2025</x:v>
      </x:c>
    </x:row>
    <x:row r="1102">
      <x:c r="A1102" s="30" t="n">
        <x:v>45790</x:v>
      </x:c>
      <x:c r="B1102" s="38" t="n">
        <x:v>5886.55</x:v>
      </x:c>
      <x:c r="C1102" s="34" t="n">
        <x:f>(B1102/B1101-1)*100</x:f>
        <x:v>0.7248224304822415</x:v>
      </x:c>
      <x:c r="D1102" s="34" t="n">
        <x:f>Assumptions!$B$4*D1101+(1-Assumptions!$B$4)*C1101^2</x:f>
        <x:v>4.0893003683023945</x:v>
      </x:c>
      <x:c r="E1102" s="34" t="n">
        <x:f>SQRT(D1102)</x:f>
        <x:v>2.0222018614130475</x:v>
      </x:c>
      <x:c r="F1102" s="34" t="n">
        <x:f>-Assumptions!$B$7*E1102</x:f>
        <x:v>3.326226066173271</x:v>
      </x:c>
      <x:c r="G1102" s="34" t="n">
        <x:f>-Assumptions!$B$8*E1102</x:f>
        <x:v>4.704345001179673</x:v>
      </x:c>
      <x:c r="H1102" s="34" t="n">
        <x:f>-Assumptions!$B$9*E1102</x:f>
        <x:v>3.1563532381676533</x:v>
      </x:c>
      <x:c r="I1102" s="34" t="n">
        <x:f>-Assumptions!$B$10*E1102</x:f>
        <x:v>5.270795479391594</x:v>
      </x:c>
      <x:c r="J1102" s="36" t="n">
        <x:f>IF(C1102&lt;-F1102,1,0)</x:f>
        <x:v>0</x:v>
      </x:c>
      <x:c r="K1102" s="36" t="n">
        <x:f>IF(C1102&lt;-G1102,1,0)</x:f>
        <x:v>0</x:v>
      </x:c>
      <x:c r="L1102" s="36" t="n">
        <x:f>IF(C1102&lt;-H1102,1,0)</x:f>
        <x:v>0</x:v>
      </x:c>
      <x:c r="M1102" s="36" t="n">
        <x:f>IF(C1102&lt;-I1102,1,0)</x:f>
        <x:v>0</x:v>
      </x:c>
      <x:c r="N1102" s="34" t="n">
        <x:f>-F1102</x:f>
        <x:v>-3.326226066173271</x:v>
      </x:c>
      <x:c r="O1102" s="34" t="n">
        <x:f>-H1102</x:f>
        <x:v>-3.1563532381676533</x:v>
      </x:c>
      <x:c r="P1102" s="34" t="n">
        <x:f>-G1102</x:f>
        <x:v>-4.704345001179673</x:v>
      </x:c>
      <x:c r="Q1102" s="34" t="n">
        <x:f>-I1102</x:f>
        <x:v>-5.270795479391594</x:v>
      </x:c>
      <x:c r="R1102" s="36" t="n">
        <x:f>YEAR(A1102)</x:f>
        <x:v>2025</x:v>
      </x:c>
    </x:row>
    <x:row r="1103">
      <x:c r="A1103" s="30" t="n">
        <x:v>45791</x:v>
      </x:c>
      <x:c r="B1103" s="38" t="n">
        <x:v>5892.58</x:v>
      </x:c>
      <x:c r="C1103" s="34" t="n">
        <x:f>(B1103/B1102-1)*100</x:f>
        <x:v>0.1024369112638146</x:v>
      </x:c>
      <x:c r="D1103" s="34" t="n">
        <x:f>Assumptions!$B$4*D1102+(1-Assumptions!$B$4)*C1102^2</x:f>
        <x:v>3.8754643995480618</x:v>
      </x:c>
      <x:c r="E1103" s="34" t="n">
        <x:f>SQRT(D1103)</x:f>
        <x:v>1.9686199225721712</x:v>
      </x:c>
      <x:c r="F1103" s="34" t="n">
        <x:f>-Assumptions!$B$7*E1103</x:f>
        <x:v>3.2380916197317635</x:v>
      </x:c>
      <x:c r="G1103" s="34" t="n">
        <x:f>-Assumptions!$B$8*E1103</x:f>
        <x:v>4.579694771670214</x:v>
      </x:c>
      <x:c r="H1103" s="34" t="n">
        <x:f>-Assumptions!$B$9*E1103</x:f>
        <x:v>3.0727198831624696</x:v>
      </x:c>
      <x:c r="I1103" s="34" t="n">
        <x:f>-Assumptions!$B$10*E1103</x:f>
        <x:v>5.131136107887414</x:v>
      </x:c>
      <x:c r="J1103" s="36" t="n">
        <x:f>IF(C1103&lt;-F1103,1,0)</x:f>
        <x:v>0</x:v>
      </x:c>
      <x:c r="K1103" s="36" t="n">
        <x:f>IF(C1103&lt;-G1103,1,0)</x:f>
        <x:v>0</x:v>
      </x:c>
      <x:c r="L1103" s="36" t="n">
        <x:f>IF(C1103&lt;-H1103,1,0)</x:f>
        <x:v>0</x:v>
      </x:c>
      <x:c r="M1103" s="36" t="n">
        <x:f>IF(C1103&lt;-I1103,1,0)</x:f>
        <x:v>0</x:v>
      </x:c>
      <x:c r="N1103" s="34" t="n">
        <x:f>-F1103</x:f>
        <x:v>-3.2380916197317635</x:v>
      </x:c>
      <x:c r="O1103" s="34" t="n">
        <x:f>-H1103</x:f>
        <x:v>-3.0727198831624696</x:v>
      </x:c>
      <x:c r="P1103" s="34" t="n">
        <x:f>-G1103</x:f>
        <x:v>-4.579694771670214</x:v>
      </x:c>
      <x:c r="Q1103" s="34" t="n">
        <x:f>-I1103</x:f>
        <x:v>-5.131136107887414</x:v>
      </x:c>
      <x:c r="R1103" s="36" t="n">
        <x:f>YEAR(A1103)</x:f>
        <x:v>2025</x:v>
      </x:c>
    </x:row>
    <x:row r="1104">
      <x:c r="A1104" s="30" t="n">
        <x:v>45792</x:v>
      </x:c>
      <x:c r="B1104" s="38" t="n">
        <x:v>5916.93</x:v>
      </x:c>
      <x:c r="C1104" s="34" t="n">
        <x:f>(B1104/B1103-1)*100</x:f>
        <x:v>0.41323155561741043</x:v>
      </x:c>
      <x:c r="D1104" s="34" t="n">
        <x:f>Assumptions!$B$4*D1103+(1-Assumptions!$B$4)*C1103^2</x:f>
        <x:v>3.643566134822534</x:v>
      </x:c>
      <x:c r="E1104" s="34" t="n">
        <x:f>SQRT(D1104)</x:f>
        <x:v>1.9088127553069563</x:v>
      </x:c>
      <x:c r="F1104" s="34" t="n">
        <x:f>-Assumptions!$B$7*E1104</x:f>
        <x:v>3.1397175837378812</x:v>
      </x:c>
      <x:c r="G1104" s="34" t="n">
        <x:f>-Assumptions!$B$8*E1104</x:f>
        <x:v>4.440562495250377</x:v>
      </x:c>
      <x:c r="H1104" s="34" t="n">
        <x:f>-Assumptions!$B$9*E1104</x:f>
        <x:v>2.9793698820249532</x:v>
      </x:c>
      <x:c r="I1104" s="34" t="n">
        <x:f>-Assumptions!$B$10*E1104</x:f>
        <x:v>4.975250905291251</x:v>
      </x:c>
      <x:c r="J1104" s="36" t="n">
        <x:f>IF(C1104&lt;-F1104,1,0)</x:f>
        <x:v>0</x:v>
      </x:c>
      <x:c r="K1104" s="36" t="n">
        <x:f>IF(C1104&lt;-G1104,1,0)</x:f>
        <x:v>0</x:v>
      </x:c>
      <x:c r="L1104" s="36" t="n">
        <x:f>IF(C1104&lt;-H1104,1,0)</x:f>
        <x:v>0</x:v>
      </x:c>
      <x:c r="M1104" s="36" t="n">
        <x:f>IF(C1104&lt;-I1104,1,0)</x:f>
        <x:v>0</x:v>
      </x:c>
      <x:c r="N1104" s="34" t="n">
        <x:f>-F1104</x:f>
        <x:v>-3.1397175837378812</x:v>
      </x:c>
      <x:c r="O1104" s="34" t="n">
        <x:f>-H1104</x:f>
        <x:v>-2.9793698820249532</x:v>
      </x:c>
      <x:c r="P1104" s="34" t="n">
        <x:f>-G1104</x:f>
        <x:v>-4.440562495250377</x:v>
      </x:c>
      <x:c r="Q1104" s="34" t="n">
        <x:f>-I1104</x:f>
        <x:v>-4.975250905291251</x:v>
      </x:c>
      <x:c r="R1104" s="36" t="n">
        <x:f>YEAR(A1104)</x:f>
        <x:v>2025</x:v>
      </x:c>
    </x:row>
    <x:row r="1105">
      <x:c r="A1105" s="30" t="n">
        <x:v>45793</x:v>
      </x:c>
      <x:c r="B1105" s="38" t="n">
        <x:v>5958.38</x:v>
      </x:c>
      <x:c r="C1105" s="34" t="n">
        <x:f>(B1105/B1104-1)*100</x:f>
        <x:v>0.7005322016653937</x:v>
      </x:c>
      <x:c r="D1105" s="34" t="n">
        <x:f>Assumptions!$B$4*D1104+(1-Assumptions!$B$4)*C1104^2</x:f>
        <x:v>3.4351977858466607</x:v>
      </x:c>
      <x:c r="E1105" s="34" t="n">
        <x:f>SQRT(D1105)</x:f>
        <x:v>1.8534286567997864</x:v>
      </x:c>
      <x:c r="F1105" s="34" t="n">
        <x:f>-Assumptions!$B$7*E1105</x:f>
        <x:v>3.048618848432925</x:v>
      </x:c>
      <x:c r="G1105" s="34" t="n">
        <x:f>-Assumptions!$B$8*E1105</x:f>
        <x:v>4.311719815432554</x:v>
      </x:c>
      <x:c r="H1105" s="34" t="n">
        <x:f>-Assumptions!$B$9*E1105</x:f>
        <x:v>2.8929236265833977</x:v>
      </x:c>
      <x:c r="I1105" s="34" t="n">
        <x:f>-Assumptions!$B$10*E1105</x:f>
        <x:v>4.830894270272734</x:v>
      </x:c>
      <x:c r="J1105" s="36" t="n">
        <x:f>IF(C1105&lt;-F1105,1,0)</x:f>
        <x:v>0</x:v>
      </x:c>
      <x:c r="K1105" s="36" t="n">
        <x:f>IF(C1105&lt;-G1105,1,0)</x:f>
        <x:v>0</x:v>
      </x:c>
      <x:c r="L1105" s="36" t="n">
        <x:f>IF(C1105&lt;-H1105,1,0)</x:f>
        <x:v>0</x:v>
      </x:c>
      <x:c r="M1105" s="36" t="n">
        <x:f>IF(C1105&lt;-I1105,1,0)</x:f>
        <x:v>0</x:v>
      </x:c>
      <x:c r="N1105" s="34" t="n">
        <x:f>-F1105</x:f>
        <x:v>-3.048618848432925</x:v>
      </x:c>
      <x:c r="O1105" s="34" t="n">
        <x:f>-H1105</x:f>
        <x:v>-2.8929236265833977</x:v>
      </x:c>
      <x:c r="P1105" s="34" t="n">
        <x:f>-G1105</x:f>
        <x:v>-4.311719815432554</x:v>
      </x:c>
      <x:c r="Q1105" s="34" t="n">
        <x:f>-I1105</x:f>
        <x:v>-4.830894270272734</x:v>
      </x:c>
      <x:c r="R1105" s="36" t="n">
        <x:f>YEAR(A1105)</x:f>
        <x:v>2025</x:v>
      </x:c>
    </x:row>
    <x:row r="1106">
      <x:c r="A1106" s="30" t="n">
        <x:v>45796</x:v>
      </x:c>
      <x:c r="B1106" s="38" t="n">
        <x:v>5963.6</x:v>
      </x:c>
      <x:c r="C1106" s="34" t="n">
        <x:f>(B1106/B1105-1)*100</x:f>
        <x:v>0.0876077054501545</x:v>
      </x:c>
      <x:c r="D1106" s="34" t="n">
        <x:f>Assumptions!$B$4*D1105+(1-Assumptions!$B$4)*C1105^2</x:f>
        <x:v>3.2585306406300707</x:v>
      </x:c>
      <x:c r="E1106" s="34" t="n">
        <x:f>SQRT(D1106)</x:f>
        <x:v>1.8051400612224169</x:v>
      </x:c>
      <x:c r="F1106" s="34" t="n">
        <x:f>-Assumptions!$B$7*E1106</x:f>
        <x:v>2.969191176857096</x:v>
      </x:c>
      <x:c r="G1106" s="34" t="n">
        <x:f>-Assumptions!$B$8*E1106</x:f>
        <x:v>4.1993837437707215</x:v>
      </x:c>
      <x:c r="H1106" s="34" t="n">
        <x:f>-Assumptions!$B$9*E1106</x:f>
        <x:v>2.8175523850048267</x:v>
      </x:c>
      <x:c r="I1106" s="34" t="n">
        <x:f>-Assumptions!$B$10*E1106</x:f>
        <x:v>4.7050318051390505</x:v>
      </x:c>
      <x:c r="J1106" s="36" t="n">
        <x:f>IF(C1106&lt;-F1106,1,0)</x:f>
        <x:v>0</x:v>
      </x:c>
      <x:c r="K1106" s="36" t="n">
        <x:f>IF(C1106&lt;-G1106,1,0)</x:f>
        <x:v>0</x:v>
      </x:c>
      <x:c r="L1106" s="36" t="n">
        <x:f>IF(C1106&lt;-H1106,1,0)</x:f>
        <x:v>0</x:v>
      </x:c>
      <x:c r="M1106" s="36" t="n">
        <x:f>IF(C1106&lt;-I1106,1,0)</x:f>
        <x:v>0</x:v>
      </x:c>
      <x:c r="N1106" s="34" t="n">
        <x:f>-F1106</x:f>
        <x:v>-2.969191176857096</x:v>
      </x:c>
      <x:c r="O1106" s="34" t="n">
        <x:f>-H1106</x:f>
        <x:v>-2.8175523850048267</x:v>
      </x:c>
      <x:c r="P1106" s="34" t="n">
        <x:f>-G1106</x:f>
        <x:v>-4.1993837437707215</x:v>
      </x:c>
      <x:c r="Q1106" s="34" t="n">
        <x:f>-I1106</x:f>
        <x:v>-4.7050318051390505</x:v>
      </x:c>
      <x:c r="R1106" s="36" t="n">
        <x:f>YEAR(A1106)</x:f>
        <x:v>2025</x:v>
      </x:c>
    </x:row>
    <x:row r="1107">
      <x:c r="A1107" s="30" t="n">
        <x:v>45797</x:v>
      </x:c>
      <x:c r="B1107" s="38" t="n">
        <x:v>5940.46</x:v>
      </x:c>
      <x:c r="C1107" s="34" t="n">
        <x:f>(B1107/B1106-1)*100</x:f>
        <x:v>-0.38802065866255786</x:v>
      </x:c>
      <x:c r="D1107" s="34" t="n">
        <x:f>Assumptions!$B$4*D1106+(1-Assumptions!$B$4)*C1106^2</x:f>
        <x:v>3.0634793087955208</x:v>
      </x:c>
      <x:c r="E1107" s="34" t="n">
        <x:f>SQRT(D1107)</x:f>
        <x:v>1.7502797801481684</x:v>
      </x:c>
      <x:c r="F1107" s="34" t="n">
        <x:f>-Assumptions!$B$7*E1107</x:f>
        <x:v>2.8789540445565414</x:v>
      </x:c>
      <x:c r="G1107" s="34" t="n">
        <x:f>-Assumptions!$B$8*E1107</x:f>
        <x:v>4.071759645524361</x:v>
      </x:c>
      <x:c r="H1107" s="34" t="n">
        <x:f>-Assumptions!$B$9*E1107</x:f>
        <x:v>2.7319237298642887</x:v>
      </x:c>
      <x:c r="I1107" s="34" t="n">
        <x:f>-Assumptions!$B$10*E1107</x:f>
        <x:v>4.56204048117585</x:v>
      </x:c>
      <x:c r="J1107" s="36" t="n">
        <x:f>IF(C1107&lt;-F1107,1,0)</x:f>
        <x:v>0</x:v>
      </x:c>
      <x:c r="K1107" s="36" t="n">
        <x:f>IF(C1107&lt;-G1107,1,0)</x:f>
        <x:v>0</x:v>
      </x:c>
      <x:c r="L1107" s="36" t="n">
        <x:f>IF(C1107&lt;-H1107,1,0)</x:f>
        <x:v>0</x:v>
      </x:c>
      <x:c r="M1107" s="36" t="n">
        <x:f>IF(C1107&lt;-I1107,1,0)</x:f>
        <x:v>0</x:v>
      </x:c>
      <x:c r="N1107" s="34" t="n">
        <x:f>-F1107</x:f>
        <x:v>-2.8789540445565414</x:v>
      </x:c>
      <x:c r="O1107" s="34" t="n">
        <x:f>-H1107</x:f>
        <x:v>-2.7319237298642887</x:v>
      </x:c>
      <x:c r="P1107" s="34" t="n">
        <x:f>-G1107</x:f>
        <x:v>-4.071759645524361</x:v>
      </x:c>
      <x:c r="Q1107" s="34" t="n">
        <x:f>-I1107</x:f>
        <x:v>-4.56204048117585</x:v>
      </x:c>
      <x:c r="R1107" s="36" t="n">
        <x:f>YEAR(A1107)</x:f>
        <x:v>2025</x:v>
      </x:c>
    </x:row>
    <x:row r="1108">
      <x:c r="A1108" s="30" t="n">
        <x:v>45798</x:v>
      </x:c>
      <x:c r="B1108" s="38" t="n">
        <x:v>5844.61</x:v>
      </x:c>
      <x:c r="C1108" s="34" t="n">
        <x:f>(B1108/B1107-1)*100</x:f>
        <x:v>-1.6135114115741978</x:v>
      </x:c>
      <x:c r="D1108" s="34" t="n">
        <x:f>Assumptions!$B$4*D1107+(1-Assumptions!$B$4)*C1107^2</x:f>
        <x:v>2.888704152160725</x:v>
      </x:c>
      <x:c r="E1108" s="34" t="n">
        <x:f>SQRT(D1108)</x:f>
        <x:v>1.6996188255490479</x:v>
      </x:c>
      <x:c r="F1108" s="34" t="n">
        <x:f>-Assumptions!$B$7*E1108</x:f>
        <x:v>2.795624189639354</x:v>
      </x:c>
      <x:c r="G1108" s="34" t="n">
        <x:f>-Assumptions!$B$8*E1108</x:f>
        <x:v>3.9539046414958174</x:v>
      </x:c>
      <x:c r="H1108" s="34" t="n">
        <x:f>-Assumptions!$B$9*E1108</x:f>
        <x:v>2.6528495923368594</x:v>
      </x:c>
      <x:c r="I1108" s="34" t="n">
        <x:f>-Assumptions!$B$10*E1108</x:f>
        <x:v>4.429994548681198</x:v>
      </x:c>
      <x:c r="J1108" s="36" t="n">
        <x:f>IF(C1108&lt;-F1108,1,0)</x:f>
        <x:v>0</x:v>
      </x:c>
      <x:c r="K1108" s="36" t="n">
        <x:f>IF(C1108&lt;-G1108,1,0)</x:f>
        <x:v>0</x:v>
      </x:c>
      <x:c r="L1108" s="36" t="n">
        <x:f>IF(C1108&lt;-H1108,1,0)</x:f>
        <x:v>0</x:v>
      </x:c>
      <x:c r="M1108" s="36" t="n">
        <x:f>IF(C1108&lt;-I1108,1,0)</x:f>
        <x:v>0</x:v>
      </x:c>
      <x:c r="N1108" s="34" t="n">
        <x:f>-F1108</x:f>
        <x:v>-2.795624189639354</x:v>
      </x:c>
      <x:c r="O1108" s="34" t="n">
        <x:f>-H1108</x:f>
        <x:v>-2.6528495923368594</x:v>
      </x:c>
      <x:c r="P1108" s="34" t="n">
        <x:f>-G1108</x:f>
        <x:v>-3.9539046414958174</x:v>
      </x:c>
      <x:c r="Q1108" s="34" t="n">
        <x:f>-I1108</x:f>
        <x:v>-4.429994548681198</x:v>
      </x:c>
      <x:c r="R1108" s="36" t="n">
        <x:f>YEAR(A1108)</x:f>
        <x:v>2025</x:v>
      </x:c>
    </x:row>
    <x:row r="1109">
      <x:c r="A1109" s="30" t="n">
        <x:v>45799</x:v>
      </x:c>
      <x:c r="B1109" s="38" t="n">
        <x:v>5842.01</x:v>
      </x:c>
      <x:c r="C1109" s="34" t="n">
        <x:f>(B1109/B1108-1)*100</x:f>
        <x:v>-0.04448543187653975</x:v>
      </x:c>
      <x:c r="D1109" s="34" t="n">
        <x:f>Assumptions!$B$4*D1108+(1-Assumptions!$B$4)*C1108^2</x:f>
        <x:v>2.871587047547891</x:v>
      </x:c>
      <x:c r="E1109" s="34" t="n">
        <x:f>SQRT(D1109)</x:f>
        <x:v>1.6945757721470855</x:v>
      </x:c>
      <x:c r="F1109" s="34" t="n">
        <x:f>-Assumptions!$B$7*E1109</x:f>
        <x:v>2.7873291049602265</x:v>
      </x:c>
      <x:c r="G1109" s="34" t="n">
        <x:f>-Assumptions!$B$8*E1109</x:f>
        <x:v>3.9421727449354877</x:v>
      </x:c>
      <x:c r="H1109" s="34" t="n">
        <x:f>-Assumptions!$B$9*E1109</x:f>
        <x:v>2.644978143774146</x:v>
      </x:c>
      <x:c r="I1109" s="34" t="n">
        <x:f>-Assumptions!$B$10*E1109</x:f>
        <x:v>4.416850013716315</x:v>
      </x:c>
      <x:c r="J1109" s="36" t="n">
        <x:f>IF(C1109&lt;-F1109,1,0)</x:f>
        <x:v>0</x:v>
      </x:c>
      <x:c r="K1109" s="36" t="n">
        <x:f>IF(C1109&lt;-G1109,1,0)</x:f>
        <x:v>0</x:v>
      </x:c>
      <x:c r="L1109" s="36" t="n">
        <x:f>IF(C1109&lt;-H1109,1,0)</x:f>
        <x:v>0</x:v>
      </x:c>
      <x:c r="M1109" s="36" t="n">
        <x:f>IF(C1109&lt;-I1109,1,0)</x:f>
        <x:v>0</x:v>
      </x:c>
      <x:c r="N1109" s="34" t="n">
        <x:f>-F1109</x:f>
        <x:v>-2.7873291049602265</x:v>
      </x:c>
      <x:c r="O1109" s="34" t="n">
        <x:f>-H1109</x:f>
        <x:v>-2.644978143774146</x:v>
      </x:c>
      <x:c r="P1109" s="34" t="n">
        <x:f>-G1109</x:f>
        <x:v>-3.9421727449354877</x:v>
      </x:c>
      <x:c r="Q1109" s="34" t="n">
        <x:f>-I1109</x:f>
        <x:v>-4.416850013716315</x:v>
      </x:c>
      <x:c r="R1109" s="36" t="n">
        <x:f>YEAR(A1109)</x:f>
        <x:v>2025</x:v>
      </x:c>
    </x:row>
    <x:row r="1110">
      <x:c r="A1110" s="30" t="n">
        <x:v>45800</x:v>
      </x:c>
      <x:c r="B1110" s="38" t="n">
        <x:v>5802.82</x:v>
      </x:c>
      <x:c r="C1110" s="34" t="n">
        <x:f>(B1110/B1109-1)*100</x:f>
        <x:v>-0.6708307585916562</x:v>
      </x:c>
      <x:c r="D1110" s="34" t="n">
        <x:f>Assumptions!$B$4*D1109+(1-Assumptions!$B$4)*C1109^2</x:f>
        <x:v>2.6994105619139717</x:v>
      </x:c>
      <x:c r="E1110" s="34" t="n">
        <x:f>SQRT(D1110)</x:f>
        <x:v>1.6429883024276137</x:v>
      </x:c>
      <x:c r="F1110" s="34" t="n">
        <x:f>-Assumptions!$B$7*E1110</x:f>
        <x:v>2.702475268286904</x:v>
      </x:c>
      <x:c r="G1110" s="34" t="n">
        <x:f>-Assumptions!$B$8*E1110</x:f>
        <x:v>3.8221623444264483</x:v>
      </x:c>
      <x:c r="H1110" s="34" t="n">
        <x:f>-Assumptions!$B$9*E1110</x:f>
        <x:v>2.564457855367255</x:v>
      </x:c>
      <x:c r="I1110" s="34" t="n">
        <x:f>-Assumptions!$B$10*E1110</x:f>
        <x:v>4.282389153315048</x:v>
      </x:c>
      <x:c r="J1110" s="36" t="n">
        <x:f>IF(C1110&lt;-F1110,1,0)</x:f>
        <x:v>0</x:v>
      </x:c>
      <x:c r="K1110" s="36" t="n">
        <x:f>IF(C1110&lt;-G1110,1,0)</x:f>
        <x:v>0</x:v>
      </x:c>
      <x:c r="L1110" s="36" t="n">
        <x:f>IF(C1110&lt;-H1110,1,0)</x:f>
        <x:v>0</x:v>
      </x:c>
      <x:c r="M1110" s="36" t="n">
        <x:f>IF(C1110&lt;-I1110,1,0)</x:f>
        <x:v>0</x:v>
      </x:c>
      <x:c r="N1110" s="34" t="n">
        <x:f>-F1110</x:f>
        <x:v>-2.702475268286904</x:v>
      </x:c>
      <x:c r="O1110" s="34" t="n">
        <x:f>-H1110</x:f>
        <x:v>-2.564457855367255</x:v>
      </x:c>
      <x:c r="P1110" s="34" t="n">
        <x:f>-G1110</x:f>
        <x:v>-3.8221623444264483</x:v>
      </x:c>
      <x:c r="Q1110" s="34" t="n">
        <x:f>-I1110</x:f>
        <x:v>-4.282389153315048</x:v>
      </x:c>
      <x:c r="R1110" s="36" t="n">
        <x:f>YEAR(A1110)</x:f>
        <x:v>2025</x:v>
      </x:c>
    </x:row>
    <x:row r="1111">
      <x:c r="A1111" s="30" t="n">
        <x:v>45804</x:v>
      </x:c>
      <x:c r="B1111" s="38" t="n">
        <x:v>5921.54</x:v>
      </x:c>
      <x:c r="C1111" s="34" t="n">
        <x:f>(B1111/B1110-1)*100</x:f>
        <x:v>2.0459018201495205</x:v>
      </x:c>
      <x:c r="D1111" s="34" t="n">
        <x:f>Assumptions!$B$4*D1110+(1-Assumptions!$B$4)*C1110^2</x:f>
        <x:v>2.5644467625994927</x:v>
      </x:c>
      <x:c r="E1111" s="34" t="n">
        <x:f>SQRT(D1111)</x:f>
        <x:v>1.6013890103905086</x:v>
      </x:c>
      <x:c r="F1111" s="34" t="n">
        <x:f>-Assumptions!$B$7*E1111</x:f>
        <x:v>2.634050521901058</x:v>
      </x:c>
      <x:c r="G1111" s="34" t="n">
        <x:f>-Assumptions!$B$8*E1111</x:f>
        <x:v>3.7253879198343247</x:v>
      </x:c>
      <x:c r="H1111" s="34" t="n">
        <x:f>-Assumptions!$B$9*E1111</x:f>
        <x:v>2.499527611442423</x:v>
      </x:c>
      <x:c r="I1111" s="34" t="n">
        <x:f>-Assumptions!$B$10*E1111</x:f>
        <x:v>4.173962114155935</x:v>
      </x:c>
      <x:c r="J1111" s="36" t="n">
        <x:f>IF(C1111&lt;-F1111,1,0)</x:f>
        <x:v>0</x:v>
      </x:c>
      <x:c r="K1111" s="36" t="n">
        <x:f>IF(C1111&lt;-G1111,1,0)</x:f>
        <x:v>0</x:v>
      </x:c>
      <x:c r="L1111" s="36" t="n">
        <x:f>IF(C1111&lt;-H1111,1,0)</x:f>
        <x:v>0</x:v>
      </x:c>
      <x:c r="M1111" s="36" t="n">
        <x:f>IF(C1111&lt;-I1111,1,0)</x:f>
        <x:v>0</x:v>
      </x:c>
      <x:c r="N1111" s="34" t="n">
        <x:f>-F1111</x:f>
        <x:v>-2.634050521901058</x:v>
      </x:c>
      <x:c r="O1111" s="34" t="n">
        <x:f>-H1111</x:f>
        <x:v>-2.499527611442423</x:v>
      </x:c>
      <x:c r="P1111" s="34" t="n">
        <x:f>-G1111</x:f>
        <x:v>-3.7253879198343247</x:v>
      </x:c>
      <x:c r="Q1111" s="34" t="n">
        <x:f>-I1111</x:f>
        <x:v>-4.173962114155935</x:v>
      </x:c>
      <x:c r="R1111" s="36" t="n">
        <x:f>YEAR(A1111)</x:f>
        <x:v>2025</x:v>
      </x:c>
    </x:row>
    <x:row r="1112">
      <x:c r="A1112" s="30" t="n">
        <x:v>45805</x:v>
      </x:c>
      <x:c r="B1112" s="38" t="n">
        <x:v>5888.55</x:v>
      </x:c>
      <x:c r="C1112" s="34" t="n">
        <x:f>(B1112/B1111-1)*100</x:f>
        <x:v>-0.5571185873944895</x:v>
      </x:c>
      <x:c r="D1112" s="34" t="n">
        <x:f>Assumptions!$B$4*D1111+(1-Assumptions!$B$4)*C1111^2</x:f>
        <x:v>2.6617228123049905</x:v>
      </x:c>
      <x:c r="E1112" s="34" t="n">
        <x:f>SQRT(D1112)</x:f>
        <x:v>1.6314787195378893</x:v>
      </x:c>
      <x:c r="F1112" s="34" t="n">
        <x:f>-Assumptions!$B$7*E1112</x:f>
        <x:v>2.683543689126042</x:v>
      </x:c>
      <x:c r="G1112" s="34" t="n">
        <x:f>-Assumptions!$B$8*E1112</x:f>
        <x:v>3.795387050739841</x:v>
      </x:c>
      <x:c r="H1112" s="34" t="n">
        <x:f>-Assumptions!$B$9*E1112</x:f>
        <x:v>2.5464931259714687</x:v>
      </x:c>
      <x:c r="I1112" s="34" t="n">
        <x:f>-Assumptions!$B$10*E1112</x:f>
        <x:v>4.252389844827392</x:v>
      </x:c>
      <x:c r="J1112" s="36" t="n">
        <x:f>IF(C1112&lt;-F1112,1,0)</x:f>
        <x:v>0</x:v>
      </x:c>
      <x:c r="K1112" s="36" t="n">
        <x:f>IF(C1112&lt;-G1112,1,0)</x:f>
        <x:v>0</x:v>
      </x:c>
      <x:c r="L1112" s="36" t="n">
        <x:f>IF(C1112&lt;-H1112,1,0)</x:f>
        <x:v>0</x:v>
      </x:c>
      <x:c r="M1112" s="36" t="n">
        <x:f>IF(C1112&lt;-I1112,1,0)</x:f>
        <x:v>0</x:v>
      </x:c>
      <x:c r="N1112" s="34" t="n">
        <x:f>-F1112</x:f>
        <x:v>-2.683543689126042</x:v>
      </x:c>
      <x:c r="O1112" s="34" t="n">
        <x:f>-H1112</x:f>
        <x:v>-2.5464931259714687</x:v>
      </x:c>
      <x:c r="P1112" s="34" t="n">
        <x:f>-G1112</x:f>
        <x:v>-3.795387050739841</x:v>
      </x:c>
      <x:c r="Q1112" s="34" t="n">
        <x:f>-I1112</x:f>
        <x:v>-4.252389844827392</x:v>
      </x:c>
      <x:c r="R1112" s="36" t="n">
        <x:f>YEAR(A1112)</x:f>
        <x:v>2025</x:v>
      </x:c>
    </x:row>
    <x:row r="1113">
      <x:c r="A1113" s="30" t="n">
        <x:v>45806</x:v>
      </x:c>
      <x:c r="B1113" s="38" t="n">
        <x:v>5912.17</x:v>
      </x:c>
      <x:c r="C1113" s="34" t="n">
        <x:f>(B1113/B1112-1)*100</x:f>
        <x:v>0.4011174227950942</x:v>
      </x:c>
      <x:c r="D1113" s="34" t="n">
        <x:f>Assumptions!$B$4*D1112+(1-Assumptions!$B$4)*C1112^2</x:f>
        <x:v>2.520642310791917</x:v>
      </x:c>
      <x:c r="E1113" s="34" t="n">
        <x:f>SQRT(D1113)</x:f>
        <x:v>1.5876530826323227</x:v>
      </x:c>
      <x:c r="F1113" s="34" t="n">
        <x:f>-Assumptions!$B$7*E1113</x:f>
        <x:v>2.6114569313084623</x:v>
      </x:c>
      <x:c r="G1113" s="34" t="n">
        <x:f>-Assumptions!$B$8*E1113</x:f>
        <x:v>3.6934333734960907</x:v>
      </x:c>
      <x:c r="H1113" s="34" t="n">
        <x:f>-Assumptions!$B$9*E1113</x:f>
        <x:v>2.47808789225015</x:v>
      </x:c>
      <x:c r="I1113" s="34" t="n">
        <x:f>-Assumptions!$B$10*E1113</x:f>
        <x:v>4.138159918878306</x:v>
      </x:c>
      <x:c r="J1113" s="36" t="n">
        <x:f>IF(C1113&lt;-F1113,1,0)</x:f>
        <x:v>0</x:v>
      </x:c>
      <x:c r="K1113" s="36" t="n">
        <x:f>IF(C1113&lt;-G1113,1,0)</x:f>
        <x:v>0</x:v>
      </x:c>
      <x:c r="L1113" s="36" t="n">
        <x:f>IF(C1113&lt;-H1113,1,0)</x:f>
        <x:v>0</x:v>
      </x:c>
      <x:c r="M1113" s="36" t="n">
        <x:f>IF(C1113&lt;-I1113,1,0)</x:f>
        <x:v>0</x:v>
      </x:c>
      <x:c r="N1113" s="34" t="n">
        <x:f>-F1113</x:f>
        <x:v>-2.6114569313084623</x:v>
      </x:c>
      <x:c r="O1113" s="34" t="n">
        <x:f>-H1113</x:f>
        <x:v>-2.47808789225015</x:v>
      </x:c>
      <x:c r="P1113" s="34" t="n">
        <x:f>-G1113</x:f>
        <x:v>-3.6934333734960907</x:v>
      </x:c>
      <x:c r="Q1113" s="34" t="n">
        <x:f>-I1113</x:f>
        <x:v>-4.138159918878306</x:v>
      </x:c>
      <x:c r="R1113" s="36" t="n">
        <x:f>YEAR(A1113)</x:f>
        <x:v>2025</x:v>
      </x:c>
    </x:row>
    <x:row r="1114">
      <x:c r="A1114" s="30" t="n">
        <x:v>45807</x:v>
      </x:c>
      <x:c r="B1114" s="38" t="n">
        <x:v>5911.69</x:v>
      </x:c>
      <x:c r="C1114" s="34" t="n">
        <x:f>(B1114/B1113-1)*100</x:f>
        <x:v>-0.008118846379590039</x:v>
      </x:c>
      <x:c r="D1114" s="34" t="n">
        <x:f>Assumptions!$B$4*D1113+(1-Assumptions!$B$4)*C1113^2</x:f>
        <x:v>2.3790574833565885</x:v>
      </x:c>
      <x:c r="E1114" s="34" t="n">
        <x:f>SQRT(D1114)</x:f>
        <x:v>1.5424193604064325</x:v>
      </x:c>
      <x:c r="F1114" s="34" t="n">
        <x:f>-Assumptions!$B$7*E1114</x:f>
        <x:v>2.5370540792446916</x:v>
      </x:c>
      <x:c r="G1114" s="34" t="n">
        <x:f>-Assumptions!$B$8*E1114</x:f>
        <x:v>3.5882039999609368</x:v>
      </x:c>
      <x:c r="H1114" s="34" t="n">
        <x:f>-Assumptions!$B$9*E1114</x:f>
        <x:v>2.407484848930677</x:v>
      </x:c>
      <x:c r="I1114" s="34" t="n">
        <x:f>-Assumptions!$B$10*E1114</x:f>
        <x:v>4.020259869840827</x:v>
      </x:c>
      <x:c r="J1114" s="36" t="n">
        <x:f>IF(C1114&lt;-F1114,1,0)</x:f>
        <x:v>0</x:v>
      </x:c>
      <x:c r="K1114" s="36" t="n">
        <x:f>IF(C1114&lt;-G1114,1,0)</x:f>
        <x:v>0</x:v>
      </x:c>
      <x:c r="L1114" s="36" t="n">
        <x:f>IF(C1114&lt;-H1114,1,0)</x:f>
        <x:v>0</x:v>
      </x:c>
      <x:c r="M1114" s="36" t="n">
        <x:f>IF(C1114&lt;-I1114,1,0)</x:f>
        <x:v>0</x:v>
      </x:c>
      <x:c r="N1114" s="34" t="n">
        <x:f>-F1114</x:f>
        <x:v>-2.5370540792446916</x:v>
      </x:c>
      <x:c r="O1114" s="34" t="n">
        <x:f>-H1114</x:f>
        <x:v>-2.407484848930677</x:v>
      </x:c>
      <x:c r="P1114" s="34" t="n">
        <x:f>-G1114</x:f>
        <x:v>-3.5882039999609368</x:v>
      </x:c>
      <x:c r="Q1114" s="34" t="n">
        <x:f>-I1114</x:f>
        <x:v>-4.020259869840827</x:v>
      </x:c>
      <x:c r="R1114" s="36" t="n">
        <x:f>YEAR(A1114)</x:f>
        <x:v>2025</x:v>
      </x:c>
    </x:row>
    <x:row r="1115">
      <x:c r="A1115" s="30" t="n">
        <x:v>45810</x:v>
      </x:c>
      <x:c r="B1115" s="38" t="n">
        <x:v>5935.94</x:v>
      </x:c>
      <x:c r="C1115" s="34" t="n">
        <x:f>(B1115/B1114-1)*100</x:f>
        <x:v>0.410204188649943</x:v>
      </x:c>
      <x:c r="D1115" s="34" t="n">
        <x:f>Assumptions!$B$4*D1114+(1-Assumptions!$B$4)*C1114^2</x:f>
        <x:v>2.236317989295185</x:v>
      </x:c>
      <x:c r="E1115" s="34" t="n">
        <x:f>SQRT(D1115)</x:f>
        <x:v>1.4954323753667984</x:v>
      </x:c>
      <x:c r="F1115" s="34" t="n">
        <x:f>-Assumptions!$B$7*E1115</x:f>
        <x:v>2.4597673664827346</x:v>
      </x:c>
      <x:c r="G1115" s="34" t="n">
        <x:f>-Assumptions!$B$8*E1115</x:f>
        <x:v>3.4788959272063953</x:v>
      </x:c>
      <x:c r="H1115" s="34" t="n">
        <x:f>-Assumptions!$B$9*E1115</x:f>
        <x:v>2.334145225814144</x:v>
      </x:c>
      <x:c r="I1115" s="34" t="n">
        <x:f>-Assumptions!$B$10*E1115</x:f>
        <x:v>3.897790005153784</x:v>
      </x:c>
      <x:c r="J1115" s="36" t="n">
        <x:f>IF(C1115&lt;-F1115,1,0)</x:f>
        <x:v>0</x:v>
      </x:c>
      <x:c r="K1115" s="36" t="n">
        <x:f>IF(C1115&lt;-G1115,1,0)</x:f>
        <x:v>0</x:v>
      </x:c>
      <x:c r="L1115" s="36" t="n">
        <x:f>IF(C1115&lt;-H1115,1,0)</x:f>
        <x:v>0</x:v>
      </x:c>
      <x:c r="M1115" s="36" t="n">
        <x:f>IF(C1115&lt;-I1115,1,0)</x:f>
        <x:v>0</x:v>
      </x:c>
      <x:c r="N1115" s="34" t="n">
        <x:f>-F1115</x:f>
        <x:v>-2.4597673664827346</x:v>
      </x:c>
      <x:c r="O1115" s="34" t="n">
        <x:f>-H1115</x:f>
        <x:v>-2.334145225814144</x:v>
      </x:c>
      <x:c r="P1115" s="34" t="n">
        <x:f>-G1115</x:f>
        <x:v>-3.4788959272063953</x:v>
      </x:c>
      <x:c r="Q1115" s="34" t="n">
        <x:f>-I1115</x:f>
        <x:v>-3.897790005153784</x:v>
      </x:c>
      <x:c r="R1115" s="36" t="n">
        <x:f>YEAR(A1115)</x:f>
        <x:v>2025</x:v>
      </x:c>
    </x:row>
    <x:row r="1116">
      <x:c r="A1116" s="30" t="n">
        <x:v>45811</x:v>
      </x:c>
      <x:c r="B1116" s="38" t="n">
        <x:v>5970.37</x:v>
      </x:c>
      <x:c r="C1116" s="34" t="n">
        <x:f>(B1116/B1115-1)*100</x:f>
        <x:v>0.5800260784307065</x:v>
      </x:c>
      <x:c r="D1116" s="34" t="n">
        <x:f>Assumptions!$B$4*D1115+(1-Assumptions!$B$4)*C1115^2</x:f>
        <x:v>2.1122349585206313</x:v>
      </x:c>
      <x:c r="E1116" s="34" t="n">
        <x:f>SQRT(D1116)</x:f>
        <x:v>1.453353005474111</x:v>
      </x:c>
      <x:c r="F1116" s="34" t="n">
        <x:f>-Assumptions!$B$7*E1116</x:f>
        <x:v>2.3905529622949153</x:v>
      </x:c>
      <x:c r="G1116" s="34" t="n">
        <x:f>-Assumptions!$B$8*E1116</x:f>
        <x:v>3.381004674515564</x:v>
      </x:c>
      <x:c r="H1116" s="34" t="n">
        <x:f>-Assumptions!$B$9*E1116</x:f>
        <x:v>2.2684656524959643</x:v>
      </x:c>
      <x:c r="I1116" s="34" t="n">
        <x:f>-Assumptions!$B$10*E1116</x:f>
        <x:v>3.7881116605541787</x:v>
      </x:c>
      <x:c r="J1116" s="36" t="n">
        <x:f>IF(C1116&lt;-F1116,1,0)</x:f>
        <x:v>0</x:v>
      </x:c>
      <x:c r="K1116" s="36" t="n">
        <x:f>IF(C1116&lt;-G1116,1,0)</x:f>
        <x:v>0</x:v>
      </x:c>
      <x:c r="L1116" s="36" t="n">
        <x:f>IF(C1116&lt;-H1116,1,0)</x:f>
        <x:v>0</x:v>
      </x:c>
      <x:c r="M1116" s="36" t="n">
        <x:f>IF(C1116&lt;-I1116,1,0)</x:f>
        <x:v>0</x:v>
      </x:c>
      <x:c r="N1116" s="34" t="n">
        <x:f>-F1116</x:f>
        <x:v>-2.3905529622949153</x:v>
      </x:c>
      <x:c r="O1116" s="34" t="n">
        <x:f>-H1116</x:f>
        <x:v>-2.2684656524959643</x:v>
      </x:c>
      <x:c r="P1116" s="34" t="n">
        <x:f>-G1116</x:f>
        <x:v>-3.381004674515564</x:v>
      </x:c>
      <x:c r="Q1116" s="34" t="n">
        <x:f>-I1116</x:f>
        <x:v>-3.7881116605541787</x:v>
      </x:c>
      <x:c r="R1116" s="36" t="n">
        <x:f>YEAR(A1116)</x:f>
        <x:v>2025</x:v>
      </x:c>
    </x:row>
    <x:row r="1117">
      <x:c r="A1117" s="30" t="n">
        <x:v>45812</x:v>
      </x:c>
      <x:c r="B1117" s="38" t="n">
        <x:v>5970.81</x:v>
      </x:c>
      <x:c r="C1117" s="34" t="n">
        <x:f>(B1117/B1116-1)*100</x:f>
        <x:v>0.007369727504324963</x:v>
      </x:c>
      <x:c r="D1117" s="34" t="n">
        <x:f>Assumptions!$B$4*D1116+(1-Assumptions!$B$4)*C1116^2</x:f>
        <x:v>2.0056866761089753</x:v>
      </x:c>
      <x:c r="E1117" s="34" t="n">
        <x:f>SQRT(D1117)</x:f>
        <x:v>1.4162226788570276</x:v>
      </x:c>
      <x:c r="F1117" s="34" t="n">
        <x:f>-Assumptions!$B$7*E1117</x:f>
        <x:v>2.329479009888913</x:v>
      </x:c>
      <x:c r="G1117" s="34" t="n">
        <x:f>-Assumptions!$B$8*E1117</x:f>
        <x:v>3.2946266181274697</x:v>
      </x:c>
      <x:c r="H1117" s="34" t="n">
        <x:f>-Assumptions!$B$9*E1117</x:f>
        <x:v>2.210510792059746</x:v>
      </x:c>
      <x:c r="I1117" s="34" t="n">
        <x:f>-Assumptions!$B$10*E1117</x:f>
        <x:v>3.691332816950057</x:v>
      </x:c>
      <x:c r="J1117" s="36" t="n">
        <x:f>IF(C1117&lt;-F1117,1,0)</x:f>
        <x:v>0</x:v>
      </x:c>
      <x:c r="K1117" s="36" t="n">
        <x:f>IF(C1117&lt;-G1117,1,0)</x:f>
        <x:v>0</x:v>
      </x:c>
      <x:c r="L1117" s="36" t="n">
        <x:f>IF(C1117&lt;-H1117,1,0)</x:f>
        <x:v>0</x:v>
      </x:c>
      <x:c r="M1117" s="36" t="n">
        <x:f>IF(C1117&lt;-I1117,1,0)</x:f>
        <x:v>0</x:v>
      </x:c>
      <x:c r="N1117" s="34" t="n">
        <x:f>-F1117</x:f>
        <x:v>-2.329479009888913</x:v>
      </x:c>
      <x:c r="O1117" s="34" t="n">
        <x:f>-H1117</x:f>
        <x:v>-2.210510792059746</x:v>
      </x:c>
      <x:c r="P1117" s="34" t="n">
        <x:f>-G1117</x:f>
        <x:v>-3.2946266181274697</x:v>
      </x:c>
      <x:c r="Q1117" s="34" t="n">
        <x:f>-I1117</x:f>
        <x:v>-3.691332816950057</x:v>
      </x:c>
      <x:c r="R1117" s="36" t="n">
        <x:f>YEAR(A1117)</x:f>
        <x:v>2025</x:v>
      </x:c>
    </x:row>
    <x:row r="1118">
      <x:c r="A1118" s="30" t="n">
        <x:v>45813</x:v>
      </x:c>
      <x:c r="B1118" s="38" t="n">
        <x:v>5939.3</x:v>
      </x:c>
      <x:c r="C1118" s="34" t="n">
        <x:f>(B1118/B1117-1)*100</x:f>
        <x:v>-0.5277340930292529</x:v>
      </x:c>
      <x:c r="D1118" s="34" t="n">
        <x:f>Assumptions!$B$4*D1117+(1-Assumptions!$B$4)*C1117^2</x:f>
        <x:v>1.885348734315446</x:v>
      </x:c>
      <x:c r="E1118" s="34" t="n">
        <x:f>SQRT(D1118)</x:f>
        <x:v>1.3730800174481623</x:v>
      </x:c>
      <x:c r="F1118" s="34" t="n">
        <x:f>-Assumptions!$B$7*E1118</x:f>
        <x:v>2.2585156467942014</x:v>
      </x:c>
      <x:c r="G1118" s="34" t="n">
        <x:f>-Assumptions!$B$8*E1118</x:f>
        <x:v>3.1942617794784924</x:v>
      </x:c>
      <x:c r="H1118" s="34" t="n">
        <x:f>-Assumptions!$B$9*E1118</x:f>
        <x:v>2.143171580461014</x:v>
      </x:c>
      <x:c r="I1118" s="34" t="n">
        <x:f>-Assumptions!$B$10*E1118</x:f>
        <x:v>3.57888304175112</x:v>
      </x:c>
      <x:c r="J1118" s="36" t="n">
        <x:f>IF(C1118&lt;-F1118,1,0)</x:f>
        <x:v>0</x:v>
      </x:c>
      <x:c r="K1118" s="36" t="n">
        <x:f>IF(C1118&lt;-G1118,1,0)</x:f>
        <x:v>0</x:v>
      </x:c>
      <x:c r="L1118" s="36" t="n">
        <x:f>IF(C1118&lt;-H1118,1,0)</x:f>
        <x:v>0</x:v>
      </x:c>
      <x:c r="M1118" s="36" t="n">
        <x:f>IF(C1118&lt;-I1118,1,0)</x:f>
        <x:v>0</x:v>
      </x:c>
      <x:c r="N1118" s="34" t="n">
        <x:f>-F1118</x:f>
        <x:v>-2.2585156467942014</x:v>
      </x:c>
      <x:c r="O1118" s="34" t="n">
        <x:f>-H1118</x:f>
        <x:v>-2.143171580461014</x:v>
      </x:c>
      <x:c r="P1118" s="34" t="n">
        <x:f>-G1118</x:f>
        <x:v>-3.1942617794784924</x:v>
      </x:c>
      <x:c r="Q1118" s="34" t="n">
        <x:f>-I1118</x:f>
        <x:v>-3.57888304175112</x:v>
      </x:c>
      <x:c r="R1118" s="36" t="n">
        <x:f>YEAR(A1118)</x:f>
        <x:v>2025</x:v>
      </x:c>
    </x:row>
    <x:row r="1119">
      <x:c r="A1119" s="30" t="n">
        <x:v>45814</x:v>
      </x:c>
      <x:c r="B1119" s="38" t="n">
        <x:v>6000.36</x:v>
      </x:c>
      <x:c r="C1119" s="34" t="n">
        <x:f>(B1119/B1118-1)*100</x:f>
        <x:v>1.0280672806559643</x:v>
      </x:c>
      <x:c r="D1119" s="34" t="n">
        <x:f>Assumptions!$B$4*D1118+(1-Assumptions!$B$4)*C1118^2</x:f>
        <x:v>1.7889380066332436</x:v>
      </x:c>
      <x:c r="E1119" s="34" t="n">
        <x:f>SQRT(D1119)</x:f>
        <x:v>1.33751187158591</x:v>
      </x:c>
      <x:c r="F1119" s="34" t="n">
        <x:f>-Assumptions!$B$7*E1119</x:f>
        <x:v>2.2000112530687366</x:v>
      </x:c>
      <x:c r="G1119" s="34" t="n">
        <x:f>-Assumptions!$B$8*E1119</x:f>
        <x:v>3.111517898968267</x:v>
      </x:c>
      <x:c r="H1119" s="34" t="n">
        <x:f>-Assumptions!$B$9*E1119</x:f>
        <x:v>2.0876550494409645</x:v>
      </x:c>
      <x:c r="I1119" s="34" t="n">
        <x:f>-Assumptions!$B$10*E1119</x:f>
        <x:v>3.486175965371465</x:v>
      </x:c>
      <x:c r="J1119" s="36" t="n">
        <x:f>IF(C1119&lt;-F1119,1,0)</x:f>
        <x:v>0</x:v>
      </x:c>
      <x:c r="K1119" s="36" t="n">
        <x:f>IF(C1119&lt;-G1119,1,0)</x:f>
        <x:v>0</x:v>
      </x:c>
      <x:c r="L1119" s="36" t="n">
        <x:f>IF(C1119&lt;-H1119,1,0)</x:f>
        <x:v>0</x:v>
      </x:c>
      <x:c r="M1119" s="36" t="n">
        <x:f>IF(C1119&lt;-I1119,1,0)</x:f>
        <x:v>0</x:v>
      </x:c>
      <x:c r="N1119" s="34" t="n">
        <x:f>-F1119</x:f>
        <x:v>-2.2000112530687366</x:v>
      </x:c>
      <x:c r="O1119" s="34" t="n">
        <x:f>-H1119</x:f>
        <x:v>-2.0876550494409645</x:v>
      </x:c>
      <x:c r="P1119" s="34" t="n">
        <x:f>-G1119</x:f>
        <x:v>-3.111517898968267</x:v>
      </x:c>
      <x:c r="Q1119" s="34" t="n">
        <x:f>-I1119</x:f>
        <x:v>-3.486175965371465</x:v>
      </x:c>
      <x:c r="R1119" s="36" t="n">
        <x:f>YEAR(A1119)</x:f>
        <x:v>2025</x:v>
      </x:c>
    </x:row>
    <x:row r="1120">
      <x:c r="A1120" s="30" t="n">
        <x:v>45817</x:v>
      </x:c>
      <x:c r="B1120" s="38" t="n">
        <x:v>6005.88</x:v>
      </x:c>
      <x:c r="C1120" s="34" t="n">
        <x:f>(B1120/B1119-1)*100</x:f>
        <x:v>0.09199448033119229</x:v>
      </x:c>
      <x:c r="D1120" s="34" t="n">
        <x:f>Assumptions!$B$4*D1119+(1-Assumptions!$B$4)*C1119^2</x:f>
        <x:v>1.74501706624857</x:v>
      </x:c>
      <x:c r="E1120" s="34" t="n">
        <x:f>SQRT(D1120)</x:f>
        <x:v>1.3209909410168452</x:v>
      </x:c>
      <x:c r="F1120" s="34" t="n">
        <x:f>-Assumptions!$B$7*E1120</x:f>
        <x:v>2.172836740501597</x:v>
      </x:c>
      <x:c r="G1120" s="34" t="n">
        <x:f>-Assumptions!$B$8*E1120</x:f>
        <x:v>3.0730844672617468</x:v>
      </x:c>
      <x:c r="H1120" s="34" t="n">
        <x:f>-Assumptions!$B$9*E1120</x:f>
        <x:v>2.0618683593511964</x:v>
      </x:c>
      <x:c r="I1120" s="34" t="n">
        <x:f>-Assumptions!$B$10*E1120</x:f>
        <x:v>3.4431147617298454</x:v>
      </x:c>
      <x:c r="J1120" s="36" t="n">
        <x:f>IF(C1120&lt;-F1120,1,0)</x:f>
        <x:v>0</x:v>
      </x:c>
      <x:c r="K1120" s="36" t="n">
        <x:f>IF(C1120&lt;-G1120,1,0)</x:f>
        <x:v>0</x:v>
      </x:c>
      <x:c r="L1120" s="36" t="n">
        <x:f>IF(C1120&lt;-H1120,1,0)</x:f>
        <x:v>0</x:v>
      </x:c>
      <x:c r="M1120" s="36" t="n">
        <x:f>IF(C1120&lt;-I1120,1,0)</x:f>
        <x:v>0</x:v>
      </x:c>
      <x:c r="N1120" s="34" t="n">
        <x:f>-F1120</x:f>
        <x:v>-2.172836740501597</x:v>
      </x:c>
      <x:c r="O1120" s="34" t="n">
        <x:f>-H1120</x:f>
        <x:v>-2.0618683593511964</x:v>
      </x:c>
      <x:c r="P1120" s="34" t="n">
        <x:f>-G1120</x:f>
        <x:v>-3.0730844672617468</x:v>
      </x:c>
      <x:c r="Q1120" s="34" t="n">
        <x:f>-I1120</x:f>
        <x:v>-3.4431147617298454</x:v>
      </x:c>
      <x:c r="R1120" s="36" t="n">
        <x:f>YEAR(A1120)</x:f>
        <x:v>2025</x:v>
      </x:c>
    </x:row>
    <x:row r="1121">
      <x:c r="A1121" s="30" t="n">
        <x:v>45818</x:v>
      </x:c>
      <x:c r="B1121" s="38" t="n">
        <x:v>6038.81</x:v>
      </x:c>
      <x:c r="C1121" s="34" t="n">
        <x:f>(B1121/B1120-1)*100</x:f>
        <x:v>0.5482960032501483</x:v>
      </x:c>
      <x:c r="D1121" s="34" t="n">
        <x:f>Assumptions!$B$4*D1120+(1-Assumptions!$B$4)*C1120^2</x:f>
        <x:v>1.6408238213383401</x:v>
      </x:c>
      <x:c r="E1121" s="34" t="n">
        <x:f>SQRT(D1121)</x:f>
        <x:v>1.2809464552971526</x:v>
      </x:c>
      <x:c r="F1121" s="34" t="n">
        <x:f>-Assumptions!$B$7*E1121</x:f>
        <x:v>2.106969422926154</x:v>
      </x:c>
      <x:c r="G1121" s="34" t="n">
        <x:f>-Assumptions!$B$8*E1121</x:f>
        <x:v>2.979927063040681</x:v>
      </x:c>
      <x:c r="H1121" s="34" t="n">
        <x:f>-Assumptions!$B$9*E1121</x:f>
        <x:v>1.9993649344538469</x:v>
      </x:c>
      <x:c r="I1121" s="34" t="n">
        <x:f>-Assumptions!$B$10*E1121</x:f>
        <x:v>3.3387402685927308</x:v>
      </x:c>
      <x:c r="J1121" s="36" t="n">
        <x:f>IF(C1121&lt;-F1121,1,0)</x:f>
        <x:v>0</x:v>
      </x:c>
      <x:c r="K1121" s="36" t="n">
        <x:f>IF(C1121&lt;-G1121,1,0)</x:f>
        <x:v>0</x:v>
      </x:c>
      <x:c r="L1121" s="36" t="n">
        <x:f>IF(C1121&lt;-H1121,1,0)</x:f>
        <x:v>0</x:v>
      </x:c>
      <x:c r="M1121" s="36" t="n">
        <x:f>IF(C1121&lt;-I1121,1,0)</x:f>
        <x:v>0</x:v>
      </x:c>
      <x:c r="N1121" s="34" t="n">
        <x:f>-F1121</x:f>
        <x:v>-2.106969422926154</x:v>
      </x:c>
      <x:c r="O1121" s="34" t="n">
        <x:f>-H1121</x:f>
        <x:v>-1.9993649344538469</x:v>
      </x:c>
      <x:c r="P1121" s="34" t="n">
        <x:f>-G1121</x:f>
        <x:v>-2.979927063040681</x:v>
      </x:c>
      <x:c r="Q1121" s="34" t="n">
        <x:f>-I1121</x:f>
        <x:v>-3.3387402685927308</x:v>
      </x:c>
      <x:c r="R1121" s="36" t="n">
        <x:f>YEAR(A1121)</x:f>
        <x:v>2025</x:v>
      </x:c>
    </x:row>
    <x:row r="1122">
      <x:c r="A1122" s="30" t="n">
        <x:v>45819</x:v>
      </x:c>
      <x:c r="B1122" s="38" t="n">
        <x:v>6022.24</x:v>
      </x:c>
      <x:c r="C1122" s="34" t="n">
        <x:f>(B1122/B1121-1)*100</x:f>
        <x:v>-0.2743918089822439</x:v>
      </x:c>
      <x:c r="D1122" s="34" t="n">
        <x:f>Assumptions!$B$4*D1121+(1-Assumptions!$B$4)*C1121^2</x:f>
        <x:v>1.5604121024888449</x:v>
      </x:c>
      <x:c r="E1122" s="34" t="n">
        <x:f>SQRT(D1122)</x:f>
        <x:v>1.249164561812752</x:v>
      </x:c>
      <x:c r="F1122" s="34" t="n">
        <x:f>-Assumptions!$B$7*E1122</x:f>
        <x:v>2.0546928601569525</x:v>
      </x:c>
      <x:c r="G1122" s="34" t="n">
        <x:f>-Assumptions!$B$8*E1122</x:f>
        <x:v>2.9059913227002534</x:v>
      </x:c>
      <x:c r="H1122" s="34" t="n">
        <x:f>-Assumptions!$B$9*E1122</x:f>
        <x:v>1.9497581744519101</x:v>
      </x:c>
      <x:c r="I1122" s="34" t="n">
        <x:f>-Assumptions!$B$10*E1122</x:f>
        <x:v>3.255901921096092</x:v>
      </x:c>
      <x:c r="J1122" s="36" t="n">
        <x:f>IF(C1122&lt;-F1122,1,0)</x:f>
        <x:v>0</x:v>
      </x:c>
      <x:c r="K1122" s="36" t="n">
        <x:f>IF(C1122&lt;-G1122,1,0)</x:f>
        <x:v>0</x:v>
      </x:c>
      <x:c r="L1122" s="36" t="n">
        <x:f>IF(C1122&lt;-H1122,1,0)</x:f>
        <x:v>0</x:v>
      </x:c>
      <x:c r="M1122" s="36" t="n">
        <x:f>IF(C1122&lt;-I1122,1,0)</x:f>
        <x:v>0</x:v>
      </x:c>
      <x:c r="N1122" s="34" t="n">
        <x:f>-F1122</x:f>
        <x:v>-2.0546928601569525</x:v>
      </x:c>
      <x:c r="O1122" s="34" t="n">
        <x:f>-H1122</x:f>
        <x:v>-1.9497581744519101</x:v>
      </x:c>
      <x:c r="P1122" s="34" t="n">
        <x:f>-G1122</x:f>
        <x:v>-2.9059913227002534</x:v>
      </x:c>
      <x:c r="Q1122" s="34" t="n">
        <x:f>-I1122</x:f>
        <x:v>-3.255901921096092</x:v>
      </x:c>
      <x:c r="R1122" s="36" t="n">
        <x:f>YEAR(A1122)</x:f>
        <x:v>2025</x:v>
      </x:c>
    </x:row>
    <x:row r="1123">
      <x:c r="A1123" s="30" t="n">
        <x:v>45820</x:v>
      </x:c>
      <x:c r="B1123" s="38" t="n">
        <x:v>6045.26</x:v>
      </x:c>
      <x:c r="C1123" s="34" t="n">
        <x:f>(B1123/B1122-1)*100</x:f>
        <x:v>0.38224979409655635</x:v>
      </x:c>
      <x:c r="D1123" s="34" t="n">
        <x:f>Assumptions!$B$4*D1122+(1-Assumptions!$B$4)*C1122^2</x:f>
        <x:v>1.471304828229707</x:v>
      </x:c>
      <x:c r="E1123" s="34" t="n">
        <x:f>SQRT(D1123)</x:f>
        <x:v>1.2129735480338006</x:v>
      </x:c>
      <x:c r="F1123" s="34" t="n">
        <x:f>-Assumptions!$B$7*E1123</x:f>
        <x:v>1.9951639398795935</x:v>
      </x:c>
      <x:c r="G1123" s="34" t="n">
        <x:f>-Assumptions!$B$8*E1123</x:f>
        <x:v>2.8217984347362073</x:v>
      </x:c>
      <x:c r="H1123" s="34" t="n">
        <x:f>-Assumptions!$B$9*E1123</x:f>
        <x:v>1.893269440209552</x:v>
      </x:c>
      <x:c r="I1123" s="34" t="n">
        <x:f>-Assumptions!$B$10*E1123</x:f>
        <x:v>3.1615713621837376</x:v>
      </x:c>
      <x:c r="J1123" s="36" t="n">
        <x:f>IF(C1123&lt;-F1123,1,0)</x:f>
        <x:v>0</x:v>
      </x:c>
      <x:c r="K1123" s="36" t="n">
        <x:f>IF(C1123&lt;-G1123,1,0)</x:f>
        <x:v>0</x:v>
      </x:c>
      <x:c r="L1123" s="36" t="n">
        <x:f>IF(C1123&lt;-H1123,1,0)</x:f>
        <x:v>0</x:v>
      </x:c>
      <x:c r="M1123" s="36" t="n">
        <x:f>IF(C1123&lt;-I1123,1,0)</x:f>
        <x:v>0</x:v>
      </x:c>
      <x:c r="N1123" s="34" t="n">
        <x:f>-F1123</x:f>
        <x:v>-1.9951639398795935</x:v>
      </x:c>
      <x:c r="O1123" s="34" t="n">
        <x:f>-H1123</x:f>
        <x:v>-1.893269440209552</x:v>
      </x:c>
      <x:c r="P1123" s="34" t="n">
        <x:f>-G1123</x:f>
        <x:v>-2.8217984347362073</x:v>
      </x:c>
      <x:c r="Q1123" s="34" t="n">
        <x:f>-I1123</x:f>
        <x:v>-3.1615713621837376</x:v>
      </x:c>
      <x:c r="R1123" s="36" t="n">
        <x:f>YEAR(A1123)</x:f>
        <x:v>2025</x:v>
      </x:c>
    </x:row>
    <x:row r="1124">
      <x:c r="A1124" s="30" t="n">
        <x:v>45821</x:v>
      </x:c>
      <x:c r="B1124" s="38" t="n">
        <x:v>5976.97</x:v>
      </x:c>
      <x:c r="C1124" s="34" t="n">
        <x:f>(B1124/B1123-1)*100</x:f>
        <x:v>-1.129645375054178</x:v>
      </x:c>
      <x:c r="D1124" s="34" t="n">
        <x:f>Assumptions!$B$4*D1123+(1-Assumptions!$B$4)*C1123^2</x:f>
        <x:v>1.3917934328411359</x:v>
      </x:c>
      <x:c r="E1124" s="34" t="n">
        <x:f>SQRT(D1124)</x:f>
        <x:v>1.1797429520201153</x:v>
      </x:c>
      <x:c r="F1124" s="34" t="n">
        <x:f>-Assumptions!$B$7*E1124</x:f>
        <x:v>1.940504473500724</x:v>
      </x:c>
      <x:c r="G1124" s="34" t="n">
        <x:f>-Assumptions!$B$8*E1124</x:f>
        <x:v>2.74449250834666</x:v>
      </x:c>
      <x:c r="H1124" s="34" t="n">
        <x:f>-Assumptions!$B$9*E1124</x:f>
        <x:v>1.8414014732496438</x:v>
      </x:c>
      <x:c r="I1124" s="34" t="n">
        <x:f>-Assumptions!$B$10*E1124</x:f>
        <x:v>3.0749570243233073</x:v>
      </x:c>
      <x:c r="J1124" s="36" t="n">
        <x:f>IF(C1124&lt;-F1124,1,0)</x:f>
        <x:v>0</x:v>
      </x:c>
      <x:c r="K1124" s="36" t="n">
        <x:f>IF(C1124&lt;-G1124,1,0)</x:f>
        <x:v>0</x:v>
      </x:c>
      <x:c r="L1124" s="36" t="n">
        <x:f>IF(C1124&lt;-H1124,1,0)</x:f>
        <x:v>0</x:v>
      </x:c>
      <x:c r="M1124" s="36" t="n">
        <x:f>IF(C1124&lt;-I1124,1,0)</x:f>
        <x:v>0</x:v>
      </x:c>
      <x:c r="N1124" s="34" t="n">
        <x:f>-F1124</x:f>
        <x:v>-1.940504473500724</x:v>
      </x:c>
      <x:c r="O1124" s="34" t="n">
        <x:f>-H1124</x:f>
        <x:v>-1.8414014732496438</x:v>
      </x:c>
      <x:c r="P1124" s="34" t="n">
        <x:f>-G1124</x:f>
        <x:v>-2.74449250834666</x:v>
      </x:c>
      <x:c r="Q1124" s="34" t="n">
        <x:f>-I1124</x:f>
        <x:v>-3.0749570243233073</x:v>
      </x:c>
      <x:c r="R1124" s="36" t="n">
        <x:f>YEAR(A1124)</x:f>
        <x:v>2025</x:v>
      </x:c>
    </x:row>
    <x:row r="1125">
      <x:c r="A1125" s="30" t="n">
        <x:v>45824</x:v>
      </x:c>
      <x:c r="B1125" s="38" t="n">
        <x:v>6033.11</x:v>
      </x:c>
      <x:c r="C1125" s="34" t="n">
        <x:f>(B1125/B1124-1)*100</x:f>
        <x:v>0.9392719053299414</x:v>
      </x:c>
      <x:c r="D1125" s="34" t="n">
        <x:f>Assumptions!$B$4*D1124+(1-Assumptions!$B$4)*C1124^2</x:f>
        <x:v>1.3848517472735453</x:v>
      </x:c>
      <x:c r="E1125" s="34" t="n">
        <x:f>SQRT(D1125)</x:f>
        <x:v>1.1767972413604415</x:v>
      </x:c>
      <x:c r="F1125" s="34" t="n">
        <x:f>-Assumptions!$B$7*E1125</x:f>
        <x:v>1.93565921063821</x:v>
      </x:c>
      <x:c r="G1125" s="34" t="n">
        <x:f>-Assumptions!$B$8*E1125</x:f>
        <x:v>2.7376397606159886</x:v>
      </x:c>
      <x:c r="H1125" s="34" t="n">
        <x:f>-Assumptions!$B$9*E1125</x:f>
        <x:v>1.8368036615490506</x:v>
      </x:c>
      <x:c r="I1125" s="34" t="n">
        <x:f>-Assumptions!$B$10*E1125</x:f>
        <x:v>3.0672791368063037</x:v>
      </x:c>
      <x:c r="J1125" s="36" t="n">
        <x:f>IF(C1125&lt;-F1125,1,0)</x:f>
        <x:v>0</x:v>
      </x:c>
      <x:c r="K1125" s="36" t="n">
        <x:f>IF(C1125&lt;-G1125,1,0)</x:f>
        <x:v>0</x:v>
      </x:c>
      <x:c r="L1125" s="36" t="n">
        <x:f>IF(C1125&lt;-H1125,1,0)</x:f>
        <x:v>0</x:v>
      </x:c>
      <x:c r="M1125" s="36" t="n">
        <x:f>IF(C1125&lt;-I1125,1,0)</x:f>
        <x:v>0</x:v>
      </x:c>
      <x:c r="N1125" s="34" t="n">
        <x:f>-F1125</x:f>
        <x:v>-1.93565921063821</x:v>
      </x:c>
      <x:c r="O1125" s="34" t="n">
        <x:f>-H1125</x:f>
        <x:v>-1.8368036615490506</x:v>
      </x:c>
      <x:c r="P1125" s="34" t="n">
        <x:f>-G1125</x:f>
        <x:v>-2.7376397606159886</x:v>
      </x:c>
      <x:c r="Q1125" s="34" t="n">
        <x:f>-I1125</x:f>
        <x:v>-3.0672791368063037</x:v>
      </x:c>
      <x:c r="R1125" s="36" t="n">
        <x:f>YEAR(A1125)</x:f>
        <x:v>2025</x:v>
      </x:c>
    </x:row>
    <x:row r="1126">
      <x:c r="A1126" s="30" t="n">
        <x:v>45825</x:v>
      </x:c>
      <x:c r="B1126" s="38" t="n">
        <x:v>5982.72</x:v>
      </x:c>
      <x:c r="C1126" s="34" t="n">
        <x:f>(B1126/B1125-1)*100</x:f>
        <x:v>-0.8352242873078675</x:v>
      </x:c>
      <x:c r="D1126" s="34" t="n">
        <x:f>Assumptions!$B$4*D1125+(1-Assumptions!$B$4)*C1125^2</x:f>
        <x:v>1.354694545165661</x:v>
      </x:c>
      <x:c r="E1126" s="34" t="n">
        <x:f>SQRT(D1126)</x:f>
        <x:v>1.1639134612013304</x:v>
      </x:c>
      <x:c r="F1126" s="34" t="n">
        <x:f>-Assumptions!$B$7*E1126</x:f>
        <x:v>1.9144672781146508</x:v>
      </x:c>
      <x:c r="G1126" s="34" t="n">
        <x:f>-Assumptions!$B$8*E1126</x:f>
        <x:v>2.707667606033231</x:v>
      </x:c>
      <x:c r="H1126" s="34" t="n">
        <x:f>-Assumptions!$B$9*E1126</x:f>
        <x:v>1.816694016710412</x:v>
      </x:c>
      <x:c r="I1126" s="34" t="n">
        <x:f>-Assumptions!$B$10*E1126</x:f>
        <x:v>3.0336980332004226</x:v>
      </x:c>
      <x:c r="J1126" s="36" t="n">
        <x:f>IF(C1126&lt;-F1126,1,0)</x:f>
        <x:v>0</x:v>
      </x:c>
      <x:c r="K1126" s="36" t="n">
        <x:f>IF(C1126&lt;-G1126,1,0)</x:f>
        <x:v>0</x:v>
      </x:c>
      <x:c r="L1126" s="36" t="n">
        <x:f>IF(C1126&lt;-H1126,1,0)</x:f>
        <x:v>0</x:v>
      </x:c>
      <x:c r="M1126" s="36" t="n">
        <x:f>IF(C1126&lt;-I1126,1,0)</x:f>
        <x:v>0</x:v>
      </x:c>
      <x:c r="N1126" s="34" t="n">
        <x:f>-F1126</x:f>
        <x:v>-1.9144672781146508</x:v>
      </x:c>
      <x:c r="O1126" s="34" t="n">
        <x:f>-H1126</x:f>
        <x:v>-1.816694016710412</x:v>
      </x:c>
      <x:c r="P1126" s="34" t="n">
        <x:f>-G1126</x:f>
        <x:v>-2.707667606033231</x:v>
      </x:c>
      <x:c r="Q1126" s="34" t="n">
        <x:f>-I1126</x:f>
        <x:v>-3.0336980332004226</x:v>
      </x:c>
      <x:c r="R1126" s="36" t="n">
        <x:f>YEAR(A1126)</x:f>
        <x:v>2025</x:v>
      </x:c>
    </x:row>
    <x:row r="1127">
      <x:c r="A1127" s="30" t="n">
        <x:v>45826</x:v>
      </x:c>
      <x:c r="B1127" s="38" t="n">
        <x:v>5980.87</x:v>
      </x:c>
      <x:c r="C1127" s="34" t="n">
        <x:f>(B1127/B1126-1)*100</x:f>
        <x:v>-0.030922389816012696</x:v>
      </x:c>
      <x:c r="D1127" s="34" t="n">
        <x:f>Assumptions!$B$4*D1126+(1-Assumptions!$B$4)*C1126^2</x:f>
        <x:v>1.3152688490622573</x:v>
      </x:c>
      <x:c r="E1127" s="34" t="n">
        <x:f>SQRT(D1127)</x:f>
        <x:v>1.146851711888794</x:v>
      </x:c>
      <x:c r="F1127" s="34" t="n">
        <x:f>-Assumptions!$B$7*E1127</x:f>
        <x:v>1.8864031978757883</x:v>
      </x:c>
      <x:c r="G1127" s="34" t="n">
        <x:f>-Assumptions!$B$8*E1127</x:f>
        <x:v>2.667976041792594</x:v>
      </x:c>
      <x:c r="H1127" s="34" t="n">
        <x:f>-Assumptions!$B$9*E1127</x:f>
        <x:v>1.7900631898285702</x:v>
      </x:c>
      <x:c r="I1127" s="34" t="n">
        <x:f>-Assumptions!$B$10*E1127</x:f>
        <x:v>2.9892272052069253</x:v>
      </x:c>
      <x:c r="J1127" s="36" t="n">
        <x:f>IF(C1127&lt;-F1127,1,0)</x:f>
        <x:v>0</x:v>
      </x:c>
      <x:c r="K1127" s="36" t="n">
        <x:f>IF(C1127&lt;-G1127,1,0)</x:f>
        <x:v>0</x:v>
      </x:c>
      <x:c r="L1127" s="36" t="n">
        <x:f>IF(C1127&lt;-H1127,1,0)</x:f>
        <x:v>0</x:v>
      </x:c>
      <x:c r="M1127" s="36" t="n">
        <x:f>IF(C1127&lt;-I1127,1,0)</x:f>
        <x:v>0</x:v>
      </x:c>
      <x:c r="N1127" s="34" t="n">
        <x:f>-F1127</x:f>
        <x:v>-1.8864031978757883</x:v>
      </x:c>
      <x:c r="O1127" s="34" t="n">
        <x:f>-H1127</x:f>
        <x:v>-1.7900631898285702</x:v>
      </x:c>
      <x:c r="P1127" s="34" t="n">
        <x:f>-G1127</x:f>
        <x:v>-2.667976041792594</x:v>
      </x:c>
      <x:c r="Q1127" s="34" t="n">
        <x:f>-I1127</x:f>
        <x:v>-2.9892272052069253</x:v>
      </x:c>
      <x:c r="R1127" s="36" t="n">
        <x:f>YEAR(A1127)</x:f>
        <x:v>2025</x:v>
      </x:c>
    </x:row>
    <x:row r="1128">
      <x:c r="A1128" s="30" t="n">
        <x:v>45828</x:v>
      </x:c>
      <x:c r="B1128" s="38" t="n">
        <x:v>5967.84</x:v>
      </x:c>
      <x:c r="C1128" s="34" t="n">
        <x:f>(B1128/B1127-1)*100</x:f>
        <x:v>-0.21786128105107938</x:v>
      </x:c>
      <x:c r="D1128" s="34" t="n">
        <x:f>Assumptions!$B$4*D1127+(1-Assumptions!$B$4)*C1127^2</x:f>
        <x:v>1.2364100897700379</x:v>
      </x:c>
      <x:c r="E1128" s="34" t="n">
        <x:f>SQRT(D1128)</x:f>
        <x:v>1.1119397869354428</x:v>
      </x:c>
      <x:c r="F1128" s="34" t="n">
        <x:f>-Assumptions!$B$7*E1128</x:f>
        <x:v>1.828978191492411</x:v>
      </x:c>
      <x:c r="G1128" s="34" t="n">
        <x:f>-Assumptions!$B$8*E1128</x:f>
        <x:v>2.5867587593986925</x:v>
      </x:c>
      <x:c r="H1128" s="34" t="n">
        <x:f>-Assumptions!$B$9*E1128</x:f>
        <x:v>1.735570921039847</x:v>
      </x:c>
      <x:c r="I1128" s="34" t="n">
        <x:f>-Assumptions!$B$10*E1128</x:f>
        <x:v>2.8982305447190355</x:v>
      </x:c>
      <x:c r="J1128" s="36" t="n">
        <x:f>IF(C1128&lt;-F1128,1,0)</x:f>
        <x:v>0</x:v>
      </x:c>
      <x:c r="K1128" s="36" t="n">
        <x:f>IF(C1128&lt;-G1128,1,0)</x:f>
        <x:v>0</x:v>
      </x:c>
      <x:c r="L1128" s="36" t="n">
        <x:f>IF(C1128&lt;-H1128,1,0)</x:f>
        <x:v>0</x:v>
      </x:c>
      <x:c r="M1128" s="36" t="n">
        <x:f>IF(C1128&lt;-I1128,1,0)</x:f>
        <x:v>0</x:v>
      </x:c>
      <x:c r="N1128" s="34" t="n">
        <x:f>-F1128</x:f>
        <x:v>-1.828978191492411</x:v>
      </x:c>
      <x:c r="O1128" s="34" t="n">
        <x:f>-H1128</x:f>
        <x:v>-1.735570921039847</x:v>
      </x:c>
      <x:c r="P1128" s="34" t="n">
        <x:f>-G1128</x:f>
        <x:v>-2.5867587593986925</x:v>
      </x:c>
      <x:c r="Q1128" s="34" t="n">
        <x:f>-I1128</x:f>
        <x:v>-2.8982305447190355</x:v>
      </x:c>
      <x:c r="R1128" s="36" t="n">
        <x:f>YEAR(A1128)</x:f>
        <x:v>2025</x:v>
      </x:c>
    </x:row>
    <x:row r="1129">
      <x:c r="A1129" s="30" t="n">
        <x:v>45831</x:v>
      </x:c>
      <x:c r="B1129" s="38" t="n">
        <x:v>6025.17</x:v>
      </x:c>
      <x:c r="C1129" s="34" t="n">
        <x:f>(B1129/B1128-1)*100</x:f>
        <x:v>0.9606490790637912</x:v>
      </x:c>
      <x:c r="D1129" s="34" t="n">
        <x:f>Assumptions!$B$4*D1128+(1-Assumptions!$B$4)*C1128^2</x:f>
        <x:v>1.1650732966507087</x:v>
      </x:c>
      <x:c r="E1129" s="34" t="n">
        <x:f>SQRT(D1129)</x:f>
        <x:v>1.0793856107298765</x:v>
      </x:c>
      <x:c r="F1129" s="34" t="n">
        <x:f>-Assumptions!$B$7*E1129</x:f>
        <x:v>1.775431336688268</x:v>
      </x:c>
      <x:c r="G1129" s="34" t="n">
        <x:f>-Assumptions!$B$8*E1129</x:f>
        <x:v>2.511026420791722</x:v>
      </x:c>
      <x:c r="H1129" s="34" t="n">
        <x:f>-Assumptions!$B$9*E1129</x:f>
        <x:v>1.6847587437577434</x:v>
      </x:c>
      <x:c r="I1129" s="34" t="n">
        <x:f>-Assumptions!$B$10*E1129</x:f>
        <x:v>2.8133792704453002</x:v>
      </x:c>
      <x:c r="J1129" s="36" t="n">
        <x:f>IF(C1129&lt;-F1129,1,0)</x:f>
        <x:v>0</x:v>
      </x:c>
      <x:c r="K1129" s="36" t="n">
        <x:f>IF(C1129&lt;-G1129,1,0)</x:f>
        <x:v>0</x:v>
      </x:c>
      <x:c r="L1129" s="36" t="n">
        <x:f>IF(C1129&lt;-H1129,1,0)</x:f>
        <x:v>0</x:v>
      </x:c>
      <x:c r="M1129" s="36" t="n">
        <x:f>IF(C1129&lt;-I1129,1,0)</x:f>
        <x:v>0</x:v>
      </x:c>
      <x:c r="N1129" s="34" t="n">
        <x:f>-F1129</x:f>
        <x:v>-1.775431336688268</x:v>
      </x:c>
      <x:c r="O1129" s="34" t="n">
        <x:f>-H1129</x:f>
        <x:v>-1.6847587437577434</x:v>
      </x:c>
      <x:c r="P1129" s="34" t="n">
        <x:f>-G1129</x:f>
        <x:v>-2.511026420791722</x:v>
      </x:c>
      <x:c r="Q1129" s="34" t="n">
        <x:f>-I1129</x:f>
        <x:v>-2.8133792704453002</x:v>
      </x:c>
      <x:c r="R1129" s="36" t="n">
        <x:f>YEAR(A1129)</x:f>
        <x:v>2025</x:v>
      </x:c>
    </x:row>
    <x:row r="1130">
      <x:c r="A1130" s="30" t="n">
        <x:v>45832</x:v>
      </x:c>
      <x:c r="B1130" s="38" t="n">
        <x:v>6092.18</x:v>
      </x:c>
      <x:c r="C1130" s="34" t="n">
        <x:f>(B1130/B1129-1)*100</x:f>
        <x:v>1.1121677894565751</x:v>
      </x:c>
      <x:c r="D1130" s="34" t="n">
        <x:f>Assumptions!$B$4*D1129+(1-Assumptions!$B$4)*C1129^2</x:f>
        <x:v>1.1505396980380327</x:v>
      </x:c>
      <x:c r="E1130" s="34" t="n">
        <x:f>SQRT(D1130)</x:f>
        <x:v>1.072632135467716</x:v>
      </x:c>
      <x:c r="F1130" s="34" t="n">
        <x:f>-Assumptions!$B$7*E1130</x:f>
        <x:v>1.7643228584087762</x:v>
      </x:c>
      <x:c r="G1130" s="34" t="n">
        <x:f>-Assumptions!$B$8*E1130</x:f>
        <x:v>2.495315487973208</x:v>
      </x:c>
      <x:c r="H1130" s="34" t="n">
        <x:f>-Assumptions!$B$9*E1130</x:f>
        <x:v>1.6742175836889308</x:v>
      </x:c>
      <x:c r="I1130" s="34" t="n">
        <x:f>-Assumptions!$B$10*E1130</x:f>
        <x:v>2.7957765832154973</x:v>
      </x:c>
      <x:c r="J1130" s="36" t="n">
        <x:f>IF(C1130&lt;-F1130,1,0)</x:f>
        <x:v>0</x:v>
      </x:c>
      <x:c r="K1130" s="36" t="n">
        <x:f>IF(C1130&lt;-G1130,1,0)</x:f>
        <x:v>0</x:v>
      </x:c>
      <x:c r="L1130" s="36" t="n">
        <x:f>IF(C1130&lt;-H1130,1,0)</x:f>
        <x:v>0</x:v>
      </x:c>
      <x:c r="M1130" s="36" t="n">
        <x:f>IF(C1130&lt;-I1130,1,0)</x:f>
        <x:v>0</x:v>
      </x:c>
      <x:c r="N1130" s="34" t="n">
        <x:f>-F1130</x:f>
        <x:v>-1.7643228584087762</x:v>
      </x:c>
      <x:c r="O1130" s="34" t="n">
        <x:f>-H1130</x:f>
        <x:v>-1.6742175836889308</x:v>
      </x:c>
      <x:c r="P1130" s="34" t="n">
        <x:f>-G1130</x:f>
        <x:v>-2.495315487973208</x:v>
      </x:c>
      <x:c r="Q1130" s="34" t="n">
        <x:f>-I1130</x:f>
        <x:v>-2.7957765832154973</x:v>
      </x:c>
      <x:c r="R1130" s="36" t="n">
        <x:f>YEAR(A1130)</x:f>
        <x:v>2025</x:v>
      </x:c>
    </x:row>
    <x:row r="1131">
      <x:c r="A1131" s="30" t="n">
        <x:v>45833</x:v>
      </x:c>
      <x:c r="B1131" s="38" t="n">
        <x:v>6092.16</x:v>
      </x:c>
      <x:c r="C1131" s="34" t="n">
        <x:f>(B1131/B1130-1)*100</x:f>
        <x:v>-0.0003282897091061443</x:v>
      </x:c>
      <x:c r="D1131" s="34" t="n">
        <x:f>Assumptions!$B$4*D1130+(1-Assumptions!$B$4)*C1130^2</x:f>
        <x:v>1.1557223476700342</x:v>
      </x:c>
      <x:c r="E1131" s="34" t="n">
        <x:f>SQRT(D1131)</x:f>
        <x:v>1.0750452770325696</x:v>
      </x:c>
      <x:c r="F1131" s="34" t="n">
        <x:f>-Assumptions!$B$7*E1131</x:f>
        <x:v>1.768292123064073</x:v>
      </x:c>
      <x:c r="G1131" s="34" t="n">
        <x:f>-Assumptions!$B$8*E1131</x:f>
        <x:v>2.5009292947223645</x:v>
      </x:c>
      <x:c r="H1131" s="34" t="n">
        <x:f>-Assumptions!$B$9*E1131</x:f>
        <x:v>1.6779841350593565</x:v>
      </x:c>
      <x:c r="I1131" s="34" t="n">
        <x:f>-Assumptions!$B$10*E1131</x:f>
        <x:v>2.8020663487892836</x:v>
      </x:c>
      <x:c r="J1131" s="36" t="n">
        <x:f>IF(C1131&lt;-F1131,1,0)</x:f>
        <x:v>0</x:v>
      </x:c>
      <x:c r="K1131" s="36" t="n">
        <x:f>IF(C1131&lt;-G1131,1,0)</x:f>
        <x:v>0</x:v>
      </x:c>
      <x:c r="L1131" s="36" t="n">
        <x:f>IF(C1131&lt;-H1131,1,0)</x:f>
        <x:v>0</x:v>
      </x:c>
      <x:c r="M1131" s="36" t="n">
        <x:f>IF(C1131&lt;-I1131,1,0)</x:f>
        <x:v>0</x:v>
      </x:c>
      <x:c r="N1131" s="34" t="n">
        <x:f>-F1131</x:f>
        <x:v>-1.768292123064073</x:v>
      </x:c>
      <x:c r="O1131" s="34" t="n">
        <x:f>-H1131</x:f>
        <x:v>-1.6779841350593565</x:v>
      </x:c>
      <x:c r="P1131" s="34" t="n">
        <x:f>-G1131</x:f>
        <x:v>-2.5009292947223645</x:v>
      </x:c>
      <x:c r="Q1131" s="34" t="n">
        <x:f>-I1131</x:f>
        <x:v>-2.8020663487892836</x:v>
      </x:c>
      <x:c r="R1131" s="36" t="n">
        <x:f>YEAR(A1131)</x:f>
        <x:v>2025</x:v>
      </x:c>
    </x:row>
    <x:row r="1132">
      <x:c r="A1132" s="30" t="n">
        <x:v>45834</x:v>
      </x:c>
      <x:c r="B1132" s="38" t="n">
        <x:v>6141.02</x:v>
      </x:c>
      <x:c r="C1132" s="34" t="n">
        <x:f>(B1132/B1131-1)*100</x:f>
        <x:v>0.8020143922681022</x:v>
      </x:c>
      <x:c r="D1132" s="34" t="n">
        <x:f>Assumptions!$B$4*D1131+(1-Assumptions!$B$4)*C1131^2</x:f>
        <x:v>1.08637901327628</x:v>
      </x:c>
      <x:c r="E1132" s="34" t="n">
        <x:f>SQRT(D1132)</x:f>
        <x:v>1.0422950701582925</x:v>
      </x:c>
      <x:c r="F1132" s="34" t="n">
        <x:f>-Assumptions!$B$7*E1132</x:f>
        <x:v>1.7144228265035073</x:v>
      </x:c>
      <x:c r="G1132" s="34" t="n">
        <x:f>-Assumptions!$B$8*E1132</x:f>
        <x:v>2.424740920585992</x:v>
      </x:c>
      <x:c r="H1132" s="34" t="n">
        <x:f>-Assumptions!$B$9*E1132</x:f>
        <x:v>1.6268659833600734</x:v>
      </x:c>
      <x:c r="I1132" s="34" t="n">
        <x:f>-Assumptions!$B$10*E1132</x:f>
        <x:v>2.716704127719297</x:v>
      </x:c>
      <x:c r="J1132" s="36" t="n">
        <x:f>IF(C1132&lt;-F1132,1,0)</x:f>
        <x:v>0</x:v>
      </x:c>
      <x:c r="K1132" s="36" t="n">
        <x:f>IF(C1132&lt;-G1132,1,0)</x:f>
        <x:v>0</x:v>
      </x:c>
      <x:c r="L1132" s="36" t="n">
        <x:f>IF(C1132&lt;-H1132,1,0)</x:f>
        <x:v>0</x:v>
      </x:c>
      <x:c r="M1132" s="36" t="n">
        <x:f>IF(C1132&lt;-I1132,1,0)</x:f>
        <x:v>0</x:v>
      </x:c>
      <x:c r="N1132" s="34" t="n">
        <x:f>-F1132</x:f>
        <x:v>-1.7144228265035073</x:v>
      </x:c>
      <x:c r="O1132" s="34" t="n">
        <x:f>-H1132</x:f>
        <x:v>-1.6268659833600734</x:v>
      </x:c>
      <x:c r="P1132" s="34" t="n">
        <x:f>-G1132</x:f>
        <x:v>-2.424740920585992</x:v>
      </x:c>
      <x:c r="Q1132" s="34" t="n">
        <x:f>-I1132</x:f>
        <x:v>-2.716704127719297</x:v>
      </x:c>
      <x:c r="R1132" s="36" t="n">
        <x:f>YEAR(A1132)</x:f>
        <x:v>2025</x:v>
      </x:c>
    </x:row>
    <x:row r="1133">
      <x:c r="A1133" s="30" t="n">
        <x:v>45835</x:v>
      </x:c>
      <x:c r="B1133" s="38" t="n">
        <x:v>6173.07</x:v>
      </x:c>
      <x:c r="C1133" s="34" t="n">
        <x:f>(B1133/B1132-1)*100</x:f>
        <x:v>0.5219002706390752</x:v>
      </x:c>
      <x:c r="D1133" s="34" t="n">
        <x:f>Assumptions!$B$4*D1132+(1-Assumptions!$B$4)*C1132^2</x:f>
        <x:v>1.0597898976040137</x:v>
      </x:c>
      <x:c r="E1133" s="34" t="n">
        <x:f>SQRT(D1133)</x:f>
        <x:v>1.0294609742986927</x:v>
      </x:c>
      <x:c r="F1133" s="34" t="n">
        <x:f>-Assumptions!$B$7*E1133</x:f>
        <x:v>1.6933126173802016</x:v>
      </x:c>
      <x:c r="G1133" s="34" t="n">
        <x:f>-Assumptions!$B$8*E1133</x:f>
        <x:v>2.394884348967776</x:v>
      </x:c>
      <x:c r="H1133" s="34" t="n">
        <x:f>-Assumptions!$B$9*E1133</x:f>
        <x:v>1.6068338882471276</x:v>
      </x:c>
      <x:c r="I1133" s="34" t="n">
        <x:f>-Assumptions!$B$10*E1133</x:f>
        <x:v>2.683252524430005</x:v>
      </x:c>
      <x:c r="J1133" s="36" t="n">
        <x:f>IF(C1133&lt;-F1133,1,0)</x:f>
        <x:v>0</x:v>
      </x:c>
      <x:c r="K1133" s="36" t="n">
        <x:f>IF(C1133&lt;-G1133,1,0)</x:f>
        <x:v>0</x:v>
      </x:c>
      <x:c r="L1133" s="36" t="n">
        <x:f>IF(C1133&lt;-H1133,1,0)</x:f>
        <x:v>0</x:v>
      </x:c>
      <x:c r="M1133" s="36" t="n">
        <x:f>IF(C1133&lt;-I1133,1,0)</x:f>
        <x:v>0</x:v>
      </x:c>
      <x:c r="N1133" s="34" t="n">
        <x:f>-F1133</x:f>
        <x:v>-1.6933126173802016</x:v>
      </x:c>
      <x:c r="O1133" s="34" t="n">
        <x:f>-H1133</x:f>
        <x:v>-1.6068338882471276</x:v>
      </x:c>
      <x:c r="P1133" s="34" t="n">
        <x:f>-G1133</x:f>
        <x:v>-2.394884348967776</x:v>
      </x:c>
      <x:c r="Q1133" s="34" t="n">
        <x:f>-I1133</x:f>
        <x:v>-2.683252524430005</x:v>
      </x:c>
      <x:c r="R1133" s="36" t="n">
        <x:f>YEAR(A1133)</x:f>
        <x:v>2025</x:v>
      </x:c>
    </x:row>
    <x:row r="1134">
      <x:c r="A1134" s="30" t="n">
        <x:v>45838</x:v>
      </x:c>
      <x:c r="B1134" s="38" t="n">
        <x:v>6204.95</x:v>
      </x:c>
      <x:c r="C1134" s="34" t="n">
        <x:f>(B1134/B1133-1)*100</x:f>
        <x:v>0.5164367162530104</x:v>
      </x:c>
      <x:c r="D1134" s="34" t="n">
        <x:f>Assumptions!$B$4*D1133+(1-Assumptions!$B$4)*C1133^2</x:f>
        <x:v>1.0125452972973612</x:v>
      </x:c>
      <x:c r="E1134" s="34" t="n">
        <x:f>SQRT(D1134)</x:f>
        <x:v>1.0062530980311868</x:v>
      </x:c>
      <x:c r="F1134" s="34" t="n">
        <x:f>-Assumptions!$B$7*E1134</x:f>
        <x:v>1.6551390579277536</x:v>
      </x:c>
      <x:c r="G1134" s="34" t="n">
        <x:f>-Assumptions!$B$8*E1134</x:f>
        <x:v>2.3408947553518606</x:v>
      </x:c>
      <x:c r="H1134" s="34" t="n">
        <x:f>-Assumptions!$B$9*E1134</x:f>
        <x:v>1.570609880740404</x:v>
      </x:c>
      <x:c r="I1134" s="34" t="n">
        <x:f>-Assumptions!$B$10*E1134</x:f>
        <x:v>2.622762040442628</x:v>
      </x:c>
      <x:c r="J1134" s="36" t="n">
        <x:f>IF(C1134&lt;-F1134,1,0)</x:f>
        <x:v>0</x:v>
      </x:c>
      <x:c r="K1134" s="36" t="n">
        <x:f>IF(C1134&lt;-G1134,1,0)</x:f>
        <x:v>0</x:v>
      </x:c>
      <x:c r="L1134" s="36" t="n">
        <x:f>IF(C1134&lt;-H1134,1,0)</x:f>
        <x:v>0</x:v>
      </x:c>
      <x:c r="M1134" s="36" t="n">
        <x:f>IF(C1134&lt;-I1134,1,0)</x:f>
        <x:v>0</x:v>
      </x:c>
      <x:c r="N1134" s="34" t="n">
        <x:f>-F1134</x:f>
        <x:v>-1.6551390579277536</x:v>
      </x:c>
      <x:c r="O1134" s="34" t="n">
        <x:f>-H1134</x:f>
        <x:v>-1.570609880740404</x:v>
      </x:c>
      <x:c r="P1134" s="34" t="n">
        <x:f>-G1134</x:f>
        <x:v>-2.3408947553518606</x:v>
      </x:c>
      <x:c r="Q1134" s="34" t="n">
        <x:f>-I1134</x:f>
        <x:v>-2.622762040442628</x:v>
      </x:c>
      <x:c r="R1134" s="36" t="n">
        <x:f>YEAR(A1134)</x:f>
        <x:v>2025</x:v>
      </x:c>
    </x:row>
    <x:row r="1135">
      <x:c r="A1135" s="30" t="n">
        <x:v>45839</x:v>
      </x:c>
      <x:c r="B1135" s="38" t="n">
        <x:v>6198.01</x:v>
      </x:c>
      <x:c r="C1135" s="34" t="n">
        <x:f>(B1135/B1134-1)*100</x:f>
        <x:v>-0.11184618731818752</x:v>
      </x:c>
      <x:c r="D1135" s="34" t="n">
        <x:f>Assumptions!$B$4*D1134+(1-Assumptions!$B$4)*C1134^2</x:f>
        <x:v>0.967794992373171</x:v>
      </x:c>
      <x:c r="E1135" s="34" t="n">
        <x:f>SQRT(D1135)</x:f>
        <x:v>0.9837657202673669</x:v>
      </x:c>
      <x:c r="F1135" s="34" t="n">
        <x:f>-Assumptions!$B$7*E1135</x:f>
        <x:v>1.6181506130523065</x:v>
      </x:c>
      <x:c r="G1135" s="34" t="n">
        <x:f>-Assumptions!$B$8*E1135</x:f>
        <x:v>2.288581291898245</x:v>
      </x:c>
      <x:c r="H1135" s="34" t="n">
        <x:f>-Assumptions!$B$9*E1135</x:f>
        <x:v>1.5355104631317509</x:v>
      </x:c>
      <x:c r="I1135" s="34" t="n">
        <x:f>-Assumptions!$B$10*E1135</x:f>
        <x:v>2.5641495095560773</x:v>
      </x:c>
      <x:c r="J1135" s="36" t="n">
        <x:f>IF(C1135&lt;-F1135,1,0)</x:f>
        <x:v>0</x:v>
      </x:c>
      <x:c r="K1135" s="36" t="n">
        <x:f>IF(C1135&lt;-G1135,1,0)</x:f>
        <x:v>0</x:v>
      </x:c>
      <x:c r="L1135" s="36" t="n">
        <x:f>IF(C1135&lt;-H1135,1,0)</x:f>
        <x:v>0</x:v>
      </x:c>
      <x:c r="M1135" s="36" t="n">
        <x:f>IF(C1135&lt;-I1135,1,0)</x:f>
        <x:v>0</x:v>
      </x:c>
      <x:c r="N1135" s="34" t="n">
        <x:f>-F1135</x:f>
        <x:v>-1.6181506130523065</x:v>
      </x:c>
      <x:c r="O1135" s="34" t="n">
        <x:f>-H1135</x:f>
        <x:v>-1.5355104631317509</x:v>
      </x:c>
      <x:c r="P1135" s="34" t="n">
        <x:f>-G1135</x:f>
        <x:v>-2.288581291898245</x:v>
      </x:c>
      <x:c r="Q1135" s="34" t="n">
        <x:f>-I1135</x:f>
        <x:v>-2.5641495095560773</x:v>
      </x:c>
      <x:c r="R1135" s="36" t="n">
        <x:f>YEAR(A1135)</x:f>
        <x:v>2025</x:v>
      </x:c>
    </x:row>
    <x:row r="1136">
      <x:c r="A1136" s="30" t="n">
        <x:v>45840</x:v>
      </x:c>
      <x:c r="B1136" s="38" t="n">
        <x:v>6227.42</x:v>
      </x:c>
      <x:c r="C1136" s="34" t="n">
        <x:f>(B1136/B1135-1)*100</x:f>
        <x:v>0.47450714019499074</x:v>
      </x:c>
      <x:c r="D1136" s="34" t="n">
        <x:f>Assumptions!$B$4*D1135+(1-Assumptions!$B$4)*C1135^2</x:f>
        <x:v>0.9104778670078376</x:v>
      </x:c>
      <x:c r="E1136" s="34" t="n">
        <x:f>SQRT(D1136)</x:f>
        <x:v>0.9541896389124321</x:v>
      </x:c>
      <x:c r="F1136" s="34" t="n">
        <x:f>-Assumptions!$B$7*E1136</x:f>
        <x:v>1.5695022883646303</x:v>
      </x:c>
      <x:c r="G1136" s="34" t="n">
        <x:f>-Assumptions!$B$8*E1136</x:f>
        <x:v>2.2197770379157338</x:v>
      </x:c>
      <x:c r="H1136" s="34" t="n">
        <x:f>-Assumptions!$B$9*E1136</x:f>
        <x:v>1.4893466444060939</x:v>
      </x:c>
      <x:c r="I1136" s="34" t="n">
        <x:f>-Assumptions!$B$10*E1136</x:f>
        <x:v>2.4870605310132636</x:v>
      </x:c>
      <x:c r="J1136" s="36" t="n">
        <x:f>IF(C1136&lt;-F1136,1,0)</x:f>
        <x:v>0</x:v>
      </x:c>
      <x:c r="K1136" s="36" t="n">
        <x:f>IF(C1136&lt;-G1136,1,0)</x:f>
        <x:v>0</x:v>
      </x:c>
      <x:c r="L1136" s="36" t="n">
        <x:f>IF(C1136&lt;-H1136,1,0)</x:f>
        <x:v>0</x:v>
      </x:c>
      <x:c r="M1136" s="36" t="n">
        <x:f>IF(C1136&lt;-I1136,1,0)</x:f>
        <x:v>0</x:v>
      </x:c>
      <x:c r="N1136" s="34" t="n">
        <x:f>-F1136</x:f>
        <x:v>-1.5695022883646303</x:v>
      </x:c>
      <x:c r="O1136" s="34" t="n">
        <x:f>-H1136</x:f>
        <x:v>-1.4893466444060939</x:v>
      </x:c>
      <x:c r="P1136" s="34" t="n">
        <x:f>-G1136</x:f>
        <x:v>-2.2197770379157338</x:v>
      </x:c>
      <x:c r="Q1136" s="34" t="n">
        <x:f>-I1136</x:f>
        <x:v>-2.4870605310132636</x:v>
      </x:c>
      <x:c r="R1136" s="36" t="n">
        <x:f>YEAR(A1136)</x:f>
        <x:v>2025</x:v>
      </x:c>
    </x:row>
    <x:row r="1137">
      <x:c r="A1137" s="30" t="n">
        <x:v>45841</x:v>
      </x:c>
      <x:c r="B1137" s="38" t="n">
        <x:v>6279.35</x:v>
      </x:c>
      <x:c r="C1137" s="34" t="n">
        <x:f>(B1137/B1136-1)*100</x:f>
        <x:v>0.833892687501403</x:v>
      </x:c>
      <x:c r="D1137" s="34" t="n">
        <x:f>Assumptions!$B$4*D1136+(1-Assumptions!$B$4)*C1136^2</x:f>
        <x:v>0.8693586165531291</x:v>
      </x:c>
      <x:c r="E1137" s="34" t="n">
        <x:f>SQRT(D1137)</x:f>
        <x:v>0.9323940243014909</x:v>
      </x:c>
      <x:c r="F1137" s="34" t="n">
        <x:f>-Assumptions!$B$7*E1137</x:f>
        <x:v>1.533651692620187</x:v>
      </x:c>
      <x:c r="G1137" s="34" t="n">
        <x:f>-Assumptions!$B$8*E1137</x:f>
        <x:v>2.169072856202157</x:v>
      </x:c>
      <x:c r="H1137" s="34" t="n">
        <x:f>-Assumptions!$B$9*E1137</x:f>
        <x:v>1.4553269651308374</x:v>
      </x:c>
      <x:c r="I1137" s="34" t="n">
        <x:f>-Assumptions!$B$10*E1137</x:f>
        <x:v>2.430251055582539</x:v>
      </x:c>
      <x:c r="J1137" s="36" t="n">
        <x:f>IF(C1137&lt;-F1137,1,0)</x:f>
        <x:v>0</x:v>
      </x:c>
      <x:c r="K1137" s="36" t="n">
        <x:f>IF(C1137&lt;-G1137,1,0)</x:f>
        <x:v>0</x:v>
      </x:c>
      <x:c r="L1137" s="36" t="n">
        <x:f>IF(C1137&lt;-H1137,1,0)</x:f>
        <x:v>0</x:v>
      </x:c>
      <x:c r="M1137" s="36" t="n">
        <x:f>IF(C1137&lt;-I1137,1,0)</x:f>
        <x:v>0</x:v>
      </x:c>
      <x:c r="N1137" s="34" t="n">
        <x:f>-F1137</x:f>
        <x:v>-1.533651692620187</x:v>
      </x:c>
      <x:c r="O1137" s="34" t="n">
        <x:f>-H1137</x:f>
        <x:v>-1.4553269651308374</x:v>
      </x:c>
      <x:c r="P1137" s="34" t="n">
        <x:f>-G1137</x:f>
        <x:v>-2.169072856202157</x:v>
      </x:c>
      <x:c r="Q1137" s="34" t="n">
        <x:f>-I1137</x:f>
        <x:v>-2.430251055582539</x:v>
      </x:c>
      <x:c r="R1137" s="36" t="n">
        <x:f>YEAR(A1137)</x:f>
        <x:v>2025</x:v>
      </x:c>
    </x:row>
    <x:row r="1138">
      <x:c r="A1138" s="30" t="n">
        <x:v>45845</x:v>
      </x:c>
      <x:c r="B1138" s="38" t="n">
        <x:v>6229.98</x:v>
      </x:c>
      <x:c r="C1138" s="34" t="n">
        <x:f>(B1138/B1137-1)*100</x:f>
        <x:v>-0.786227873904155</x:v>
      </x:c>
      <x:c r="D1138" s="34" t="n">
        <x:f>Assumptions!$B$4*D1137+(1-Assumptions!$B$4)*C1137^2</x:f>
        <x:v>0.85891972041604</x:v>
      </x:c>
      <x:c r="E1138" s="34" t="n">
        <x:f>SQRT(D1138)</x:f>
        <x:v>0.9267792188089028</x:v>
      </x:c>
      <x:c r="F1138" s="34" t="n">
        <x:f>-Assumptions!$B$7*E1138</x:f>
        <x:v>1.5244161594410763</x:v>
      </x:c>
      <x:c r="G1138" s="34" t="n">
        <x:f>-Assumptions!$B$8*E1138</x:f>
        <x:v>2.156010865381322</x:v>
      </x:c>
      <x:c r="H1138" s="34" t="n">
        <x:f>-Assumptions!$B$9*E1138</x:f>
        <x:v>1.4465630974693626</x:v>
      </x:c>
      <x:c r="I1138" s="34" t="n">
        <x:f>-Assumptions!$B$10*E1138</x:f>
        <x:v>2.4156162696233783</x:v>
      </x:c>
      <x:c r="J1138" s="36" t="n">
        <x:f>IF(C1138&lt;-F1138,1,0)</x:f>
        <x:v>0</x:v>
      </x:c>
      <x:c r="K1138" s="36" t="n">
        <x:f>IF(C1138&lt;-G1138,1,0)</x:f>
        <x:v>0</x:v>
      </x:c>
      <x:c r="L1138" s="36" t="n">
        <x:f>IF(C1138&lt;-H1138,1,0)</x:f>
        <x:v>0</x:v>
      </x:c>
      <x:c r="M1138" s="36" t="n">
        <x:f>IF(C1138&lt;-I1138,1,0)</x:f>
        <x:v>0</x:v>
      </x:c>
      <x:c r="N1138" s="34" t="n">
        <x:f>-F1138</x:f>
        <x:v>-1.5244161594410763</x:v>
      </x:c>
      <x:c r="O1138" s="34" t="n">
        <x:f>-H1138</x:f>
        <x:v>-1.4465630974693626</x:v>
      </x:c>
      <x:c r="P1138" s="34" t="n">
        <x:f>-G1138</x:f>
        <x:v>-2.156010865381322</x:v>
      </x:c>
      <x:c r="Q1138" s="34" t="n">
        <x:f>-I1138</x:f>
        <x:v>-2.4156162696233783</x:v>
      </x:c>
      <x:c r="R1138" s="36" t="n">
        <x:f>YEAR(A1138)</x:f>
        <x:v>2025</x:v>
      </x:c>
    </x:row>
    <x:row r="1139">
      <x:c r="A1139" s="30" t="n">
        <x:v>45846</x:v>
      </x:c>
      <x:c r="B1139" s="38" t="n">
        <x:v>6225.52</x:v>
      </x:c>
      <x:c r="C1139" s="34" t="n">
        <x:f>(B1139/B1138-1)*100</x:f>
        <x:v>-0.07158931489344988</x:v>
      </x:c>
      <x:c r="D1139" s="34" t="n">
        <x:f>Assumptions!$B$4*D1138+(1-Assumptions!$B$4)*C1138^2</x:f>
        <x:v>0.8444737933733085</x:v>
      </x:c>
      <x:c r="E1139" s="34" t="n">
        <x:f>SQRT(D1139)</x:f>
        <x:v>0.9189525522970751</x:v>
      </x:c>
      <x:c r="F1139" s="34" t="n">
        <x:f>-Assumptions!$B$7*E1139</x:f>
        <x:v>1.511542438642157</x:v>
      </x:c>
      <x:c r="G1139" s="34" t="n">
        <x:f>-Assumptions!$B$8*E1139</x:f>
        <x:v>2.1378033163807046</x:v>
      </x:c>
      <x:c r="H1139" s="34" t="n">
        <x:f>-Assumptions!$B$9*E1139</x:f>
        <x:v>1.4343468471236114</x:v>
      </x:c>
      <x:c r="I1139" s="34" t="n">
        <x:f>-Assumptions!$B$10*E1139</x:f>
        <x:v>2.3952163484995688</x:v>
      </x:c>
      <x:c r="J1139" s="36" t="n">
        <x:f>IF(C1139&lt;-F1139,1,0)</x:f>
        <x:v>0</x:v>
      </x:c>
      <x:c r="K1139" s="36" t="n">
        <x:f>IF(C1139&lt;-G1139,1,0)</x:f>
        <x:v>0</x:v>
      </x:c>
      <x:c r="L1139" s="36" t="n">
        <x:f>IF(C1139&lt;-H1139,1,0)</x:f>
        <x:v>0</x:v>
      </x:c>
      <x:c r="M1139" s="36" t="n">
        <x:f>IF(C1139&lt;-I1139,1,0)</x:f>
        <x:v>0</x:v>
      </x:c>
      <x:c r="N1139" s="34" t="n">
        <x:f>-F1139</x:f>
        <x:v>-1.511542438642157</x:v>
      </x:c>
      <x:c r="O1139" s="34" t="n">
        <x:f>-H1139</x:f>
        <x:v>-1.4343468471236114</x:v>
      </x:c>
      <x:c r="P1139" s="34" t="n">
        <x:f>-G1139</x:f>
        <x:v>-2.1378033163807046</x:v>
      </x:c>
      <x:c r="Q1139" s="34" t="n">
        <x:f>-I1139</x:f>
        <x:v>-2.3952163484995688</x:v>
      </x:c>
      <x:c r="R1139" s="36" t="n">
        <x:f>YEAR(A1139)</x:f>
        <x:v>2025</x:v>
      </x:c>
    </x:row>
    <x:row r="1140">
      <x:c r="A1140" s="30" t="n">
        <x:v>45847</x:v>
      </x:c>
      <x:c r="B1140" s="38" t="n">
        <x:v>6263.26</x:v>
      </x:c>
      <x:c r="C1140" s="34" t="n">
        <x:f>(B1140/B1139-1)*100</x:f>
        <x:v>0.60621442064277</x:v>
      </x:c>
      <x:c r="D1140" s="34" t="n">
        <x:f>Assumptions!$B$4*D1139+(1-Assumptions!$B$4)*C1139^2</x:f>
        <x:v>0.7941128675713248</x:v>
      </x:c>
      <x:c r="E1140" s="34" t="n">
        <x:f>SQRT(D1140)</x:f>
        <x:v>0.8911301069828832</x:v>
      </x:c>
      <x:c r="F1140" s="34" t="n">
        <x:f>-Assumptions!$B$7*E1140</x:f>
        <x:v>1.4657785885564494</x:v>
      </x:c>
      <x:c r="G1140" s="34" t="n">
        <x:f>-Assumptions!$B$8*E1140</x:f>
        <x:v>2.0730786298734167</x:v>
      </x:c>
      <x:c r="H1140" s="34" t="n">
        <x:f>-Assumptions!$B$9*E1140</x:f>
        <x:v>1.3909201907462763</x:v>
      </x:c>
      <x:c r="I1140" s="34" t="n">
        <x:f>-Assumptions!$B$10*E1140</x:f>
        <x:v>2.3226981584088966</x:v>
      </x:c>
      <x:c r="J1140" s="36" t="n">
        <x:f>IF(C1140&lt;-F1140,1,0)</x:f>
        <x:v>0</x:v>
      </x:c>
      <x:c r="K1140" s="36" t="n">
        <x:f>IF(C1140&lt;-G1140,1,0)</x:f>
        <x:v>0</x:v>
      </x:c>
      <x:c r="L1140" s="36" t="n">
        <x:f>IF(C1140&lt;-H1140,1,0)</x:f>
        <x:v>0</x:v>
      </x:c>
      <x:c r="M1140" s="36" t="n">
        <x:f>IF(C1140&lt;-I1140,1,0)</x:f>
        <x:v>0</x:v>
      </x:c>
      <x:c r="N1140" s="34" t="n">
        <x:f>-F1140</x:f>
        <x:v>-1.4657785885564494</x:v>
      </x:c>
      <x:c r="O1140" s="34" t="n">
        <x:f>-H1140</x:f>
        <x:v>-1.3909201907462763</x:v>
      </x:c>
      <x:c r="P1140" s="34" t="n">
        <x:f>-G1140</x:f>
        <x:v>-2.0730786298734167</x:v>
      </x:c>
      <x:c r="Q1140" s="34" t="n">
        <x:f>-I1140</x:f>
        <x:v>-2.3226981584088966</x:v>
      </x:c>
      <x:c r="R1140" s="36" t="n">
        <x:f>YEAR(A1140)</x:f>
        <x:v>2025</x:v>
      </x:c>
    </x:row>
    <x:row r="1141">
      <x:c r="A1141" s="30" t="n">
        <x:v>45848</x:v>
      </x:c>
      <x:c r="B1141" s="38" t="n">
        <x:v>6280.46</x:v>
      </x:c>
      <x:c r="C1141" s="34" t="n">
        <x:f>(B1141/B1140-1)*100</x:f>
        <x:v>0.274617371784025</x:v>
      </x:c>
      <x:c r="D1141" s="34" t="n">
        <x:f>Assumptions!$B$4*D1140+(1-Assumptions!$B$4)*C1140^2</x:f>
        <x:v>0.7685158509447602</x:v>
      </x:c>
      <x:c r="E1141" s="34" t="n">
        <x:f>SQRT(D1141)</x:f>
        <x:v>0.8766503584353115</x:v>
      </x:c>
      <x:c r="F1141" s="34" t="n">
        <x:f>-Assumptions!$B$7*E1141</x:f>
        <x:v>1.4419615216406307</x:v>
      </x:c>
      <x:c r="G1141" s="34" t="n">
        <x:f>-Assumptions!$B$8*E1141</x:f>
        <x:v>2.0393936976231273</x:v>
      </x:c>
      <x:c r="H1141" s="34" t="n">
        <x:f>-Assumptions!$B$9*E1141</x:f>
        <x:v>1.3683194790724944</x:v>
      </x:c>
      <x:c r="I1141" s="34" t="n">
        <x:f>-Assumptions!$B$10*E1141</x:f>
        <x:v>2.2849572213424367</x:v>
      </x:c>
      <x:c r="J1141" s="36" t="n">
        <x:f>IF(C1141&lt;-F1141,1,0)</x:f>
        <x:v>0</x:v>
      </x:c>
      <x:c r="K1141" s="36" t="n">
        <x:f>IF(C1141&lt;-G1141,1,0)</x:f>
        <x:v>0</x:v>
      </x:c>
      <x:c r="L1141" s="36" t="n">
        <x:f>IF(C1141&lt;-H1141,1,0)</x:f>
        <x:v>0</x:v>
      </x:c>
      <x:c r="M1141" s="36" t="n">
        <x:f>IF(C1141&lt;-I1141,1,0)</x:f>
        <x:v>0</x:v>
      </x:c>
      <x:c r="N1141" s="34" t="n">
        <x:f>-F1141</x:f>
        <x:v>-1.4419615216406307</x:v>
      </x:c>
      <x:c r="O1141" s="34" t="n">
        <x:f>-H1141</x:f>
        <x:v>-1.3683194790724944</x:v>
      </x:c>
      <x:c r="P1141" s="34" t="n">
        <x:f>-G1141</x:f>
        <x:v>-2.0393936976231273</x:v>
      </x:c>
      <x:c r="Q1141" s="34" t="n">
        <x:f>-I1141</x:f>
        <x:v>-2.2849572213424367</x:v>
      </x:c>
      <x:c r="R1141" s="36" t="n">
        <x:f>YEAR(A1141)</x:f>
        <x:v>2025</x:v>
      </x:c>
    </x:row>
    <x:row r="1142">
      <x:c r="A1142" s="30" t="n">
        <x:v>45849</x:v>
      </x:c>
      <x:c r="B1142" s="38" t="n">
        <x:v>6259.75</x:v>
      </x:c>
      <x:c r="C1142" s="34" t="n">
        <x:f>(B1142/B1141-1)*100</x:f>
        <x:v>-0.32975291618766445</x:v>
      </x:c>
      <x:c r="D1142" s="34" t="n">
        <x:f>Assumptions!$B$4*D1141+(1-Assumptions!$B$4)*C1141^2</x:f>
        <x:v>0.7269297819412085</x:v>
      </x:c>
      <x:c r="E1142" s="34" t="n">
        <x:f>SQRT(D1142)</x:f>
        <x:v>0.8526017721898123</x:v>
      </x:c>
      <x:c r="F1142" s="34" t="n">
        <x:f>-Assumptions!$B$7*E1142</x:f>
        <x:v>1.402405117331666</x:v>
      </x:c>
      <x:c r="G1142" s="34" t="n">
        <x:f>-Assumptions!$B$8*E1142</x:f>
        <x:v>1.9834483201372226</x:v>
      </x:c>
      <x:c r="H1142" s="34" t="n">
        <x:f>-Assumptions!$B$9*E1142</x:f>
        <x:v>1.3307832496199632</x:v>
      </x:c>
      <x:c r="I1142" s="34" t="n">
        <x:f>-Assumptions!$B$10*E1142</x:f>
        <x:v>2.222275457425968</x:v>
      </x:c>
      <x:c r="J1142" s="36" t="n">
        <x:f>IF(C1142&lt;-F1142,1,0)</x:f>
        <x:v>0</x:v>
      </x:c>
      <x:c r="K1142" s="36" t="n">
        <x:f>IF(C1142&lt;-G1142,1,0)</x:f>
        <x:v>0</x:v>
      </x:c>
      <x:c r="L1142" s="36" t="n">
        <x:f>IF(C1142&lt;-H1142,1,0)</x:f>
        <x:v>0</x:v>
      </x:c>
      <x:c r="M1142" s="36" t="n">
        <x:f>IF(C1142&lt;-I1142,1,0)</x:f>
        <x:v>0</x:v>
      </x:c>
      <x:c r="N1142" s="34" t="n">
        <x:f>-F1142</x:f>
        <x:v>-1.402405117331666</x:v>
      </x:c>
      <x:c r="O1142" s="34" t="n">
        <x:f>-H1142</x:f>
        <x:v>-1.3307832496199632</x:v>
      </x:c>
      <x:c r="P1142" s="34" t="n">
        <x:f>-G1142</x:f>
        <x:v>-1.9834483201372226</x:v>
      </x:c>
      <x:c r="Q1142" s="34" t="n">
        <x:f>-I1142</x:f>
        <x:v>-2.222275457425968</x:v>
      </x:c>
      <x:c r="R1142" s="36" t="n">
        <x:f>YEAR(A1142)</x:f>
        <x:v>2025</x:v>
      </x:c>
    </x:row>
    <x:row r="1143">
      <x:c r="A1143" s="30" t="n">
        <x:v>45852</x:v>
      </x:c>
      <x:c r="B1143" s="38" t="n">
        <x:v>6268.56</x:v>
      </x:c>
      <x:c r="C1143" s="34" t="n">
        <x:f>(B1143/B1142-1)*100</x:f>
        <x:v>0.14074044490595128</x:v>
      </x:c>
      <x:c r="D1143" s="34" t="n">
        <x:f>Assumptions!$B$4*D1142+(1-Assumptions!$B$4)*C1142^2</x:f>
        <x:v>0.6898382141687921</x:v>
      </x:c>
      <x:c r="E1143" s="34" t="n">
        <x:f>SQRT(D1143)</x:f>
        <x:v>0.8305649969561636</x:v>
      </x:c>
      <x:c r="F1143" s="34" t="n">
        <x:f>-Assumptions!$B$7*E1143</x:f>
        <x:v>1.3661578476622847</x:v>
      </x:c>
      <x:c r="G1143" s="34" t="n">
        <x:f>-Assumptions!$B$8*E1143</x:f>
        <x:v>1.9321831149217081</x:v>
      </x:c>
      <x:c r="H1143" s="34" t="n">
        <x:f>-Assumptions!$B$9*E1143</x:f>
        <x:v>1.2963871548508208</x:v>
      </x:c>
      <x:c r="I1143" s="34" t="n">
        <x:f>-Assumptions!$B$10*E1143</x:f>
        <x:v>2.164837405618063</x:v>
      </x:c>
      <x:c r="J1143" s="36" t="n">
        <x:f>IF(C1143&lt;-F1143,1,0)</x:f>
        <x:v>0</x:v>
      </x:c>
      <x:c r="K1143" s="36" t="n">
        <x:f>IF(C1143&lt;-G1143,1,0)</x:f>
        <x:v>0</x:v>
      </x:c>
      <x:c r="L1143" s="36" t="n">
        <x:f>IF(C1143&lt;-H1143,1,0)</x:f>
        <x:v>0</x:v>
      </x:c>
      <x:c r="M1143" s="36" t="n">
        <x:f>IF(C1143&lt;-I1143,1,0)</x:f>
        <x:v>0</x:v>
      </x:c>
      <x:c r="N1143" s="34" t="n">
        <x:f>-F1143</x:f>
        <x:v>-1.3661578476622847</x:v>
      </x:c>
      <x:c r="O1143" s="34" t="n">
        <x:f>-H1143</x:f>
        <x:v>-1.2963871548508208</x:v>
      </x:c>
      <x:c r="P1143" s="34" t="n">
        <x:f>-G1143</x:f>
        <x:v>-1.9321831149217081</x:v>
      </x:c>
      <x:c r="Q1143" s="34" t="n">
        <x:f>-I1143</x:f>
        <x:v>-2.164837405618063</x:v>
      </x:c>
      <x:c r="R1143" s="36" t="n">
        <x:f>YEAR(A1143)</x:f>
        <x:v>2025</x:v>
      </x:c>
    </x:row>
    <x:row r="1144">
      <x:c r="A1144" s="30" t="n">
        <x:v>45853</x:v>
      </x:c>
      <x:c r="B1144" s="38" t="n">
        <x:v>6243.76</x:v>
      </x:c>
      <x:c r="C1144" s="34" t="n">
        <x:f>(B1144/B1143-1)*100</x:f>
        <x:v>-0.3956251515499609</x:v>
      </x:c>
      <x:c r="D1144" s="34" t="n">
        <x:f>Assumptions!$B$4*D1143+(1-Assumptions!$B$4)*C1143^2</x:f>
        <x:v>0.649636393688604</x:v>
      </x:c>
      <x:c r="E1144" s="34" t="n">
        <x:f>SQRT(D1144)</x:f>
        <x:v>0.8060002442236628</x:v>
      </x:c>
      <x:c r="F1144" s="34" t="n">
        <x:f>-Assumptions!$B$7*E1144</x:f>
        <x:v>1.3257524250350647</x:v>
      </x:c>
      <x:c r="G1144" s="34" t="n">
        <x:f>-Assumptions!$B$8*E1144</x:f>
        <x:v>1.875036954626116</x:v>
      </x:c>
      <x:c r="H1144" s="34" t="n">
        <x:f>-Assumptions!$B$9*E1144</x:f>
        <x:v>1.2580452670741782</x:v>
      </x:c>
      <x:c r="I1144" s="34" t="n">
        <x:f>-Assumptions!$B$10*E1144</x:f>
        <x:v>2.1008102725580806</x:v>
      </x:c>
      <x:c r="J1144" s="36" t="n">
        <x:f>IF(C1144&lt;-F1144,1,0)</x:f>
        <x:v>0</x:v>
      </x:c>
      <x:c r="K1144" s="36" t="n">
        <x:f>IF(C1144&lt;-G1144,1,0)</x:f>
        <x:v>0</x:v>
      </x:c>
      <x:c r="L1144" s="36" t="n">
        <x:f>IF(C1144&lt;-H1144,1,0)</x:f>
        <x:v>0</x:v>
      </x:c>
      <x:c r="M1144" s="36" t="n">
        <x:f>IF(C1144&lt;-I1144,1,0)</x:f>
        <x:v>0</x:v>
      </x:c>
      <x:c r="N1144" s="34" t="n">
        <x:f>-F1144</x:f>
        <x:v>-1.3257524250350647</x:v>
      </x:c>
      <x:c r="O1144" s="34" t="n">
        <x:f>-H1144</x:f>
        <x:v>-1.2580452670741782</x:v>
      </x:c>
      <x:c r="P1144" s="34" t="n">
        <x:f>-G1144</x:f>
        <x:v>-1.875036954626116</x:v>
      </x:c>
      <x:c r="Q1144" s="34" t="n">
        <x:f>-I1144</x:f>
        <x:v>-2.1008102725580806</x:v>
      </x:c>
      <x:c r="R1144" s="36" t="n">
        <x:f>YEAR(A1144)</x:f>
        <x:v>2025</x:v>
      </x:c>
    </x:row>
    <x:row r="1145">
      <x:c r="A1145" s="30" t="n">
        <x:v>45854</x:v>
      </x:c>
      <x:c r="B1145" s="38" t="n">
        <x:v>6263.7</x:v>
      </x:c>
      <x:c r="C1145" s="34" t="n">
        <x:f>(B1145/B1144-1)*100</x:f>
        <x:v>0.3193588478737075</x:v>
      </x:c>
      <x:c r="D1145" s="34" t="n">
        <x:f>Assumptions!$B$4*D1144+(1-Assumptions!$B$4)*C1144^2</x:f>
        <x:v>0.6200493656996235</x:v>
      </x:c>
      <x:c r="E1145" s="34" t="n">
        <x:f>SQRT(D1145)</x:f>
        <x:v>0.7874321340278307</x:v>
      </x:c>
      <x:c r="F1145" s="34" t="n">
        <x:f>-Assumptions!$B$7*E1145</x:f>
        <x:v>1.2952106016338156</x:v>
      </x:c>
      <x:c r="G1145" s="34" t="n">
        <x:f>-Assumptions!$B$8*E1145</x:f>
        <x:v>1.831841070947086</x:v>
      </x:c>
      <x:c r="H1145" s="34" t="n">
        <x:f>-Assumptions!$B$9*E1145</x:f>
        <x:v>1.229063237207825</x:v>
      </x:c>
      <x:c r="I1145" s="34" t="n">
        <x:f>-Assumptions!$B$10*E1145</x:f>
        <x:v>2.052413169801658</x:v>
      </x:c>
      <x:c r="J1145" s="36" t="n">
        <x:f>IF(C1145&lt;-F1145,1,0)</x:f>
        <x:v>0</x:v>
      </x:c>
      <x:c r="K1145" s="36" t="n">
        <x:f>IF(C1145&lt;-G1145,1,0)</x:f>
        <x:v>0</x:v>
      </x:c>
      <x:c r="L1145" s="36" t="n">
        <x:f>IF(C1145&lt;-H1145,1,0)</x:f>
        <x:v>0</x:v>
      </x:c>
      <x:c r="M1145" s="36" t="n">
        <x:f>IF(C1145&lt;-I1145,1,0)</x:f>
        <x:v>0</x:v>
      </x:c>
      <x:c r="N1145" s="34" t="n">
        <x:f>-F1145</x:f>
        <x:v>-1.2952106016338156</x:v>
      </x:c>
      <x:c r="O1145" s="34" t="n">
        <x:f>-H1145</x:f>
        <x:v>-1.229063237207825</x:v>
      </x:c>
      <x:c r="P1145" s="34" t="n">
        <x:f>-G1145</x:f>
        <x:v>-1.831841070947086</x:v>
      </x:c>
      <x:c r="Q1145" s="34" t="n">
        <x:f>-I1145</x:f>
        <x:v>-2.052413169801658</x:v>
      </x:c>
      <x:c r="R1145" s="36" t="n">
        <x:f>YEAR(A1145)</x:f>
        <x:v>2025</x:v>
      </x:c>
    </x:row>
    <x:row r="1146">
      <x:c r="A1146" s="30" t="n">
        <x:v>45855</x:v>
      </x:c>
      <x:c r="B1146" s="38" t="n">
        <x:v>6297.36</x:v>
      </x:c>
      <x:c r="C1146" s="34" t="n">
        <x:f>(B1146/B1145-1)*100</x:f>
        <x:v>0.5373820585277134</x:v>
      </x:c>
      <x:c r="D1146" s="34" t="n">
        <x:f>Assumptions!$B$4*D1145+(1-Assumptions!$B$4)*C1145^2</x:f>
        <x:v>0.5889658081805594</x:v>
      </x:c>
      <x:c r="E1146" s="34" t="n">
        <x:f>SQRT(D1146)</x:f>
        <x:v>0.7674410779861601</x:v>
      </x:c>
      <x:c r="F1146" s="34" t="n">
        <x:f>-Assumptions!$B$7*E1146</x:f>
        <x:v>1.2623282405970837</x:v>
      </x:c>
      <x:c r="G1146" s="34" t="n">
        <x:f>-Assumptions!$B$8*E1146</x:f>
        <x:v>1.7853349202247144</x:v>
      </x:c>
      <x:c r="H1146" s="34" t="n">
        <x:f>-Assumptions!$B$9*E1146</x:f>
        <x:v>1.1978602026960148</x:v>
      </x:c>
      <x:c r="I1146" s="34" t="n">
        <x:f>-Assumptions!$B$10*E1146</x:f>
        <x:v>2.0003072105384847</x:v>
      </x:c>
      <x:c r="J1146" s="36" t="n">
        <x:f>IF(C1146&lt;-F1146,1,0)</x:f>
        <x:v>0</x:v>
      </x:c>
      <x:c r="K1146" s="36" t="n">
        <x:f>IF(C1146&lt;-G1146,1,0)</x:f>
        <x:v>0</x:v>
      </x:c>
      <x:c r="L1146" s="36" t="n">
        <x:f>IF(C1146&lt;-H1146,1,0)</x:f>
        <x:v>0</x:v>
      </x:c>
      <x:c r="M1146" s="36" t="n">
        <x:f>IF(C1146&lt;-I1146,1,0)</x:f>
        <x:v>0</x:v>
      </x:c>
      <x:c r="N1146" s="34" t="n">
        <x:f>-F1146</x:f>
        <x:v>-1.2623282405970837</x:v>
      </x:c>
      <x:c r="O1146" s="34" t="n">
        <x:f>-H1146</x:f>
        <x:v>-1.1978602026960148</x:v>
      </x:c>
      <x:c r="P1146" s="34" t="n">
        <x:f>-G1146</x:f>
        <x:v>-1.7853349202247144</x:v>
      </x:c>
      <x:c r="Q1146" s="34" t="n">
        <x:f>-I1146</x:f>
        <x:v>-2.0003072105384847</x:v>
      </x:c>
      <x:c r="R1146" s="36" t="n">
        <x:f>YEAR(A1146)</x:f>
        <x:v>2025</x:v>
      </x:c>
    </x:row>
    <x:row r="1147">
      <x:c r="A1147" s="30" t="n">
        <x:v>45856</x:v>
      </x:c>
      <x:c r="B1147" s="38" t="n">
        <x:v>6296.79</x:v>
      </x:c>
      <x:c r="C1147" s="34" t="n">
        <x:f>(B1147/B1146-1)*100</x:f>
        <x:v>-0.009051412020266714</x:v>
      </x:c>
      <x:c r="D1147" s="34" t="n">
        <x:f>Assumptions!$B$4*D1146+(1-Assumptions!$B$4)*C1146^2</x:f>
        <x:v>0.5709546282993748</x:v>
      </x:c>
      <x:c r="E1147" s="34" t="n">
        <x:f>SQRT(D1147)</x:f>
        <x:v>0.7556153970766972</x:v>
      </x:c>
      <x:c r="F1147" s="34" t="n">
        <x:f>-Assumptions!$B$7*E1147</x:f>
        <x:v>1.2428767264619829</x:v>
      </x:c>
      <x:c r="G1147" s="34" t="n">
        <x:f>-Assumptions!$B$8*E1147</x:f>
        <x:v>1.7578242725819</x:v>
      </x:c>
      <x:c r="H1147" s="34" t="n">
        <x:f>-Assumptions!$B$9*E1147</x:f>
        <x:v>1.1794020917900943</x:v>
      </x:c>
      <x:c r="I1147" s="34" t="n">
        <x:f>-Assumptions!$B$10*E1147</x:f>
        <x:v>1.9694840040783888</x:v>
      </x:c>
      <x:c r="J1147" s="36" t="n">
        <x:f>IF(C1147&lt;-F1147,1,0)</x:f>
        <x:v>0</x:v>
      </x:c>
      <x:c r="K1147" s="36" t="n">
        <x:f>IF(C1147&lt;-G1147,1,0)</x:f>
        <x:v>0</x:v>
      </x:c>
      <x:c r="L1147" s="36" t="n">
        <x:f>IF(C1147&lt;-H1147,1,0)</x:f>
        <x:v>0</x:v>
      </x:c>
      <x:c r="M1147" s="36" t="n">
        <x:f>IF(C1147&lt;-I1147,1,0)</x:f>
        <x:v>0</x:v>
      </x:c>
      <x:c r="N1147" s="34" t="n">
        <x:f>-F1147</x:f>
        <x:v>-1.2428767264619829</x:v>
      </x:c>
      <x:c r="O1147" s="34" t="n">
        <x:f>-H1147</x:f>
        <x:v>-1.1794020917900943</x:v>
      </x:c>
      <x:c r="P1147" s="34" t="n">
        <x:f>-G1147</x:f>
        <x:v>-1.7578242725819</x:v>
      </x:c>
      <x:c r="Q1147" s="34" t="n">
        <x:f>-I1147</x:f>
        <x:v>-1.9694840040783888</x:v>
      </x:c>
      <x:c r="R1147" s="36" t="n">
        <x:f>YEAR(A1147)</x:f>
        <x:v>2025</x:v>
      </x:c>
    </x:row>
    <x:row r="1148">
      <x:c r="A1148" s="30" t="n">
        <x:v>45859</x:v>
      </x:c>
      <x:c r="B1148" s="38" t="n">
        <x:v>6305.6</x:v>
      </x:c>
      <x:c r="C1148" s="34" t="n">
        <x:f>(B1148/B1147-1)*100</x:f>
        <x:v>0.13991255862113583</x:v>
      </x:c>
      <x:c r="D1148" s="34" t="n">
        <x:f>Assumptions!$B$4*D1147+(1-Assumptions!$B$4)*C1147^2</x:f>
        <x:v>0.536702266284986</x:v>
      </x:c>
      <x:c r="E1148" s="34" t="n">
        <x:f>SQRT(D1148)</x:f>
        <x:v>0.7325996630390884</x:v>
      </x:c>
      <x:c r="F1148" s="34" t="n">
        <x:f>-Assumptions!$B$7*E1148</x:f>
        <x:v>1.2050192128532715</x:v>
      </x:c>
      <x:c r="G1148" s="34" t="n">
        <x:f>-Assumptions!$B$8*E1148</x:f>
        <x:v>1.7042816686340192</x:v>
      </x:c>
      <x:c r="H1148" s="34" t="n">
        <x:f>-Assumptions!$B$9*E1148</x:f>
        <x:v>1.1434779894318612</x:v>
      </x:c>
      <x:c r="I1148" s="34" t="n">
        <x:f>-Assumptions!$B$10*E1148</x:f>
        <x:v>1.9094943318131583</x:v>
      </x:c>
      <x:c r="J1148" s="36" t="n">
        <x:f>IF(C1148&lt;-F1148,1,0)</x:f>
        <x:v>0</x:v>
      </x:c>
      <x:c r="K1148" s="36" t="n">
        <x:f>IF(C1148&lt;-G1148,1,0)</x:f>
        <x:v>0</x:v>
      </x:c>
      <x:c r="L1148" s="36" t="n">
        <x:f>IF(C1148&lt;-H1148,1,0)</x:f>
        <x:v>0</x:v>
      </x:c>
      <x:c r="M1148" s="36" t="n">
        <x:f>IF(C1148&lt;-I1148,1,0)</x:f>
        <x:v>0</x:v>
      </x:c>
      <x:c r="N1148" s="34" t="n">
        <x:f>-F1148</x:f>
        <x:v>-1.2050192128532715</x:v>
      </x:c>
      <x:c r="O1148" s="34" t="n">
        <x:f>-H1148</x:f>
        <x:v>-1.1434779894318612</x:v>
      </x:c>
      <x:c r="P1148" s="34" t="n">
        <x:f>-G1148</x:f>
        <x:v>-1.7042816686340192</x:v>
      </x:c>
      <x:c r="Q1148" s="34" t="n">
        <x:f>-I1148</x:f>
        <x:v>-1.9094943318131583</x:v>
      </x:c>
      <x:c r="R1148" s="36" t="n">
        <x:f>YEAR(A1148)</x:f>
        <x:v>2025</x:v>
      </x:c>
    </x:row>
    <x:row r="1149">
      <x:c r="A1149" s="30" t="n">
        <x:v>45860</x:v>
      </x:c>
      <x:c r="B1149" s="38" t="n">
        <x:v>6309.62</x:v>
      </x:c>
      <x:c r="C1149" s="34" t="n">
        <x:f>(B1149/B1148-1)*100</x:f>
        <x:v>0.06375285460542557</x:v>
      </x:c>
      <x:c r="D1149" s="34" t="n">
        <x:f>Assumptions!$B$4*D1148+(1-Assumptions!$B$4)*C1148^2</x:f>
        <x:v>0.5056746617514816</x:v>
      </x:c>
      <x:c r="E1149" s="34" t="n">
        <x:f>SQRT(D1149)</x:f>
        <x:v>0.7111080520929864</x:v>
      </x:c>
      <x:c r="F1149" s="34" t="n">
        <x:f>-Assumptions!$B$7*E1149</x:f>
        <x:v>1.1696686586395457</x:v>
      </x:c>
      <x:c r="G1149" s="34" t="n">
        <x:f>-Assumptions!$B$8*E1149</x:f>
        <x:v>1.6542847051998422</x:v>
      </x:c>
      <x:c r="H1149" s="34" t="n">
        <x:f>-Assumptions!$B$9*E1149</x:f>
        <x:v>1.1099328141961073</x:v>
      </x:c>
      <x:c r="I1149" s="34" t="n">
        <x:f>-Assumptions!$B$10*E1149</x:f>
        <x:v>1.8534772308594472</x:v>
      </x:c>
      <x:c r="J1149" s="36" t="n">
        <x:f>IF(C1149&lt;-F1149,1,0)</x:f>
        <x:v>0</x:v>
      </x:c>
      <x:c r="K1149" s="36" t="n">
        <x:f>IF(C1149&lt;-G1149,1,0)</x:f>
        <x:v>0</x:v>
      </x:c>
      <x:c r="L1149" s="36" t="n">
        <x:f>IF(C1149&lt;-H1149,1,0)</x:f>
        <x:v>0</x:v>
      </x:c>
      <x:c r="M1149" s="36" t="n">
        <x:f>IF(C1149&lt;-I1149,1,0)</x:f>
        <x:v>0</x:v>
      </x:c>
      <x:c r="N1149" s="34" t="n">
        <x:f>-F1149</x:f>
        <x:v>-1.1696686586395457</x:v>
      </x:c>
      <x:c r="O1149" s="34" t="n">
        <x:f>-H1149</x:f>
        <x:v>-1.1099328141961073</x:v>
      </x:c>
      <x:c r="P1149" s="34" t="n">
        <x:f>-G1149</x:f>
        <x:v>-1.6542847051998422</x:v>
      </x:c>
      <x:c r="Q1149" s="34" t="n">
        <x:f>-I1149</x:f>
        <x:v>-1.8534772308594472</x:v>
      </x:c>
      <x:c r="R1149" s="36" t="n">
        <x:f>YEAR(A1149)</x:f>
        <x:v>2025</x:v>
      </x:c>
    </x:row>
    <x:row r="1150">
      <x:c r="A1150" s="30" t="n">
        <x:v>45861</x:v>
      </x:c>
      <x:c r="B1150" s="38" t="n">
        <x:v>6358.91</x:v>
      </x:c>
      <x:c r="C1150" s="34" t="n">
        <x:f>(B1150/B1149-1)*100</x:f>
        <x:v>0.7811880905664648</x:v>
      </x:c>
      <x:c r="D1150" s="34" t="n">
        <x:f>Assumptions!$B$4*D1149+(1-Assumptions!$B$4)*C1149^2</x:f>
        <x:v>0.4755780476346131</x:v>
      </x:c>
      <x:c r="E1150" s="34" t="n">
        <x:f>SQRT(D1150)</x:f>
        <x:v>0.689621669928239</x:v>
      </x:c>
      <x:c r="F1150" s="34" t="n">
        <x:f>-Assumptions!$B$7*E1150</x:f>
        <x:v>1.1343267050057955</x:v>
      </x:c>
      <x:c r="G1150" s="34" t="n">
        <x:f>-Assumptions!$B$8*E1150</x:f>
        <x:v>1.6042999057300529</x:v>
      </x:c>
      <x:c r="H1150" s="34" t="n">
        <x:f>-Assumptions!$B$9*E1150</x:f>
        <x:v>1.0763958003023415</x:v>
      </x:c>
      <x:c r="I1150" s="34" t="n">
        <x:f>-Assumptions!$B$10*E1150</x:f>
        <x:v>1.797473758533843</x:v>
      </x:c>
      <x:c r="J1150" s="36" t="n">
        <x:f>IF(C1150&lt;-F1150,1,0)</x:f>
        <x:v>0</x:v>
      </x:c>
      <x:c r="K1150" s="36" t="n">
        <x:f>IF(C1150&lt;-G1150,1,0)</x:f>
        <x:v>0</x:v>
      </x:c>
      <x:c r="L1150" s="36" t="n">
        <x:f>IF(C1150&lt;-H1150,1,0)</x:f>
        <x:v>0</x:v>
      </x:c>
      <x:c r="M1150" s="36" t="n">
        <x:f>IF(C1150&lt;-I1150,1,0)</x:f>
        <x:v>0</x:v>
      </x:c>
      <x:c r="N1150" s="34" t="n">
        <x:f>-F1150</x:f>
        <x:v>-1.1343267050057955</x:v>
      </x:c>
      <x:c r="O1150" s="34" t="n">
        <x:f>-H1150</x:f>
        <x:v>-1.0763958003023415</x:v>
      </x:c>
      <x:c r="P1150" s="34" t="n">
        <x:f>-G1150</x:f>
        <x:v>-1.6042999057300529</x:v>
      </x:c>
      <x:c r="Q1150" s="34" t="n">
        <x:f>-I1150</x:f>
        <x:v>-1.797473758533843</x:v>
      </x:c>
      <x:c r="R1150" s="36" t="n">
        <x:f>YEAR(A1150)</x:f>
        <x:v>2025</x:v>
      </x:c>
    </x:row>
    <x:row r="1151">
      <x:c r="A1151" s="30" t="n">
        <x:v>45862</x:v>
      </x:c>
      <x:c r="B1151" s="38" t="n">
        <x:v>6363.35</x:v>
      </x:c>
      <x:c r="C1151" s="34" t="n">
        <x:f>(B1151/B1150-1)*100</x:f>
        <x:v>0.0698232873244109</x:v>
      </x:c>
      <x:c r="D1151" s="34" t="n">
        <x:f>Assumptions!$B$4*D1150+(1-Assumptions!$B$4)*C1150^2</x:f>
        <x:v>0.48365865474710906</x:v>
      </x:c>
      <x:c r="E1151" s="34" t="n">
        <x:f>SQRT(D1151)</x:f>
        <x:v>0.6954557173157102</x:v>
      </x:c>
      <x:c r="F1151" s="34" t="n">
        <x:f>-Assumptions!$B$7*E1151</x:f>
        <x:v>1.143922859010884</x:v>
      </x:c>
      <x:c r="G1151" s="34" t="n">
        <x:f>-Assumptions!$B$8*E1151</x:f>
        <x:v>1.6178719294669501</x:v>
      </x:c>
      <x:c r="H1151" s="34" t="n">
        <x:f>-Assumptions!$B$9*E1151</x:f>
        <x:v>1.0855018716172007</x:v>
      </x:c>
      <x:c r="I1151" s="34" t="n">
        <x:f>-Assumptions!$B$10*E1151</x:f>
        <x:v>1.8126799905046476</x:v>
      </x:c>
      <x:c r="J1151" s="36" t="n">
        <x:f>IF(C1151&lt;-F1151,1,0)</x:f>
        <x:v>0</x:v>
      </x:c>
      <x:c r="K1151" s="36" t="n">
        <x:f>IF(C1151&lt;-G1151,1,0)</x:f>
        <x:v>0</x:v>
      </x:c>
      <x:c r="L1151" s="36" t="n">
        <x:f>IF(C1151&lt;-H1151,1,0)</x:f>
        <x:v>0</x:v>
      </x:c>
      <x:c r="M1151" s="36" t="n">
        <x:f>IF(C1151&lt;-I1151,1,0)</x:f>
        <x:v>0</x:v>
      </x:c>
      <x:c r="N1151" s="34" t="n">
        <x:f>-F1151</x:f>
        <x:v>-1.143922859010884</x:v>
      </x:c>
      <x:c r="O1151" s="34" t="n">
        <x:f>-H1151</x:f>
        <x:v>-1.0855018716172007</x:v>
      </x:c>
      <x:c r="P1151" s="34" t="n">
        <x:f>-G1151</x:f>
        <x:v>-1.6178719294669501</x:v>
      </x:c>
      <x:c r="Q1151" s="34" t="n">
        <x:f>-I1151</x:f>
        <x:v>-1.8126799905046476</x:v>
      </x:c>
      <x:c r="R1151" s="36" t="n">
        <x:f>YEAR(A1151)</x:f>
        <x:v>2025</x:v>
      </x:c>
    </x:row>
    <x:row r="1152">
      <x:c r="A1152" s="30" t="n">
        <x:v>45863</x:v>
      </x:c>
      <x:c r="B1152" s="38" t="n">
        <x:v>6388.64</x:v>
      </x:c>
      <x:c r="C1152" s="34" t="n">
        <x:f>(B1152/B1151-1)*100</x:f>
        <x:v>0.39743217016194876</x:v>
      </x:c>
      <x:c r="D1152" s="34" t="n">
        <x:f>Assumptions!$B$4*D1151+(1-Assumptions!$B$4)*C1151^2</x:f>
        <x:v>0.45493165294944976</x:v>
      </x:c>
      <x:c r="E1152" s="34" t="n">
        <x:f>SQRT(D1152)</x:f>
        <x:v>0.6744862140544088</x:v>
      </x:c>
      <x:c r="F1152" s="34" t="n">
        <x:f>-Assumptions!$B$7*E1152</x:f>
        <x:v>1.1094310955161617</x:v>
      </x:c>
      <x:c r="G1152" s="34" t="n">
        <x:f>-Assumptions!$B$8*E1152</x:f>
        <x:v>1.5690895701353291</x:v>
      </x:c>
      <x:c r="H1152" s="34" t="n">
        <x:f>-Assumptions!$B$9*E1152</x:f>
        <x:v>1.0527716280225645</x:v>
      </x:c>
      <x:c r="I1152" s="34" t="n">
        <x:f>-Assumptions!$B$10*E1152</x:f>
        <x:v>1.758023744210065</x:v>
      </x:c>
      <x:c r="J1152" s="36" t="n">
        <x:f>IF(C1152&lt;-F1152,1,0)</x:f>
        <x:v>0</x:v>
      </x:c>
      <x:c r="K1152" s="36" t="n">
        <x:f>IF(C1152&lt;-G1152,1,0)</x:f>
        <x:v>0</x:v>
      </x:c>
      <x:c r="L1152" s="36" t="n">
        <x:f>IF(C1152&lt;-H1152,1,0)</x:f>
        <x:v>0</x:v>
      </x:c>
      <x:c r="M1152" s="36" t="n">
        <x:f>IF(C1152&lt;-I1152,1,0)</x:f>
        <x:v>0</x:v>
      </x:c>
      <x:c r="N1152" s="34" t="n">
        <x:f>-F1152</x:f>
        <x:v>-1.1094310955161617</x:v>
      </x:c>
      <x:c r="O1152" s="34" t="n">
        <x:f>-H1152</x:f>
        <x:v>-1.0527716280225645</x:v>
      </x:c>
      <x:c r="P1152" s="34" t="n">
        <x:f>-G1152</x:f>
        <x:v>-1.5690895701353291</x:v>
      </x:c>
      <x:c r="Q1152" s="34" t="n">
        <x:f>-I1152</x:f>
        <x:v>-1.758023744210065</x:v>
      </x:c>
      <x:c r="R1152" s="36" t="n">
        <x:f>YEAR(A1152)</x:f>
        <x:v>2025</x:v>
      </x:c>
    </x:row>
    <x:row r="1153">
      <x:c r="A1153" s="30" t="n">
        <x:v>45866</x:v>
      </x:c>
      <x:c r="B1153" s="38" t="n">
        <x:v>6389.77</x:v>
      </x:c>
      <x:c r="C1153" s="34" t="n">
        <x:f>(B1153/B1152-1)*100</x:f>
        <x:v>0.017687645570885202</x:v>
      </x:c>
      <x:c r="D1153" s="34" t="n">
        <x:f>Assumptions!$B$4*D1152+(1-Assumptions!$B$4)*C1152^2</x:f>
        <x:v>0.43711289356526095</x:v>
      </x:c>
      <x:c r="E1153" s="34" t="n">
        <x:f>SQRT(D1153)</x:f>
        <x:v>0.6611451380485687</x:v>
      </x:c>
      <x:c r="F1153" s="34" t="n">
        <x:f>-Assumptions!$B$7*E1153</x:f>
        <x:v>1.0874869782605203</x:v>
      </x:c>
      <x:c r="G1153" s="34" t="n">
        <x:f>-Assumptions!$B$8*E1153</x:f>
        <x:v>1.5380535863317255</x:v>
      </x:c>
      <x:c r="H1153" s="34" t="n">
        <x:f>-Assumptions!$B$9*E1153</x:f>
        <x:v>1.0319482130830442</x:v>
      </x:c>
      <x:c r="I1153" s="34" t="n">
        <x:f>-Assumptions!$B$10*E1153</x:f>
        <x:v>1.7232507156397787</x:v>
      </x:c>
      <x:c r="J1153" s="36" t="n">
        <x:f>IF(C1153&lt;-F1153,1,0)</x:f>
        <x:v>0</x:v>
      </x:c>
      <x:c r="K1153" s="36" t="n">
        <x:f>IF(C1153&lt;-G1153,1,0)</x:f>
        <x:v>0</x:v>
      </x:c>
      <x:c r="L1153" s="36" t="n">
        <x:f>IF(C1153&lt;-H1153,1,0)</x:f>
        <x:v>0</x:v>
      </x:c>
      <x:c r="M1153" s="36" t="n">
        <x:f>IF(C1153&lt;-I1153,1,0)</x:f>
        <x:v>0</x:v>
      </x:c>
      <x:c r="N1153" s="34" t="n">
        <x:f>-F1153</x:f>
        <x:v>-1.0874869782605203</x:v>
      </x:c>
      <x:c r="O1153" s="34" t="n">
        <x:f>-H1153</x:f>
        <x:v>-1.0319482130830442</x:v>
      </x:c>
      <x:c r="P1153" s="34" t="n">
        <x:f>-G1153</x:f>
        <x:v>-1.5380535863317255</x:v>
      </x:c>
      <x:c r="Q1153" s="34" t="n">
        <x:f>-I1153</x:f>
        <x:v>-1.7232507156397787</x:v>
      </x:c>
      <x:c r="R1153" s="36" t="n">
        <x:f>YEAR(A1153)</x:f>
        <x:v>2025</x:v>
      </x:c>
    </x:row>
    <x:row r="1154">
      <x:c r="A1154" s="30" t="n">
        <x:v>45867</x:v>
      </x:c>
      <x:c r="B1154" s="38" t="n">
        <x:v>6370.86</x:v>
      </x:c>
      <x:c r="C1154" s="34" t="n">
        <x:f>(B1154/B1153-1)*100</x:f>
        <x:v>-0.2959417944620957</x:v>
      </x:c>
      <x:c r="D1154" s="34" t="n">
        <x:f>Assumptions!$B$4*D1153+(1-Assumptions!$B$4)*C1153^2</x:f>
        <x:v>0.41090489111969575</x:v>
      </x:c>
      <x:c r="E1154" s="34" t="n">
        <x:f>SQRT(D1154)</x:f>
        <x:v>0.6410186355479034</x:v>
      </x:c>
      <x:c r="F1154" s="34" t="n">
        <x:f>-Assumptions!$B$7*E1154</x:f>
        <x:v>1.0543818276244532</x:v>
      </x:c>
      <x:c r="G1154" s="34" t="n">
        <x:f>-Assumptions!$B$8*E1154</x:f>
        <x:v>1.4912323400274252</x:v>
      </x:c>
      <x:c r="H1154" s="34" t="n">
        <x:f>-Assumptions!$B$9*E1154</x:f>
        <x:v>1.000533767001695</x:v>
      </x:c>
      <x:c r="I1154" s="34" t="n">
        <x:f>-Assumptions!$B$10*E1154</x:f>
        <x:v>1.6707917201157894</x:v>
      </x:c>
      <x:c r="J1154" s="36" t="n">
        <x:f>IF(C1154&lt;-F1154,1,0)</x:f>
        <x:v>0</x:v>
      </x:c>
      <x:c r="K1154" s="36" t="n">
        <x:f>IF(C1154&lt;-G1154,1,0)</x:f>
        <x:v>0</x:v>
      </x:c>
      <x:c r="L1154" s="36" t="n">
        <x:f>IF(C1154&lt;-H1154,1,0)</x:f>
        <x:v>0</x:v>
      </x:c>
      <x:c r="M1154" s="36" t="n">
        <x:f>IF(C1154&lt;-I1154,1,0)</x:f>
        <x:v>0</x:v>
      </x:c>
      <x:c r="N1154" s="34" t="n">
        <x:f>-F1154</x:f>
        <x:v>-1.0543818276244532</x:v>
      </x:c>
      <x:c r="O1154" s="34" t="n">
        <x:f>-H1154</x:f>
        <x:v>-1.000533767001695</x:v>
      </x:c>
      <x:c r="P1154" s="34" t="n">
        <x:f>-G1154</x:f>
        <x:v>-1.4912323400274252</x:v>
      </x:c>
      <x:c r="Q1154" s="34" t="n">
        <x:f>-I1154</x:f>
        <x:v>-1.6707917201157894</x:v>
      </x:c>
      <x:c r="R1154" s="36" t="n">
        <x:f>YEAR(A1154)</x:f>
        <x:v>2025</x:v>
      </x:c>
    </x:row>
    <x:row r="1155">
      <x:c r="A1155" s="30" t="n">
        <x:v>45868</x:v>
      </x:c>
      <x:c r="B1155" s="38" t="n">
        <x:v>6362.9</x:v>
      </x:c>
      <x:c r="C1155" s="34" t="n">
        <x:f>(B1155/B1154-1)*100</x:f>
        <x:v>-0.1249438851269713</x:v>
      </x:c>
      <x:c r="D1155" s="34" t="n">
        <x:f>Assumptions!$B$4*D1154+(1-Assumptions!$B$4)*C1154^2</x:f>
        <x:v>0.3915054903950807</x:v>
      </x:c>
      <x:c r="E1155" s="34" t="n">
        <x:f>SQRT(D1155)</x:f>
        <x:v>0.6257039958279639</x:v>
      </x:c>
      <x:c r="F1155" s="34" t="n">
        <x:f>-Assumptions!$B$7*E1155</x:f>
        <x:v>1.0291914869356555</x:v>
      </x:c>
      <x:c r="G1155" s="34" t="n">
        <x:f>-Assumptions!$B$8*E1155</x:f>
        <x:v>1.4556051604732425</x:v>
      </x:c>
      <x:c r="H1155" s="34" t="n">
        <x:f>-Assumptions!$B$9*E1155</x:f>
        <x:v>0.9766299156633202</x:v>
      </x:c>
      <x:c r="I1155" s="34" t="n">
        <x:f>-Assumptions!$B$10*E1155</x:f>
        <x:v>1.630874669625111</x:v>
      </x:c>
      <x:c r="J1155" s="36" t="n">
        <x:f>IF(C1155&lt;-F1155,1,0)</x:f>
        <x:v>0</x:v>
      </x:c>
      <x:c r="K1155" s="36" t="n">
        <x:f>IF(C1155&lt;-G1155,1,0)</x:f>
        <x:v>0</x:v>
      </x:c>
      <x:c r="L1155" s="36" t="n">
        <x:f>IF(C1155&lt;-H1155,1,0)</x:f>
        <x:v>0</x:v>
      </x:c>
      <x:c r="M1155" s="36" t="n">
        <x:f>IF(C1155&lt;-I1155,1,0)</x:f>
        <x:v>0</x:v>
      </x:c>
      <x:c r="N1155" s="34" t="n">
        <x:f>-F1155</x:f>
        <x:v>-1.0291914869356555</x:v>
      </x:c>
      <x:c r="O1155" s="34" t="n">
        <x:f>-H1155</x:f>
        <x:v>-0.9766299156633202</x:v>
      </x:c>
      <x:c r="P1155" s="34" t="n">
        <x:f>-G1155</x:f>
        <x:v>-1.4556051604732425</x:v>
      </x:c>
      <x:c r="Q1155" s="34" t="n">
        <x:f>-I1155</x:f>
        <x:v>-1.630874669625111</x:v>
      </x:c>
      <x:c r="R1155" s="36" t="n">
        <x:f>YEAR(A1155)</x:f>
        <x:v>2025</x:v>
      </x:c>
    </x:row>
    <x:row r="1156">
      <x:c r="A1156" s="30" t="n">
        <x:v>45869</x:v>
      </x:c>
      <x:c r="B1156" s="38" t="n">
        <x:v>6339.39</x:v>
      </x:c>
      <x:c r="C1156" s="34" t="n">
        <x:f>(B1156/B1155-1)*100</x:f>
        <x:v>-0.369485611906506</x:v>
      </x:c>
      <x:c r="D1156" s="34" t="n">
        <x:f>Assumptions!$B$4*D1155+(1-Assumptions!$B$4)*C1155^2</x:f>
        <x:v>0.3689518194372131</x:v>
      </x:c>
      <x:c r="E1156" s="34" t="n">
        <x:f>SQRT(D1156)</x:f>
        <x:v>0.607414042838337</x:v>
      </x:c>
      <x:c r="F1156" s="34" t="n">
        <x:f>-Assumptions!$B$7*E1156</x:f>
        <x:v>0.9991071914238959</x:v>
      </x:c>
      <x:c r="G1156" s="34" t="n">
        <x:f>-Assumptions!$B$8*E1156</x:f>
        <x:v>1.413056367219517</x:v>
      </x:c>
      <x:c r="H1156" s="34" t="n">
        <x:f>-Assumptions!$B$9*E1156</x:f>
        <x:v>0.9480820473983769</x:v>
      </x:c>
      <x:c r="I1156" s="34" t="n">
        <x:f>-Assumptions!$B$10*E1156</x:f>
        <x:v>1.5832025734929045</x:v>
      </x:c>
      <x:c r="J1156" s="36" t="n">
        <x:f>IF(C1156&lt;-F1156,1,0)</x:f>
        <x:v>0</x:v>
      </x:c>
      <x:c r="K1156" s="36" t="n">
        <x:f>IF(C1156&lt;-G1156,1,0)</x:f>
        <x:v>0</x:v>
      </x:c>
      <x:c r="L1156" s="36" t="n">
        <x:f>IF(C1156&lt;-H1156,1,0)</x:f>
        <x:v>0</x:v>
      </x:c>
      <x:c r="M1156" s="36" t="n">
        <x:f>IF(C1156&lt;-I1156,1,0)</x:f>
        <x:v>0</x:v>
      </x:c>
      <x:c r="N1156" s="34" t="n">
        <x:f>-F1156</x:f>
        <x:v>-0.9991071914238959</x:v>
      </x:c>
      <x:c r="O1156" s="34" t="n">
        <x:f>-H1156</x:f>
        <x:v>-0.9480820473983769</x:v>
      </x:c>
      <x:c r="P1156" s="34" t="n">
        <x:f>-G1156</x:f>
        <x:v>-1.413056367219517</x:v>
      </x:c>
      <x:c r="Q1156" s="34" t="n">
        <x:f>-I1156</x:f>
        <x:v>-1.5832025734929045</x:v>
      </x:c>
      <x:c r="R1156" s="36" t="n">
        <x:f>YEAR(A1156)</x:f>
        <x:v>2025</x:v>
      </x:c>
    </x:row>
    <x:row r="1157">
      <x:c r="A1157" s="30" t="n">
        <x:v>45870</x:v>
      </x:c>
      <x:c r="B1157" s="38" t="n">
        <x:v>6238.01</x:v>
      </x:c>
      <x:c r="C1157" s="34" t="n">
        <x:f>(B1157/B1156-1)*100</x:f>
        <x:v>-1.599207494727417</x:v>
      </x:c>
      <x:c r="D1157" s="34" t="n">
        <x:f>Assumptions!$B$4*D1156+(1-Assumptions!$B$4)*C1156^2</x:f>
        <x:v>0.35500588731533583</x:v>
      </x:c>
      <x:c r="E1157" s="34" t="n">
        <x:f>SQRT(D1157)</x:f>
        <x:v>0.5958237048954462</x:v>
      </x:c>
      <x:c r="F1157" s="34" t="n">
        <x:f>-Assumptions!$B$7*E1157</x:f>
        <x:v>0.9800427820209388</x:v>
      </x:c>
      <x:c r="G1157" s="34" t="n">
        <x:f>-Assumptions!$B$8*E1157</x:f>
        <x:v>1.3860932091866585</x:v>
      </x:c>
      <x:c r="H1157" s="34" t="n">
        <x:f>-Assumptions!$B$9*E1157</x:f>
        <x:v>0.9299912714993093</x:v>
      </x:c>
      <x:c r="I1157" s="34" t="n">
        <x:f>-Assumptions!$B$10*E1157</x:f>
        <x:v>1.5529927799012193</x:v>
      </x:c>
      <x:c r="J1157" s="36" t="n">
        <x:f>IF(C1157&lt;-F1157,1,0)</x:f>
        <x:v>1</x:v>
      </x:c>
      <x:c r="K1157" s="36" t="n">
        <x:f>IF(C1157&lt;-G1157,1,0)</x:f>
        <x:v>1</x:v>
      </x:c>
      <x:c r="L1157" s="36" t="n">
        <x:f>IF(C1157&lt;-H1157,1,0)</x:f>
        <x:v>1</x:v>
      </x:c>
      <x:c r="M1157" s="36" t="n">
        <x:f>IF(C1157&lt;-I1157,1,0)</x:f>
        <x:v>1</x:v>
      </x:c>
      <x:c r="N1157" s="34" t="n">
        <x:f>-F1157</x:f>
        <x:v>-0.9800427820209388</x:v>
      </x:c>
      <x:c r="O1157" s="34" t="n">
        <x:f>-H1157</x:f>
        <x:v>-0.9299912714993093</x:v>
      </x:c>
      <x:c r="P1157" s="34" t="n">
        <x:f>-G1157</x:f>
        <x:v>-1.3860932091866585</x:v>
      </x:c>
      <x:c r="Q1157" s="34" t="n">
        <x:f>-I1157</x:f>
        <x:v>-1.5529927799012193</x:v>
      </x:c>
      <x:c r="R1157" s="36" t="n">
        <x:f>YEAR(A1157)</x:f>
        <x:v>2025</x:v>
      </x:c>
    </x:row>
    <x:row r="1158">
      <x:c r="A1158" s="30" t="n">
        <x:v>45873</x:v>
      </x:c>
      <x:c r="B1158" s="38" t="n">
        <x:v>6329.94</x:v>
      </x:c>
      <x:c r="C1158" s="34" t="n">
        <x:f>(B1158/B1157-1)*100</x:f>
        <x:v>1.473707159815385</x:v>
      </x:c>
      <x:c r="D1158" s="34" t="n">
        <x:f>Assumptions!$B$4*D1157+(1-Assumptions!$B$4)*C1157^2</x:f>
        <x:v>0.4871534107479563</x:v>
      </x:c>
      <x:c r="E1158" s="34" t="n">
        <x:f>SQRT(D1158)</x:f>
        <x:v>0.6979637603400024</x:v>
      </x:c>
      <x:c r="F1158" s="34" t="n">
        <x:f>-Assumptions!$B$7*E1158</x:f>
        <x:v>1.1480482226759414</x:v>
      </x:c>
      <x:c r="G1158" s="34" t="n">
        <x:f>-Assumptions!$B$8*E1158</x:f>
        <x:v>1.6237065100245152</x:v>
      </x:c>
      <x:c r="H1158" s="34" t="n">
        <x:f>-Assumptions!$B$9*E1158</x:f>
        <x:v>1.0894165499053796</x:v>
      </x:c>
      <x:c r="I1158" s="34" t="n">
        <x:f>-Assumptions!$B$10*E1158</x:f>
        <x:v>1.8192171132750328</x:v>
      </x:c>
      <x:c r="J1158" s="36" t="n">
        <x:f>IF(C1158&lt;-F1158,1,0)</x:f>
        <x:v>0</x:v>
      </x:c>
      <x:c r="K1158" s="36" t="n">
        <x:f>IF(C1158&lt;-G1158,1,0)</x:f>
        <x:v>0</x:v>
      </x:c>
      <x:c r="L1158" s="36" t="n">
        <x:f>IF(C1158&lt;-H1158,1,0)</x:f>
        <x:v>0</x:v>
      </x:c>
      <x:c r="M1158" s="36" t="n">
        <x:f>IF(C1158&lt;-I1158,1,0)</x:f>
        <x:v>0</x:v>
      </x:c>
      <x:c r="N1158" s="34" t="n">
        <x:f>-F1158</x:f>
        <x:v>-1.1480482226759414</x:v>
      </x:c>
      <x:c r="O1158" s="34" t="n">
        <x:f>-H1158</x:f>
        <x:v>-1.0894165499053796</x:v>
      </x:c>
      <x:c r="P1158" s="34" t="n">
        <x:f>-G1158</x:f>
        <x:v>-1.6237065100245152</x:v>
      </x:c>
      <x:c r="Q1158" s="34" t="n">
        <x:f>-I1158</x:f>
        <x:v>-1.8192171132750328</x:v>
      </x:c>
      <x:c r="R1158" s="36" t="n">
        <x:f>YEAR(A1158)</x:f>
        <x:v>2025</x:v>
      </x:c>
    </x:row>
    <x:row r="1159">
      <x:c r="A1159" s="30" t="n">
        <x:v>45874</x:v>
      </x:c>
      <x:c r="B1159" s="38" t="n">
        <x:v>6299.19</x:v>
      </x:c>
      <x:c r="C1159" s="34" t="n">
        <x:f>(B1159/B1158-1)*100</x:f>
        <x:v>-0.4857865951336082</x:v>
      </x:c>
      <x:c r="D1159" s="34" t="n">
        <x:f>Assumptions!$B$4*D1158+(1-Assumptions!$B$4)*C1158^2</x:f>
        <x:v>0.5882329736765468</x:v>
      </x:c>
      <x:c r="E1159" s="34" t="n">
        <x:f>SQRT(D1159)</x:f>
        <x:v>0.7669634761033584</x:v>
      </x:c>
      <x:c r="F1159" s="34" t="n">
        <x:f>-Assumptions!$B$7*E1159</x:f>
        <x:v>1.2615426554079183</x:v>
      </x:c>
      <x:c r="G1159" s="34" t="n">
        <x:f>-Assumptions!$B$8*E1159</x:f>
        <x:v>1.7842238521000204</x:v>
      </x:c>
      <x:c r="H1159" s="34" t="n">
        <x:f>-Assumptions!$B$9*E1159</x:f>
        <x:v>1.1971147379241234</x:v>
      </x:c>
      <x:c r="I1159" s="34" t="n">
        <x:f>-Assumptions!$B$10*E1159</x:f>
        <x:v>1.999062358630841</x:v>
      </x:c>
      <x:c r="J1159" s="36" t="n">
        <x:f>IF(C1159&lt;-F1159,1,0)</x:f>
        <x:v>0</x:v>
      </x:c>
      <x:c r="K1159" s="36" t="n">
        <x:f>IF(C1159&lt;-G1159,1,0)</x:f>
        <x:v>0</x:v>
      </x:c>
      <x:c r="L1159" s="36" t="n">
        <x:f>IF(C1159&lt;-H1159,1,0)</x:f>
        <x:v>0</x:v>
      </x:c>
      <x:c r="M1159" s="36" t="n">
        <x:f>IF(C1159&lt;-I1159,1,0)</x:f>
        <x:v>0</x:v>
      </x:c>
      <x:c r="N1159" s="34" t="n">
        <x:f>-F1159</x:f>
        <x:v>-1.2615426554079183</x:v>
      </x:c>
      <x:c r="O1159" s="34" t="n">
        <x:f>-H1159</x:f>
        <x:v>-1.1971147379241234</x:v>
      </x:c>
      <x:c r="P1159" s="34" t="n">
        <x:f>-G1159</x:f>
        <x:v>-1.7842238521000204</x:v>
      </x:c>
      <x:c r="Q1159" s="34" t="n">
        <x:f>-I1159</x:f>
        <x:v>-1.999062358630841</x:v>
      </x:c>
      <x:c r="R1159" s="36" t="n">
        <x:f>YEAR(A1159)</x:f>
        <x:v>2025</x:v>
      </x:c>
    </x:row>
    <x:row r="1160">
      <x:c r="A1160" s="30" t="n">
        <x:v>45875</x:v>
      </x:c>
      <x:c r="B1160" s="38" t="n">
        <x:v>6345.06</x:v>
      </x:c>
      <x:c r="C1160" s="34" t="n">
        <x:f>(B1160/B1159-1)*100</x:f>
        <x:v>0.7281888623775545</x:v>
      </x:c>
      <x:c r="D1160" s="34" t="n">
        <x:f>Assumptions!$B$4*D1159+(1-Assumptions!$B$4)*C1159^2</x:f>
        <x:v>0.5670983122166443</x:v>
      </x:c>
      <x:c r="E1160" s="34" t="n">
        <x:f>SQRT(D1160)</x:f>
        <x:v>0.7530593019255817</x:v>
      </x:c>
      <x:c r="F1160" s="34" t="n">
        <x:f>-Assumptions!$B$7*E1160</x:f>
        <x:v>1.2386723240818374</x:v>
      </x:c>
      <x:c r="G1160" s="34" t="n">
        <x:f>-Assumptions!$B$8*E1160</x:f>
        <x:v>1.7518779060612562</x:v>
      </x:c>
      <x:c r="H1160" s="34" t="n">
        <x:f>-Assumptions!$B$9*E1160</x:f>
        <x:v>1.1754124113525288</x:v>
      </x:c>
      <x:c r="I1160" s="34" t="n">
        <x:f>-Assumptions!$B$10*E1160</x:f>
        <x:v>1.962821635190062</x:v>
      </x:c>
      <x:c r="J1160" s="36" t="n">
        <x:f>IF(C1160&lt;-F1160,1,0)</x:f>
        <x:v>0</x:v>
      </x:c>
      <x:c r="K1160" s="36" t="n">
        <x:f>IF(C1160&lt;-G1160,1,0)</x:f>
        <x:v>0</x:v>
      </x:c>
      <x:c r="L1160" s="36" t="n">
        <x:f>IF(C1160&lt;-H1160,1,0)</x:f>
        <x:v>0</x:v>
      </x:c>
      <x:c r="M1160" s="36" t="n">
        <x:f>IF(C1160&lt;-I1160,1,0)</x:f>
        <x:v>0</x:v>
      </x:c>
      <x:c r="N1160" s="34" t="n">
        <x:f>-F1160</x:f>
        <x:v>-1.2386723240818374</x:v>
      </x:c>
      <x:c r="O1160" s="34" t="n">
        <x:f>-H1160</x:f>
        <x:v>-1.1754124113525288</x:v>
      </x:c>
      <x:c r="P1160" s="34" t="n">
        <x:f>-G1160</x:f>
        <x:v>-1.7518779060612562</x:v>
      </x:c>
      <x:c r="Q1160" s="34" t="n">
        <x:f>-I1160</x:f>
        <x:v>-1.962821635190062</x:v>
      </x:c>
      <x:c r="R1160" s="36" t="n">
        <x:f>YEAR(A1160)</x:f>
        <x:v>2025</x:v>
      </x:c>
    </x:row>
    <x:row r="1161">
      <x:c r="A1161" s="30" t="n">
        <x:v>45876</x:v>
      </x:c>
      <x:c r="B1161" s="38" t="n">
        <x:v>6340</x:v>
      </x:c>
      <x:c r="C1161" s="34" t="n">
        <x:f>(B1161/B1160-1)*100</x:f>
        <x:v>-0.07974707882983934</x:v>
      </x:c>
      <x:c r="D1161" s="34" t="n">
        <x:f>Assumptions!$B$4*D1160+(1-Assumptions!$B$4)*C1160^2</x:f>
        <x:v>0.5648879546410887</x:v>
      </x:c>
      <x:c r="E1161" s="34" t="n">
        <x:f>SQRT(D1161)</x:f>
        <x:v>0.7515902837591028</x:v>
      </x:c>
      <x:c r="F1161" s="34" t="n">
        <x:f>-Assumptions!$B$7*E1161</x:f>
        <x:v>1.236256004222647</x:v>
      </x:c>
      <x:c r="G1161" s="34" t="n">
        <x:f>-Assumptions!$B$8*E1161</x:f>
        <x:v>1.7484604587727406</x:v>
      </x:c>
      <x:c r="H1161" s="34" t="n">
        <x:f>-Assumptions!$B$9*E1161</x:f>
        <x:v>1.17311949473764</x:v>
      </x:c>
      <x:c r="I1161" s="34" t="n">
        <x:f>-Assumptions!$B$10*E1161</x:f>
        <x:v>1.9589926928580583</x:v>
      </x:c>
      <x:c r="J1161" s="36" t="n">
        <x:f>IF(C1161&lt;-F1161,1,0)</x:f>
        <x:v>0</x:v>
      </x:c>
      <x:c r="K1161" s="36" t="n">
        <x:f>IF(C1161&lt;-G1161,1,0)</x:f>
        <x:v>0</x:v>
      </x:c>
      <x:c r="L1161" s="36" t="n">
        <x:f>IF(C1161&lt;-H1161,1,0)</x:f>
        <x:v>0</x:v>
      </x:c>
      <x:c r="M1161" s="36" t="n">
        <x:f>IF(C1161&lt;-I1161,1,0)</x:f>
        <x:v>0</x:v>
      </x:c>
      <x:c r="N1161" s="34" t="n">
        <x:f>-F1161</x:f>
        <x:v>-1.236256004222647</x:v>
      </x:c>
      <x:c r="O1161" s="34" t="n">
        <x:f>-H1161</x:f>
        <x:v>-1.17311949473764</x:v>
      </x:c>
      <x:c r="P1161" s="34" t="n">
        <x:f>-G1161</x:f>
        <x:v>-1.7484604587727406</x:v>
      </x:c>
      <x:c r="Q1161" s="34" t="n">
        <x:f>-I1161</x:f>
        <x:v>-1.9589926928580583</x:v>
      </x:c>
      <x:c r="R1161" s="36" t="n">
        <x:f>YEAR(A1161)</x:f>
        <x:v>2025</x:v>
      </x:c>
    </x:row>
    <x:row r="1162">
      <x:c r="A1162" s="30" t="n">
        <x:v>45877</x:v>
      </x:c>
      <x:c r="B1162" s="38" t="n">
        <x:v>6389.45</x:v>
      </x:c>
      <x:c r="C1162" s="34" t="n">
        <x:f>(B1162/B1161-1)*100</x:f>
        <x:v>0.7799684542586727</x:v>
      </x:c>
      <x:c r="D1162" s="34" t="n">
        <x:f>Assumptions!$B$4*D1161+(1-Assumptions!$B$4)*C1161^2</x:f>
        <x:v>0.5313762531575369</x:v>
      </x:c>
      <x:c r="E1162" s="34" t="n">
        <x:f>SQRT(D1162)</x:f>
        <x:v>0.728955590662104</x:v>
      </x:c>
      <x:c r="F1162" s="34" t="n">
        <x:f>-Assumptions!$B$7*E1162</x:f>
        <x:v>1.199025247187115</x:v>
      </x:c>
      <x:c r="G1162" s="34" t="n">
        <x:f>-Assumptions!$B$8*E1162</x:f>
        <x:v>1.6958042886069706</x:v>
      </x:c>
      <x:c r="H1162" s="34" t="n">
        <x:f>-Assumptions!$B$9*E1162</x:f>
        <x:v>1.1377901400303307</x:v>
      </x:c>
      <x:c r="I1162" s="34" t="n">
        <x:f>-Assumptions!$B$10*E1162</x:f>
        <x:v>1.8999961899225342</x:v>
      </x:c>
      <x:c r="J1162" s="36" t="n">
        <x:f>IF(C1162&lt;-F1162,1,0)</x:f>
        <x:v>0</x:v>
      </x:c>
      <x:c r="K1162" s="36" t="n">
        <x:f>IF(C1162&lt;-G1162,1,0)</x:f>
        <x:v>0</x:v>
      </x:c>
      <x:c r="L1162" s="36" t="n">
        <x:f>IF(C1162&lt;-H1162,1,0)</x:f>
        <x:v>0</x:v>
      </x:c>
      <x:c r="M1162" s="36" t="n">
        <x:f>IF(C1162&lt;-I1162,1,0)</x:f>
        <x:v>0</x:v>
      </x:c>
      <x:c r="N1162" s="34" t="n">
        <x:f>-F1162</x:f>
        <x:v>-1.199025247187115</x:v>
      </x:c>
      <x:c r="O1162" s="34" t="n">
        <x:f>-H1162</x:f>
        <x:v>-1.1377901400303307</x:v>
      </x:c>
      <x:c r="P1162" s="34" t="n">
        <x:f>-G1162</x:f>
        <x:v>-1.6958042886069706</x:v>
      </x:c>
      <x:c r="Q1162" s="34" t="n">
        <x:f>-I1162</x:f>
        <x:v>-1.8999961899225342</x:v>
      </x:c>
      <x:c r="R1162" s="36" t="n">
        <x:f>YEAR(A1162)</x:f>
        <x:v>2025</x:v>
      </x:c>
    </x:row>
    <x:row r="1163">
      <x:c r="A1163" s="30" t="n">
        <x:v>45880</x:v>
      </x:c>
      <x:c r="B1163" s="38" t="n">
        <x:v>6373.45</x:v>
      </x:c>
      <x:c r="C1163" s="34" t="n">
        <x:f>(B1163/B1162-1)*100</x:f>
        <x:v>-0.2504127898332431</x:v>
      </x:c>
      <x:c r="D1163" s="34" t="n">
        <x:f>Assumptions!$B$4*D1162+(1-Assumptions!$B$4)*C1162^2</x:f>
        <x:v>0.5359947253464045</x:v>
      </x:c>
      <x:c r="E1163" s="34" t="n">
        <x:f>SQRT(D1163)</x:f>
        <x:v>0.7321166063861716</x:v>
      </x:c>
      <x:c r="F1163" s="34" t="n">
        <x:f>-Assumptions!$B$7*E1163</x:f>
        <x:v>1.2042246553656981</x:v>
      </x:c>
      <x:c r="G1163" s="34" t="n">
        <x:f>-Assumptions!$B$8*E1163</x:f>
        <x:v>1.703157910816465</x:v>
      </x:c>
      <x:c r="H1163" s="34" t="n">
        <x:f>-Assumptions!$B$9*E1163</x:f>
        <x:v>1.1427240105834848</x:v>
      </x:c>
      <x:c r="I1163" s="34" t="n">
        <x:f>-Assumptions!$B$10*E1163</x:f>
        <x:v>1.9082352622459366</x:v>
      </x:c>
      <x:c r="J1163" s="36" t="n">
        <x:f>IF(C1163&lt;-F1163,1,0)</x:f>
        <x:v>0</x:v>
      </x:c>
      <x:c r="K1163" s="36" t="n">
        <x:f>IF(C1163&lt;-G1163,1,0)</x:f>
        <x:v>0</x:v>
      </x:c>
      <x:c r="L1163" s="36" t="n">
        <x:f>IF(C1163&lt;-H1163,1,0)</x:f>
        <x:v>0</x:v>
      </x:c>
      <x:c r="M1163" s="36" t="n">
        <x:f>IF(C1163&lt;-I1163,1,0)</x:f>
        <x:v>0</x:v>
      </x:c>
      <x:c r="N1163" s="34" t="n">
        <x:f>-F1163</x:f>
        <x:v>-1.2042246553656981</x:v>
      </x:c>
      <x:c r="O1163" s="34" t="n">
        <x:f>-H1163</x:f>
        <x:v>-1.1427240105834848</x:v>
      </x:c>
      <x:c r="P1163" s="34" t="n">
        <x:f>-G1163</x:f>
        <x:v>-1.703157910816465</x:v>
      </x:c>
      <x:c r="Q1163" s="34" t="n">
        <x:f>-I1163</x:f>
        <x:v>-1.9082352622459366</x:v>
      </x:c>
      <x:c r="R1163" s="36" t="n">
        <x:f>YEAR(A1163)</x:f>
        <x:v>2025</x:v>
      </x:c>
    </x:row>
    <x:row r="1164">
      <x:c r="A1164" s="30" t="n">
        <x:v>45881</x:v>
      </x:c>
      <x:c r="B1164" s="38" t="n">
        <x:v>6445.76</x:v>
      </x:c>
      <x:c r="C1164" s="34" t="n">
        <x:f>(B1164/B1163-1)*100</x:f>
        <x:v>1.1345503612643082</x:v>
      </x:c>
      <x:c r="D1164" s="34" t="n">
        <x:f>Assumptions!$B$4*D1163+(1-Assumptions!$B$4)*C1163^2</x:f>
        <x:v>0.5075974357443443</x:v>
      </x:c>
      <x:c r="E1164" s="34" t="n">
        <x:f>SQRT(D1164)</x:f>
        <x:v>0.7124587256426469</x:v>
      </x:c>
      <x:c r="F1164" s="34" t="n">
        <x:f>-Assumptions!$B$7*E1164</x:f>
        <x:v>1.1718903189265322</x:v>
      </x:c>
      <x:c r="G1164" s="34" t="n">
        <x:f>-Assumptions!$B$8*E1164</x:f>
        <x:v>1.657426841740618</x:v>
      </x:c>
      <x:c r="H1164" s="34" t="n">
        <x:f>-Assumptions!$B$9*E1164</x:f>
        <x:v>1.1120410126472744</x:v>
      </x:c>
      <x:c r="I1164" s="34" t="n">
        <x:f>-Assumptions!$B$10*E1164</x:f>
        <x:v>1.8569977122592167</x:v>
      </x:c>
      <x:c r="J1164" s="36" t="n">
        <x:f>IF(C1164&lt;-F1164,1,0)</x:f>
        <x:v>0</x:v>
      </x:c>
      <x:c r="K1164" s="36" t="n">
        <x:f>IF(C1164&lt;-G1164,1,0)</x:f>
        <x:v>0</x:v>
      </x:c>
      <x:c r="L1164" s="36" t="n">
        <x:f>IF(C1164&lt;-H1164,1,0)</x:f>
        <x:v>0</x:v>
      </x:c>
      <x:c r="M1164" s="36" t="n">
        <x:f>IF(C1164&lt;-I1164,1,0)</x:f>
        <x:v>0</x:v>
      </x:c>
      <x:c r="N1164" s="34" t="n">
        <x:f>-F1164</x:f>
        <x:v>-1.1718903189265322</x:v>
      </x:c>
      <x:c r="O1164" s="34" t="n">
        <x:f>-H1164</x:f>
        <x:v>-1.1120410126472744</x:v>
      </x:c>
      <x:c r="P1164" s="34" t="n">
        <x:f>-G1164</x:f>
        <x:v>-1.657426841740618</x:v>
      </x:c>
      <x:c r="Q1164" s="34" t="n">
        <x:f>-I1164</x:f>
        <x:v>-1.8569977122592167</x:v>
      </x:c>
      <x:c r="R1164" s="36" t="n">
        <x:f>YEAR(A1164)</x:f>
        <x:v>2025</x:v>
      </x:c>
    </x:row>
    <x:row r="1165">
      <x:c r="A1165" s="30" t="n">
        <x:v>45882</x:v>
      </x:c>
      <x:c r="B1165" s="38" t="n">
        <x:v>6466.58</x:v>
      </x:c>
      <x:c r="C1165" s="34" t="n">
        <x:f>(B1165/B1164-1)*100</x:f>
        <x:v>0.32300302834731287</x:v>
      </x:c>
      <x:c r="D1165" s="34" t="n">
        <x:f>Assumptions!$B$4*D1164+(1-Assumptions!$B$4)*C1164^2</x:f>
        <x:v>0.554373860934382</x:v>
      </x:c>
      <x:c r="E1165" s="34" t="n">
        <x:f>SQRT(D1165)</x:f>
        <x:v>0.7445628656697714</x:v>
      </x:c>
      <x:c r="F1165" s="34" t="n">
        <x:f>-Assumptions!$B$7*E1165</x:f>
        <x:v>1.2246969300903057</x:v>
      </x:c>
      <x:c r="G1165" s="34" t="n">
        <x:f>-Assumptions!$B$8*E1165</x:f>
        <x:v>1.7321122396406283</x:v>
      </x:c>
      <x:c r="H1165" s="34" t="n">
        <x:f>-Assumptions!$B$9*E1165</x:f>
        <x:v>1.1621507510798137</x:v>
      </x:c>
      <x:c r="I1165" s="34" t="n">
        <x:f>-Assumptions!$B$10*E1165</x:f>
        <x:v>1.9406759836294554</x:v>
      </x:c>
      <x:c r="J1165" s="36" t="n">
        <x:f>IF(C1165&lt;-F1165,1,0)</x:f>
        <x:v>0</x:v>
      </x:c>
      <x:c r="K1165" s="36" t="n">
        <x:f>IF(C1165&lt;-G1165,1,0)</x:f>
        <x:v>0</x:v>
      </x:c>
      <x:c r="L1165" s="36" t="n">
        <x:f>IF(C1165&lt;-H1165,1,0)</x:f>
        <x:v>0</x:v>
      </x:c>
      <x:c r="M1165" s="36" t="n">
        <x:f>IF(C1165&lt;-I1165,1,0)</x:f>
        <x:v>0</x:v>
      </x:c>
      <x:c r="N1165" s="34" t="n">
        <x:f>-F1165</x:f>
        <x:v>-1.2246969300903057</x:v>
      </x:c>
      <x:c r="O1165" s="34" t="n">
        <x:f>-H1165</x:f>
        <x:v>-1.1621507510798137</x:v>
      </x:c>
      <x:c r="P1165" s="34" t="n">
        <x:f>-G1165</x:f>
        <x:v>-1.7321122396406283</x:v>
      </x:c>
      <x:c r="Q1165" s="34" t="n">
        <x:f>-I1165</x:f>
        <x:v>-1.9406759836294554</x:v>
      </x:c>
      <x:c r="R1165" s="36" t="n">
        <x:f>YEAR(A1165)</x:f>
        <x:v>2025</x:v>
      </x:c>
    </x:row>
    <x:row r="1166">
      <x:c r="A1166" s="30" t="n">
        <x:v>45883</x:v>
      </x:c>
      <x:c r="B1166" s="38" t="n">
        <x:v>6468.54</x:v>
      </x:c>
      <x:c r="C1166" s="34" t="n">
        <x:f>(B1166/B1165-1)*100</x:f>
        <x:v>0.030309684562790373</x:v>
      </x:c>
      <x:c r="D1166" s="34" t="n">
        <x:f>Assumptions!$B$4*D1165+(1-Assumptions!$B$4)*C1165^2</x:f>
        <x:v>0.5273712866576112</x:v>
      </x:c>
      <x:c r="E1166" s="34" t="n">
        <x:f>SQRT(D1166)</x:f>
        <x:v>0.7262033369915145</x:v>
      </x:c>
      <x:c r="F1166" s="34" t="n">
        <x:f>-Assumptions!$B$7*E1166</x:f>
        <x:v>1.1944981927547553</x:v>
      </x:c>
      <x:c r="G1166" s="34" t="n">
        <x:f>-Assumptions!$B$8*E1166</x:f>
        <x:v>1.6894015891315737</x:v>
      </x:c>
      <x:c r="H1166" s="34" t="n">
        <x:f>-Assumptions!$B$9*E1166</x:f>
        <x:v>1.1334942856197558</x:v>
      </x:c>
      <x:c r="I1166" s="34" t="n">
        <x:f>-Assumptions!$B$10*E1166</x:f>
        <x:v>1.8928225409995996</x:v>
      </x:c>
      <x:c r="J1166" s="36" t="n">
        <x:f>IF(C1166&lt;-F1166,1,0)</x:f>
        <x:v>0</x:v>
      </x:c>
      <x:c r="K1166" s="36" t="n">
        <x:f>IF(C1166&lt;-G1166,1,0)</x:f>
        <x:v>0</x:v>
      </x:c>
      <x:c r="L1166" s="36" t="n">
        <x:f>IF(C1166&lt;-H1166,1,0)</x:f>
        <x:v>0</x:v>
      </x:c>
      <x:c r="M1166" s="36" t="n">
        <x:f>IF(C1166&lt;-I1166,1,0)</x:f>
        <x:v>0</x:v>
      </x:c>
      <x:c r="N1166" s="34" t="n">
        <x:f>-F1166</x:f>
        <x:v>-1.1944981927547553</x:v>
      </x:c>
      <x:c r="O1166" s="34" t="n">
        <x:f>-H1166</x:f>
        <x:v>-1.1334942856197558</x:v>
      </x:c>
      <x:c r="P1166" s="34" t="n">
        <x:f>-G1166</x:f>
        <x:v>-1.6894015891315737</x:v>
      </x:c>
      <x:c r="Q1166" s="34" t="n">
        <x:f>-I1166</x:f>
        <x:v>-1.8928225409995996</x:v>
      </x:c>
      <x:c r="R1166" s="36" t="n">
        <x:f>YEAR(A1166)</x:f>
        <x:v>2025</x:v>
      </x:c>
    </x:row>
    <x:row r="1167">
      <x:c r="A1167" s="30" t="n">
        <x:v>45884</x:v>
      </x:c>
      <x:c r="B1167" s="38" t="n">
        <x:v>6449.8</x:v>
      </x:c>
      <x:c r="C1167" s="34" t="n">
        <x:f>(B1167/B1166-1)*100</x:f>
        <x:v>-0.28970988816641174</x:v>
      </x:c>
      <x:c r="D1167" s="34" t="n">
        <x:f>Assumptions!$B$4*D1166+(1-Assumptions!$B$4)*C1166^2</x:f>
        <x:v>0.49578413007685224</x:v>
      </x:c>
      <x:c r="E1167" s="34" t="n">
        <x:f>SQRT(D1167)</x:f>
        <x:v>0.7041194004406158</x:v>
      </x:c>
      <x:c r="F1167" s="34" t="n">
        <x:f>-Assumptions!$B$7*E1167</x:f>
        <x:v>1.1581733496216435</x:v>
      </x:c>
      <x:c r="G1167" s="34" t="n">
        <x:f>-Assumptions!$B$8*E1167</x:f>
        <x:v>1.6380266702859378</x:v>
      </x:c>
      <x:c r="H1167" s="34" t="n">
        <x:f>-Assumptions!$B$9*E1167</x:f>
        <x:v>1.0990245791211124</x:v>
      </x:c>
      <x:c r="I1167" s="34" t="n">
        <x:f>-Assumptions!$B$10*E1167</x:f>
        <x:v>1.8352615649364528</x:v>
      </x:c>
      <x:c r="J1167" s="36" t="n">
        <x:f>IF(C1167&lt;-F1167,1,0)</x:f>
        <x:v>0</x:v>
      </x:c>
      <x:c r="K1167" s="36" t="n">
        <x:f>IF(C1167&lt;-G1167,1,0)</x:f>
        <x:v>0</x:v>
      </x:c>
      <x:c r="L1167" s="36" t="n">
        <x:f>IF(C1167&lt;-H1167,1,0)</x:f>
        <x:v>0</x:v>
      </x:c>
      <x:c r="M1167" s="36" t="n">
        <x:f>IF(C1167&lt;-I1167,1,0)</x:f>
        <x:v>0</x:v>
      </x:c>
      <x:c r="N1167" s="34" t="n">
        <x:f>-F1167</x:f>
        <x:v>-1.1581733496216435</x:v>
      </x:c>
      <x:c r="O1167" s="34" t="n">
        <x:f>-H1167</x:f>
        <x:v>-1.0990245791211124</x:v>
      </x:c>
      <x:c r="P1167" s="34" t="n">
        <x:f>-G1167</x:f>
        <x:v>-1.6380266702859378</x:v>
      </x:c>
      <x:c r="Q1167" s="34" t="n">
        <x:f>-I1167</x:f>
        <x:v>-1.8352615649364528</x:v>
      </x:c>
      <x:c r="R1167" s="36" t="n">
        <x:f>YEAR(A1167)</x:f>
        <x:v>2025</x:v>
      </x:c>
    </x:row>
    <x:row r="1168">
      <x:c r="A1168" s="30" t="n">
        <x:v>45887</x:v>
      </x:c>
      <x:c r="B1168" s="38" t="n">
        <x:v>6449.15</x:v>
      </x:c>
      <x:c r="C1168" s="34" t="n">
        <x:f>(B1168/B1167-1)*100</x:f>
        <x:v>-0.010077831870769494</x:v>
      </x:c>
      <x:c r="D1168" s="34" t="n">
        <x:f>Assumptions!$B$4*D1167+(1-Assumptions!$B$4)*C1167^2</x:f>
        <x:v>0.4710729914303248</x:v>
      </x:c>
      <x:c r="E1168" s="34" t="n">
        <x:f>SQRT(D1168)</x:f>
        <x:v>0.6863475733404503</x:v>
      </x:c>
      <x:c r="F1168" s="34" t="n">
        <x:f>-Assumptions!$B$7*E1168</x:f>
        <x:v>1.1289412953583817</x:v>
      </x:c>
      <x:c r="G1168" s="34" t="n">
        <x:f>-Assumptions!$B$8*E1168</x:f>
        <x:v>1.596683218093646</x:v>
      </x:c>
      <x:c r="H1168" s="34" t="n">
        <x:f>-Assumptions!$B$9*E1168</x:f>
        <x:v>1.0712854275130892</x:v>
      </x:c>
      <x:c r="I1168" s="34" t="n">
        <x:f>-Assumptions!$B$10*E1168</x:f>
        <x:v>1.7889399450588868</x:v>
      </x:c>
      <x:c r="J1168" s="36" t="n">
        <x:f>IF(C1168&lt;-F1168,1,0)</x:f>
        <x:v>0</x:v>
      </x:c>
      <x:c r="K1168" s="36" t="n">
        <x:f>IF(C1168&lt;-G1168,1,0)</x:f>
        <x:v>0</x:v>
      </x:c>
      <x:c r="L1168" s="36" t="n">
        <x:f>IF(C1168&lt;-H1168,1,0)</x:f>
        <x:v>0</x:v>
      </x:c>
      <x:c r="M1168" s="36" t="n">
        <x:f>IF(C1168&lt;-I1168,1,0)</x:f>
        <x:v>0</x:v>
      </x:c>
      <x:c r="N1168" s="34" t="n">
        <x:f>-F1168</x:f>
        <x:v>-1.1289412953583817</x:v>
      </x:c>
      <x:c r="O1168" s="34" t="n">
        <x:f>-H1168</x:f>
        <x:v>-1.0712854275130892</x:v>
      </x:c>
      <x:c r="P1168" s="34" t="n">
        <x:f>-G1168</x:f>
        <x:v>-1.596683218093646</x:v>
      </x:c>
      <x:c r="Q1168" s="34" t="n">
        <x:f>-I1168</x:f>
        <x:v>-1.7889399450588868</x:v>
      </x:c>
      <x:c r="R1168" s="36" t="n">
        <x:f>YEAR(A1168)</x:f>
        <x:v>2025</x:v>
      </x:c>
    </x:row>
    <x:row r="1169">
      <x:c r="A1169" s="30" t="n">
        <x:v>45888</x:v>
      </x:c>
      <x:c r="B1169" s="38" t="n">
        <x:v>6411.37</x:v>
      </x:c>
      <x:c r="C1169" s="34" t="n">
        <x:f>(B1169/B1168-1)*100</x:f>
        <x:v>-0.5858136343549147</x:v>
      </x:c>
      <x:c r="D1169" s="34" t="n">
        <x:f>Assumptions!$B$4*D1168+(1-Assumptions!$B$4)*C1168^2</x:f>
        <x:v>0.4428147057062182</x:v>
      </x:c>
      <x:c r="E1169" s="34" t="n">
        <x:f>SQRT(D1169)</x:f>
        <x:v>0.6654432400334519</x:v>
      </x:c>
      <x:c r="F1169" s="34" t="n">
        <x:f>-Assumptions!$B$7*E1169</x:f>
        <x:v>1.094556726899363</x:v>
      </x:c>
      <x:c r="G1169" s="34" t="n">
        <x:f>-Assumptions!$B$8*E1169</x:f>
        <x:v>1.5480524667466695</x:v>
      </x:c>
      <x:c r="H1169" s="34" t="n">
        <x:f>-Assumptions!$B$9*E1169</x:f>
        <x:v>1.0386569044243137</x:v>
      </x:c>
      <x:c r="I1169" s="34" t="n">
        <x:f>-Assumptions!$B$10*E1169</x:f>
        <x:v>1.7344535618759387</x:v>
      </x:c>
      <x:c r="J1169" s="36" t="n">
        <x:f>IF(C1169&lt;-F1169,1,0)</x:f>
        <x:v>0</x:v>
      </x:c>
      <x:c r="K1169" s="36" t="n">
        <x:f>IF(C1169&lt;-G1169,1,0)</x:f>
        <x:v>0</x:v>
      </x:c>
      <x:c r="L1169" s="36" t="n">
        <x:f>IF(C1169&lt;-H1169,1,0)</x:f>
        <x:v>0</x:v>
      </x:c>
      <x:c r="M1169" s="36" t="n">
        <x:f>IF(C1169&lt;-I1169,1,0)</x:f>
        <x:v>0</x:v>
      </x:c>
      <x:c r="N1169" s="34" t="n">
        <x:f>-F1169</x:f>
        <x:v>-1.094556726899363</x:v>
      </x:c>
      <x:c r="O1169" s="34" t="n">
        <x:f>-H1169</x:f>
        <x:v>-1.0386569044243137</x:v>
      </x:c>
      <x:c r="P1169" s="34" t="n">
        <x:f>-G1169</x:f>
        <x:v>-1.5480524667466695</x:v>
      </x:c>
      <x:c r="Q1169" s="34" t="n">
        <x:f>-I1169</x:f>
        <x:v>-1.7344535618759387</x:v>
      </x:c>
      <x:c r="R1169" s="36" t="n">
        <x:f>YEAR(A1169)</x:f>
        <x:v>2025</x:v>
      </x:c>
    </x:row>
    <x:row r="1170">
      <x:c r="A1170" s="30" t="n">
        <x:v>45889</x:v>
      </x:c>
      <x:c r="B1170" s="38" t="n">
        <x:v>6395.78</x:v>
      </x:c>
      <x:c r="C1170" s="34" t="n">
        <x:f>(B1170/B1169-1)*100</x:f>
        <x:v>-0.24316175793941408</x:v>
      </x:c>
      <x:c r="D1170" s="34" t="n">
        <x:f>Assumptions!$B$4*D1169+(1-Assumptions!$B$4)*C1169^2</x:f>
        <x:v>0.436836480215612</x:v>
      </x:c>
      <x:c r="E1170" s="34" t="n">
        <x:f>SQRT(D1170)</x:f>
        <x:v>0.6609360636367273</x:v>
      </x:c>
      <x:c r="F1170" s="34" t="n">
        <x:f>-Assumptions!$B$7*E1170</x:f>
        <x:v>1.0871430814559004</x:v>
      </x:c>
      <x:c r="G1170" s="34" t="n">
        <x:f>-Assumptions!$B$8*E1170</x:f>
        <x:v>1.5375672065182222</x:v>
      </x:c>
      <x:c r="H1170" s="34" t="n">
        <x:f>-Assumptions!$B$9*E1170</x:f>
        <x:v>1.0316218793428644</x:v>
      </x:c>
      <x:c r="I1170" s="34" t="n">
        <x:f>-Assumptions!$B$10*E1170</x:f>
        <x:v>1.722705770802264</x:v>
      </x:c>
      <x:c r="J1170" s="36" t="n">
        <x:f>IF(C1170&lt;-F1170,1,0)</x:f>
        <x:v>0</x:v>
      </x:c>
      <x:c r="K1170" s="36" t="n">
        <x:f>IF(C1170&lt;-G1170,1,0)</x:f>
        <x:v>0</x:v>
      </x:c>
      <x:c r="L1170" s="36" t="n">
        <x:f>IF(C1170&lt;-H1170,1,0)</x:f>
        <x:v>0</x:v>
      </x:c>
      <x:c r="M1170" s="36" t="n">
        <x:f>IF(C1170&lt;-I1170,1,0)</x:f>
        <x:v>0</x:v>
      </x:c>
      <x:c r="N1170" s="34" t="n">
        <x:f>-F1170</x:f>
        <x:v>-1.0871430814559004</x:v>
      </x:c>
      <x:c r="O1170" s="34" t="n">
        <x:f>-H1170</x:f>
        <x:v>-1.0316218793428644</x:v>
      </x:c>
      <x:c r="P1170" s="34" t="n">
        <x:f>-G1170</x:f>
        <x:v>-1.5375672065182222</x:v>
      </x:c>
      <x:c r="Q1170" s="34" t="n">
        <x:f>-I1170</x:f>
        <x:v>-1.722705770802264</x:v>
      </x:c>
      <x:c r="R1170" s="36" t="n">
        <x:f>YEAR(A1170)</x:f>
        <x:v>2025</x:v>
      </x:c>
    </x:row>
    <x:row r="1171">
      <x:c r="A1171" s="30" t="n">
        <x:v>45890</x:v>
      </x:c>
      <x:c r="B1171" s="38" t="n">
        <x:v>6370.17</x:v>
      </x:c>
      <x:c r="C1171" s="34" t="n">
        <x:f>(B1171/B1170-1)*100</x:f>
        <x:v>-0.400420277120217</x:v>
      </x:c>
      <x:c r="D1171" s="34" t="n">
        <x:f>Assumptions!$B$4*D1170+(1-Assumptions!$B$4)*C1170^2</x:f>
        <x:v>0.4141739498341264</x:v>
      </x:c>
      <x:c r="E1171" s="34" t="n">
        <x:f>SQRT(D1171)</x:f>
        <x:v>0.6435634777037355</x:v>
      </x:c>
      <x:c r="F1171" s="34" t="n">
        <x:f>-Assumptions!$B$7*E1171</x:f>
        <x:v>1.0585677204744925</x:v>
      </x:c>
      <x:c r="G1171" s="34" t="n">
        <x:f>-Assumptions!$B$8*E1171</x:f>
        <x:v>1.4971525281664146</x:v>
      </x:c>
      <x:c r="H1171" s="34" t="n">
        <x:f>-Assumptions!$B$9*E1171</x:f>
        <x:v>1.0045058832045617</x:v>
      </x:c>
      <x:c r="I1171" s="34" t="n">
        <x:f>-Assumptions!$B$10*E1171</x:f>
        <x:v>1.6774247584818762</x:v>
      </x:c>
      <x:c r="J1171" s="36" t="n">
        <x:f>IF(C1171&lt;-F1171,1,0)</x:f>
        <x:v>0</x:v>
      </x:c>
      <x:c r="K1171" s="36" t="n">
        <x:f>IF(C1171&lt;-G1171,1,0)</x:f>
        <x:v>0</x:v>
      </x:c>
      <x:c r="L1171" s="36" t="n">
        <x:f>IF(C1171&lt;-H1171,1,0)</x:f>
        <x:v>0</x:v>
      </x:c>
      <x:c r="M1171" s="36" t="n">
        <x:f>IF(C1171&lt;-I1171,1,0)</x:f>
        <x:v>0</x:v>
      </x:c>
      <x:c r="N1171" s="34" t="n">
        <x:f>-F1171</x:f>
        <x:v>-1.0585677204744925</x:v>
      </x:c>
      <x:c r="O1171" s="34" t="n">
        <x:f>-H1171</x:f>
        <x:v>-1.0045058832045617</x:v>
      </x:c>
      <x:c r="P1171" s="34" t="n">
        <x:f>-G1171</x:f>
        <x:v>-1.4971525281664146</x:v>
      </x:c>
      <x:c r="Q1171" s="34" t="n">
        <x:f>-I1171</x:f>
        <x:v>-1.6774247584818762</x:v>
      </x:c>
      <x:c r="R1171" s="36" t="n">
        <x:f>YEAR(A1171)</x:f>
        <x:v>2025</x:v>
      </x:c>
    </x:row>
    <x:row r="1172">
      <x:c r="A1172" s="30" t="n">
        <x:v>45891</x:v>
      </x:c>
      <x:c r="B1172" s="38" t="n">
        <x:v>6466.91</x:v>
      </x:c>
      <x:c r="C1172" s="34" t="n">
        <x:f>(B1172/B1171-1)*100</x:f>
        <x:v>1.518640789806236</x:v>
      </x:c>
      <x:c r="D1172" s="34" t="n">
        <x:f>Assumptions!$B$4*D1171+(1-Assumptions!$B$4)*C1171^2</x:f>
        <x:v>0.3989436967438207</x:v>
      </x:c>
      <x:c r="E1172" s="34" t="n">
        <x:f>SQRT(D1172)</x:f>
        <x:v>0.6316198989454185</x:v>
      </x:c>
      <x:c r="F1172" s="34" t="n">
        <x:f>-Assumptions!$B$7*E1172</x:f>
        <x:v>1.0389222816350943</x:v>
      </x:c>
      <x:c r="G1172" s="34" t="n">
        <x:f>-Assumptions!$B$8*E1172</x:f>
        <x:v>1.4693676091135646</x:v>
      </x:c>
      <x:c r="H1172" s="34" t="n">
        <x:f>-Assumptions!$B$9*E1172</x:f>
        <x:v>0.9858637514725782</x:v>
      </x:c>
      <x:c r="I1172" s="34" t="n">
        <x:f>-Assumptions!$B$10*E1172</x:f>
        <x:v>1.6462942555739688</x:v>
      </x:c>
      <x:c r="J1172" s="36" t="n">
        <x:f>IF(C1172&lt;-F1172,1,0)</x:f>
        <x:v>0</x:v>
      </x:c>
      <x:c r="K1172" s="36" t="n">
        <x:f>IF(C1172&lt;-G1172,1,0)</x:f>
        <x:v>0</x:v>
      </x:c>
      <x:c r="L1172" s="36" t="n">
        <x:f>IF(C1172&lt;-H1172,1,0)</x:f>
        <x:v>0</x:v>
      </x:c>
      <x:c r="M1172" s="36" t="n">
        <x:f>IF(C1172&lt;-I1172,1,0)</x:f>
        <x:v>0</x:v>
      </x:c>
      <x:c r="N1172" s="34" t="n">
        <x:f>-F1172</x:f>
        <x:v>-1.0389222816350943</x:v>
      </x:c>
      <x:c r="O1172" s="34" t="n">
        <x:f>-H1172</x:f>
        <x:v>-0.9858637514725782</x:v>
      </x:c>
      <x:c r="P1172" s="34" t="n">
        <x:f>-G1172</x:f>
        <x:v>-1.4693676091135646</x:v>
      </x:c>
      <x:c r="Q1172" s="34" t="n">
        <x:f>-I1172</x:f>
        <x:v>-1.6462942555739688</x:v>
      </x:c>
      <x:c r="R1172" s="36" t="n">
        <x:f>YEAR(A1172)</x:f>
        <x:v>2025</x:v>
      </x:c>
    </x:row>
    <x:row r="1173">
      <x:c r="A1173" s="30" t="n">
        <x:v>45894</x:v>
      </x:c>
      <x:c r="B1173" s="38" t="n">
        <x:v>6439.32</x:v>
      </x:c>
      <x:c r="C1173" s="34" t="n">
        <x:f>(B1173/B1172-1)*100</x:f>
        <x:v>-0.42663343080389105</x:v>
      </x:c>
      <x:c r="D1173" s="34" t="n">
        <x:f>Assumptions!$B$4*D1172+(1-Assumptions!$B$4)*C1172^2</x:f>
        <x:v>0.51338326584699</x:v>
      </x:c>
      <x:c r="E1173" s="34" t="n">
        <x:f>SQRT(D1173)</x:f>
        <x:v>0.7165076872211421</x:v>
      </x:c>
      <x:c r="F1173" s="34" t="n">
        <x:f>-Assumptions!$B$7*E1173</x:f>
        <x:v>1.1785502680643072</x:v>
      </x:c>
      <x:c r="G1173" s="34" t="n">
        <x:f>-Assumptions!$B$8*E1173</x:f>
        <x:v>1.6668461349008232</x:v>
      </x:c>
      <x:c r="H1173" s="34" t="n">
        <x:f>-Assumptions!$B$9*E1173</x:f>
        <x:v>1.1183608332514199</x:v>
      </x:c>
      <x:c r="I1173" s="34" t="n">
        <x:f>-Assumptions!$B$10*E1173</x:f>
        <x:v>1.8675511831027507</x:v>
      </x:c>
      <x:c r="J1173" s="36" t="n">
        <x:f>IF(C1173&lt;-F1173,1,0)</x:f>
        <x:v>0</x:v>
      </x:c>
      <x:c r="K1173" s="36" t="n">
        <x:f>IF(C1173&lt;-G1173,1,0)</x:f>
        <x:v>0</x:v>
      </x:c>
      <x:c r="L1173" s="36" t="n">
        <x:f>IF(C1173&lt;-H1173,1,0)</x:f>
        <x:v>0</x:v>
      </x:c>
      <x:c r="M1173" s="36" t="n">
        <x:f>IF(C1173&lt;-I1173,1,0)</x:f>
        <x:v>0</x:v>
      </x:c>
      <x:c r="N1173" s="34" t="n">
        <x:f>-F1173</x:f>
        <x:v>-1.1785502680643072</x:v>
      </x:c>
      <x:c r="O1173" s="34" t="n">
        <x:f>-H1173</x:f>
        <x:v>-1.1183608332514199</x:v>
      </x:c>
      <x:c r="P1173" s="34" t="n">
        <x:f>-G1173</x:f>
        <x:v>-1.6668461349008232</x:v>
      </x:c>
      <x:c r="Q1173" s="34" t="n">
        <x:f>-I1173</x:f>
        <x:v>-1.8675511831027507</x:v>
      </x:c>
      <x:c r="R1173" s="36" t="n">
        <x:f>YEAR(A1173)</x:f>
        <x:v>2025</x:v>
      </x:c>
    </x:row>
    <x:row r="1174">
      <x:c r="A1174" s="30" t="n">
        <x:v>45895</x:v>
      </x:c>
      <x:c r="B1174" s="38" t="n">
        <x:v>6465.94</x:v>
      </x:c>
      <x:c r="C1174" s="34" t="n">
        <x:f>(B1174/B1173-1)*100</x:f>
        <x:v>0.41339768795463083</x:v>
      </x:c>
      <x:c r="D1174" s="34" t="n">
        <x:f>Assumptions!$B$4*D1173+(1-Assumptions!$B$4)*C1173^2</x:f>
        <x:v>0.4935012349529405</x:v>
      </x:c>
      <x:c r="E1174" s="34" t="n">
        <x:f>SQRT(D1174)</x:f>
        <x:v>0.7024964305624196</x:v>
      </x:c>
      <x:c r="F1174" s="34" t="n">
        <x:f>-Assumptions!$B$7*E1174</x:f>
        <x:v>1.1555038017310595</x:v>
      </x:c>
      <x:c r="G1174" s="34" t="n">
        <x:f>-Assumptions!$B$8*E1174</x:f>
        <x:v>1.6342510777601638</x:v>
      </x:c>
      <x:c r="H1174" s="34" t="n">
        <x:f>-Assumptions!$B$9*E1174</x:f>
        <x:v>1.0964913670178886</x:v>
      </x:c>
      <x:c r="I1174" s="34" t="n">
        <x:f>-Assumptions!$B$10*E1174</x:f>
        <x:v>1.8310313530765903</x:v>
      </x:c>
      <x:c r="J1174" s="36" t="n">
        <x:f>IF(C1174&lt;-F1174,1,0)</x:f>
        <x:v>0</x:v>
      </x:c>
      <x:c r="K1174" s="36" t="n">
        <x:f>IF(C1174&lt;-G1174,1,0)</x:f>
        <x:v>0</x:v>
      </x:c>
      <x:c r="L1174" s="36" t="n">
        <x:f>IF(C1174&lt;-H1174,1,0)</x:f>
        <x:v>0</x:v>
      </x:c>
      <x:c r="M1174" s="36" t="n">
        <x:f>IF(C1174&lt;-I1174,1,0)</x:f>
        <x:v>0</x:v>
      </x:c>
      <x:c r="N1174" s="34" t="n">
        <x:f>-F1174</x:f>
        <x:v>-1.1555038017310595</x:v>
      </x:c>
      <x:c r="O1174" s="34" t="n">
        <x:f>-H1174</x:f>
        <x:v>-1.0964913670178886</x:v>
      </x:c>
      <x:c r="P1174" s="34" t="n">
        <x:f>-G1174</x:f>
        <x:v>-1.6342510777601638</x:v>
      </x:c>
      <x:c r="Q1174" s="34" t="n">
        <x:f>-I1174</x:f>
        <x:v>-1.8310313530765903</x:v>
      </x:c>
      <x:c r="R1174" s="36" t="n">
        <x:f>YEAR(A1174)</x:f>
        <x:v>2025</x:v>
      </x:c>
    </x:row>
    <x:row r="1175">
      <x:c r="A1175" s="30" t="n">
        <x:v>45896</x:v>
      </x:c>
      <x:c r="B1175" s="38" t="n">
        <x:v>6481.4</x:v>
      </x:c>
      <x:c r="C1175" s="34" t="n">
        <x:f>(B1175/B1174-1)*100</x:f>
        <x:v>0.2390990327779008</x:v>
      </x:c>
      <x:c r="D1175" s="34" t="n">
        <x:f>Assumptions!$B$4*D1174+(1-Assumptions!$B$4)*C1174^2</x:f>
        <x:v>0.4741450197601381</x:v>
      </x:c>
      <x:c r="E1175" s="34" t="n">
        <x:f>SQRT(D1175)</x:f>
        <x:v>0.6885818903806127</x:v>
      </x:c>
      <x:c r="F1175" s="34" t="n">
        <x:f>-Assumptions!$B$7*E1175</x:f>
        <x:v>1.1326164198456523</x:v>
      </x:c>
      <x:c r="G1175" s="34" t="n">
        <x:f>-Assumptions!$B$8*E1175</x:f>
        <x:v>1.6018810167899613</x:v>
      </x:c>
      <x:c r="H1175" s="34" t="n">
        <x:f>-Assumptions!$B$9*E1175</x:f>
        <x:v>1.0747728606716571</x:v>
      </x:c>
      <x:c r="I1175" s="34" t="n">
        <x:f>-Assumptions!$B$10*E1175</x:f>
        <x:v>1.7947636110239582</x:v>
      </x:c>
      <x:c r="J1175" s="36" t="n">
        <x:f>IF(C1175&lt;-F1175,1,0)</x:f>
        <x:v>0</x:v>
      </x:c>
      <x:c r="K1175" s="36" t="n">
        <x:f>IF(C1175&lt;-G1175,1,0)</x:f>
        <x:v>0</x:v>
      </x:c>
      <x:c r="L1175" s="36" t="n">
        <x:f>IF(C1175&lt;-H1175,1,0)</x:f>
        <x:v>0</x:v>
      </x:c>
      <x:c r="M1175" s="36" t="n">
        <x:f>IF(C1175&lt;-I1175,1,0)</x:f>
        <x:v>0</x:v>
      </x:c>
      <x:c r="N1175" s="34" t="n">
        <x:f>-F1175</x:f>
        <x:v>-1.1326164198456523</x:v>
      </x:c>
      <x:c r="O1175" s="34" t="n">
        <x:f>-H1175</x:f>
        <x:v>-1.0747728606716571</x:v>
      </x:c>
      <x:c r="P1175" s="34" t="n">
        <x:f>-G1175</x:f>
        <x:v>-1.6018810167899613</x:v>
      </x:c>
      <x:c r="Q1175" s="34" t="n">
        <x:f>-I1175</x:f>
        <x:v>-1.7947636110239582</x:v>
      </x:c>
      <x:c r="R1175" s="36" t="n">
        <x:f>YEAR(A1175)</x:f>
        <x:v>2025</x:v>
      </x:c>
    </x:row>
    <x:row r="1176">
      <x:c r="A1176" s="30" t="n">
        <x:v>45897</x:v>
      </x:c>
      <x:c r="B1176" s="38" t="n">
        <x:v>6501.86</x:v>
      </x:c>
      <x:c r="C1176" s="34" t="n">
        <x:f>(B1176/B1175-1)*100</x:f>
        <x:v>0.3156725398833604</x:v>
      </x:c>
      <x:c r="D1176" s="34" t="n">
        <x:f>Assumptions!$B$4*D1175+(1-Assumptions!$B$4)*C1175^2</x:f>
        <x:v>0.4491264194230495</x:v>
      </x:c>
      <x:c r="E1176" s="34" t="n">
        <x:f>SQRT(D1176)</x:f>
        <x:v>0.6701689484175236</x:v>
      </x:c>
      <x:c r="F1176" s="34" t="n">
        <x:f>-Assumptions!$B$7*E1176</x:f>
        <x:v>1.1023298254748182</x:v>
      </x:c>
      <x:c r="G1176" s="34" t="n">
        <x:f>-Assumptions!$B$8*E1176</x:f>
        <x:v>1.5590461083992917</x:v>
      </x:c>
      <x:c r="H1176" s="34" t="n">
        <x:f>-Assumptions!$B$9*E1176</x:f>
        <x:v>1.0460330251001586</x:v>
      </x:c>
      <x:c r="I1176" s="34" t="n">
        <x:f>-Assumptions!$B$10*E1176</x:f>
        <x:v>1.7467709486131278</x:v>
      </x:c>
      <x:c r="J1176" s="36" t="n">
        <x:f>IF(C1176&lt;-F1176,1,0)</x:f>
        <x:v>0</x:v>
      </x:c>
      <x:c r="K1176" s="36" t="n">
        <x:f>IF(C1176&lt;-G1176,1,0)</x:f>
        <x:v>0</x:v>
      </x:c>
      <x:c r="L1176" s="36" t="n">
        <x:f>IF(C1176&lt;-H1176,1,0)</x:f>
        <x:v>0</x:v>
      </x:c>
      <x:c r="M1176" s="36" t="n">
        <x:f>IF(C1176&lt;-I1176,1,0)</x:f>
        <x:v>0</x:v>
      </x:c>
      <x:c r="N1176" s="34" t="n">
        <x:f>-F1176</x:f>
        <x:v>-1.1023298254748182</x:v>
      </x:c>
      <x:c r="O1176" s="34" t="n">
        <x:f>-H1176</x:f>
        <x:v>-1.0460330251001586</x:v>
      </x:c>
      <x:c r="P1176" s="34" t="n">
        <x:f>-G1176</x:f>
        <x:v>-1.5590461083992917</x:v>
      </x:c>
      <x:c r="Q1176" s="34" t="n">
        <x:f>-I1176</x:f>
        <x:v>-1.7467709486131278</x:v>
      </x:c>
      <x:c r="R1176" s="36" t="n">
        <x:f>YEAR(A1176)</x:f>
        <x:v>2025</x:v>
      </x:c>
    </x:row>
    <x:row r="1177">
      <x:c r="A1177" s="30" t="n">
        <x:v>45898</x:v>
      </x:c>
      <x:c r="B1177" s="38" t="n">
        <x:v>6460.26</x:v>
      </x:c>
      <x:c r="C1177" s="34" t="n">
        <x:f>(B1177/B1176-1)*100</x:f>
        <x:v>-0.6398169139292365</x:v>
      </x:c>
      <x:c r="D1177" s="34" t="n">
        <x:f>Assumptions!$B$4*D1176+(1-Assumptions!$B$4)*C1176^2</x:f>
        <x:v>0.4281577834038512</x:v>
      </x:c>
      <x:c r="E1177" s="34" t="n">
        <x:f>SQRT(D1177)</x:f>
        <x:v>0.6543376677250449</x:v>
      </x:c>
      <x:c r="F1177" s="34" t="n">
        <x:f>-Assumptions!$B$7*E1177</x:f>
        <x:v>1.0762896860085078</x:v>
      </x:c>
      <x:c r="G1177" s="34" t="n">
        <x:f>-Assumptions!$B$8*E1177</x:f>
        <x:v>1.5222170422169998</x:v>
      </x:c>
      <x:c r="H1177" s="34" t="n">
        <x:f>-Assumptions!$B$9*E1177</x:f>
        <x:v>1.021322774837047</x:v>
      </x:c>
      <x:c r="I1177" s="34" t="n">
        <x:f>-Assumptions!$B$10*E1177</x:f>
        <x:v>1.7055072922496681</x:v>
      </x:c>
      <x:c r="J1177" s="36" t="n">
        <x:f>IF(C1177&lt;-F1177,1,0)</x:f>
        <x:v>0</x:v>
      </x:c>
      <x:c r="K1177" s="36" t="n">
        <x:f>IF(C1177&lt;-G1177,1,0)</x:f>
        <x:v>0</x:v>
      </x:c>
      <x:c r="L1177" s="36" t="n">
        <x:f>IF(C1177&lt;-H1177,1,0)</x:f>
        <x:v>0</x:v>
      </x:c>
      <x:c r="M1177" s="36" t="n">
        <x:f>IF(C1177&lt;-I1177,1,0)</x:f>
        <x:v>0</x:v>
      </x:c>
      <x:c r="N1177" s="34" t="n">
        <x:f>-F1177</x:f>
        <x:v>-1.0762896860085078</x:v>
      </x:c>
      <x:c r="O1177" s="34" t="n">
        <x:f>-H1177</x:f>
        <x:v>-1.021322774837047</x:v>
      </x:c>
      <x:c r="P1177" s="34" t="n">
        <x:f>-G1177</x:f>
        <x:v>-1.5222170422169998</x:v>
      </x:c>
      <x:c r="Q1177" s="34" t="n">
        <x:f>-I1177</x:f>
        <x:v>-1.7055072922496681</x:v>
      </x:c>
      <x:c r="R1177" s="36" t="n">
        <x:f>YEAR(A1177)</x:f>
        <x:v>2025</x:v>
      </x:c>
    </x:row>
    <x:row r="1178">
      <x:c r="A1178" s="30" t="n">
        <x:v>45902</x:v>
      </x:c>
      <x:c r="B1178" s="38" t="n">
        <x:v>6415.54</x:v>
      </x:c>
      <x:c r="C1178" s="34" t="n">
        <x:f>(B1178/B1177-1)*100</x:f>
        <x:v>-0.6922322011807647</x:v>
      </x:c>
      <x:c r="D1178" s="34" t="n">
        <x:f>Assumptions!$B$4*D1177+(1-Assumptions!$B$4)*C1177^2</x:f>
        <x:v>0.42703025740061606</x:v>
      </x:c>
      <x:c r="E1178" s="34" t="n">
        <x:f>SQRT(D1178)</x:f>
        <x:v>0.6534755216537311</x:v>
      </x:c>
      <x:c r="F1178" s="34" t="n">
        <x:f>-Assumptions!$B$7*E1178</x:f>
        <x:v>1.0748715819161454</x:v>
      </x:c>
      <x:c r="G1178" s="34" t="n">
        <x:f>-Assumptions!$B$8*E1178</x:f>
        <x:v>1.5202113905368866</x:v>
      </x:c>
      <x:c r="H1178" s="34" t="n">
        <x:f>-Assumptions!$B$9*E1178</x:f>
        <x:v>1.0199770943706752</x:v>
      </x:c>
      <x:c r="I1178" s="34" t="n">
        <x:f>-Assumptions!$B$10*E1178</x:f>
        <x:v>1.7032601399242913</x:v>
      </x:c>
      <x:c r="J1178" s="36" t="n">
        <x:f>IF(C1178&lt;-F1178,1,0)</x:f>
        <x:v>0</x:v>
      </x:c>
      <x:c r="K1178" s="36" t="n">
        <x:f>IF(C1178&lt;-G1178,1,0)</x:f>
        <x:v>0</x:v>
      </x:c>
      <x:c r="L1178" s="36" t="n">
        <x:f>IF(C1178&lt;-H1178,1,0)</x:f>
        <x:v>0</x:v>
      </x:c>
      <x:c r="M1178" s="36" t="n">
        <x:f>IF(C1178&lt;-I1178,1,0)</x:f>
        <x:v>0</x:v>
      </x:c>
      <x:c r="N1178" s="34" t="n">
        <x:f>-F1178</x:f>
        <x:v>-1.0748715819161454</x:v>
      </x:c>
      <x:c r="O1178" s="34" t="n">
        <x:f>-H1178</x:f>
        <x:v>-1.0199770943706752</x:v>
      </x:c>
      <x:c r="P1178" s="34" t="n">
        <x:f>-G1178</x:f>
        <x:v>-1.5202113905368866</x:v>
      </x:c>
      <x:c r="Q1178" s="34" t="n">
        <x:f>-I1178</x:f>
        <x:v>-1.7032601399242913</x:v>
      </x:c>
      <x:c r="R1178" s="36" t="n">
        <x:f>YEAR(A1178)</x:f>
        <x:v>2025</x:v>
      </x:c>
    </x:row>
    <x:row r="1179">
      <x:c r="A1179" s="30" t="n">
        <x:v>45903</x:v>
      </x:c>
      <x:c r="B1179" s="38" t="n">
        <x:v>6448.26</x:v>
      </x:c>
      <x:c r="C1179" s="34" t="n">
        <x:f>(B1179/B1178-1)*100</x:f>
        <x:v>0.5100116280157385</x:v>
      </x:c>
      <x:c r="D1179" s="34" t="n">
        <x:f>Assumptions!$B$4*D1178+(1-Assumptions!$B$4)*C1178^2</x:f>
        <x:v>0.4301595671776731</x:v>
      </x:c>
      <x:c r="E1179" s="34" t="n">
        <x:f>SQRT(D1179)</x:f>
        <x:v>0.6558655099772156</x:v>
      </x:c>
      <x:c r="F1179" s="34" t="n">
        <x:f>-Assumptions!$B$7*E1179</x:f>
        <x:v>1.0788027628784005</x:v>
      </x:c>
      <x:c r="G1179" s="34" t="n">
        <x:f>-Assumptions!$B$8*E1179</x:f>
        <x:v>1.525771334792207</x:v>
      </x:c>
      <x:c r="H1179" s="34" t="n">
        <x:f>-Assumptions!$B$9*E1179</x:f>
        <x:v>1.0237075070104606</x:v>
      </x:c>
      <x:c r="I1179" s="34" t="n">
        <x:f>-Assumptions!$B$10*E1179</x:f>
        <x:v>1.7094895574179623</x:v>
      </x:c>
      <x:c r="J1179" s="36" t="n">
        <x:f>IF(C1179&lt;-F1179,1,0)</x:f>
        <x:v>0</x:v>
      </x:c>
      <x:c r="K1179" s="36" t="n">
        <x:f>IF(C1179&lt;-G1179,1,0)</x:f>
        <x:v>0</x:v>
      </x:c>
      <x:c r="L1179" s="36" t="n">
        <x:f>IF(C1179&lt;-H1179,1,0)</x:f>
        <x:v>0</x:v>
      </x:c>
      <x:c r="M1179" s="36" t="n">
        <x:f>IF(C1179&lt;-I1179,1,0)</x:f>
        <x:v>0</x:v>
      </x:c>
      <x:c r="N1179" s="34" t="n">
        <x:f>-F1179</x:f>
        <x:v>-1.0788027628784005</x:v>
      </x:c>
      <x:c r="O1179" s="34" t="n">
        <x:f>-H1179</x:f>
        <x:v>-1.0237075070104606</x:v>
      </x:c>
      <x:c r="P1179" s="34" t="n">
        <x:f>-G1179</x:f>
        <x:v>-1.525771334792207</x:v>
      </x:c>
      <x:c r="Q1179" s="34" t="n">
        <x:f>-I1179</x:f>
        <x:v>-1.7094895574179623</x:v>
      </x:c>
      <x:c r="R1179" s="36" t="n">
        <x:f>YEAR(A1179)</x:f>
        <x:v>2025</x:v>
      </x:c>
    </x:row>
    <x:row r="1180">
      <x:c r="A1180" s="30" t="n">
        <x:v>45904</x:v>
      </x:c>
      <x:c r="B1180" s="38" t="n">
        <x:v>6502.08</x:v>
      </x:c>
      <x:c r="C1180" s="34" t="n">
        <x:f>(B1180/B1179-1)*100</x:f>
        <x:v>0.834643764364329</x:v>
      </x:c>
      <x:c r="D1180" s="34" t="n">
        <x:f>Assumptions!$B$4*D1179+(1-Assumptions!$B$4)*C1179^2</x:f>
        <x:v>0.41995670478968855</x:v>
      </x:c>
      <x:c r="E1180" s="34" t="n">
        <x:f>SQRT(D1180)</x:f>
        <x:v>0.648040665999973</x:v>
      </x:c>
      <x:c r="F1180" s="34" t="n">
        <x:f>-Assumptions!$B$7*E1180</x:f>
        <x:v>1.0659320398821037</x:v>
      </x:c>
      <x:c r="G1180" s="34" t="n">
        <x:f>-Assumptions!$B$8*E1180</x:f>
        <x:v>1.5075680256410475</x:v>
      </x:c>
      <x:c r="H1180" s="34" t="n">
        <x:f>-Assumptions!$B$9*E1180</x:f>
        <x:v>1.0114941013673326</x:v>
      </x:c>
      <x:c r="I1180" s="34" t="n">
        <x:f>-Assumptions!$B$10*E1180</x:f>
        <x:v>1.6890943866641508</x:v>
      </x:c>
      <x:c r="J1180" s="36" t="n">
        <x:f>IF(C1180&lt;-F1180,1,0)</x:f>
        <x:v>0</x:v>
      </x:c>
      <x:c r="K1180" s="36" t="n">
        <x:f>IF(C1180&lt;-G1180,1,0)</x:f>
        <x:v>0</x:v>
      </x:c>
      <x:c r="L1180" s="36" t="n">
        <x:f>IF(C1180&lt;-H1180,1,0)</x:f>
        <x:v>0</x:v>
      </x:c>
      <x:c r="M1180" s="36" t="n">
        <x:f>IF(C1180&lt;-I1180,1,0)</x:f>
        <x:v>0</x:v>
      </x:c>
      <x:c r="N1180" s="34" t="n">
        <x:f>-F1180</x:f>
        <x:v>-1.0659320398821037</x:v>
      </x:c>
      <x:c r="O1180" s="34" t="n">
        <x:f>-H1180</x:f>
        <x:v>-1.0114941013673326</x:v>
      </x:c>
      <x:c r="P1180" s="34" t="n">
        <x:f>-G1180</x:f>
        <x:v>-1.5075680256410475</x:v>
      </x:c>
      <x:c r="Q1180" s="34" t="n">
        <x:f>-I1180</x:f>
        <x:v>-1.6890943866641508</x:v>
      </x:c>
      <x:c r="R1180" s="36" t="n">
        <x:f>YEAR(A1180)</x:f>
        <x:v>2025</x:v>
      </x:c>
    </x:row>
    <x:row r="1181">
      <x:c r="A1181" s="30" t="n">
        <x:v>45905</x:v>
      </x:c>
      <x:c r="B1181" s="38" t="n">
        <x:v>6481.5</x:v>
      </x:c>
      <x:c r="C1181" s="34" t="n">
        <x:f>(B1181/B1180-1)*100</x:f>
        <x:v>-0.3165141001033489</x:v>
      </x:c>
      <x:c r="D1181" s="34" t="n">
        <x:f>Assumptions!$B$4*D1180+(1-Assumptions!$B$4)*C1180^2</x:f>
        <x:v>0.43655711530584274</x:v>
      </x:c>
      <x:c r="E1181" s="34" t="n">
        <x:f>SQRT(D1181)</x:f>
        <x:v>0.6607246894931676</x:v>
      </x:c>
      <x:c r="F1181" s="34" t="n">
        <x:f>-Assumptions!$B$7*E1181</x:f>
        <x:v>1.0867954019292225</x:v>
      </x:c>
      <x:c r="G1181" s="34" t="n">
        <x:f>-Assumptions!$B$8*E1181</x:f>
        <x:v>1.537075476728725</x:v>
      </x:c>
      <x:c r="H1181" s="34" t="n">
        <x:f>-Assumptions!$B$9*E1181</x:f>
        <x:v>1.031291956067043</x:v>
      </x:c>
      <x:c r="I1181" s="34" t="n">
        <x:f>-Assumptions!$B$10*E1181</x:f>
        <x:v>1.7221548317978086</x:v>
      </x:c>
      <x:c r="J1181" s="36" t="n">
        <x:f>IF(C1181&lt;-F1181,1,0)</x:f>
        <x:v>0</x:v>
      </x:c>
      <x:c r="K1181" s="36" t="n">
        <x:f>IF(C1181&lt;-G1181,1,0)</x:f>
        <x:v>0</x:v>
      </x:c>
      <x:c r="L1181" s="36" t="n">
        <x:f>IF(C1181&lt;-H1181,1,0)</x:f>
        <x:v>0</x:v>
      </x:c>
      <x:c r="M1181" s="36" t="n">
        <x:f>IF(C1181&lt;-I1181,1,0)</x:f>
        <x:v>0</x:v>
      </x:c>
      <x:c r="N1181" s="34" t="n">
        <x:f>-F1181</x:f>
        <x:v>-1.0867954019292225</x:v>
      </x:c>
      <x:c r="O1181" s="34" t="n">
        <x:f>-H1181</x:f>
        <x:v>-1.031291956067043</x:v>
      </x:c>
      <x:c r="P1181" s="34" t="n">
        <x:f>-G1181</x:f>
        <x:v>-1.537075476728725</x:v>
      </x:c>
      <x:c r="Q1181" s="34" t="n">
        <x:f>-I1181</x:f>
        <x:v>-1.7221548317978086</x:v>
      </x:c>
      <x:c r="R1181" s="36" t="n">
        <x:f>YEAR(A1181)</x:f>
        <x:v>2025</x:v>
      </x:c>
    </x:row>
    <x:row r="1182">
      <x:c r="A1182" s="30" t="n">
        <x:v>45908</x:v>
      </x:c>
      <x:c r="B1182" s="38" t="n">
        <x:v>6495.15</x:v>
      </x:c>
      <x:c r="C1182" s="34" t="n">
        <x:f>(B1182/B1181-1)*100</x:f>
        <x:v>0.21059939828742547</x:v>
      </x:c>
      <x:c r="D1182" s="34" t="n">
        <x:f>Assumptions!$B$4*D1181+(1-Assumptions!$B$4)*C1181^2</x:f>
        <x:v>0.4163745589213461</x:v>
      </x:c>
      <x:c r="E1182" s="34" t="n">
        <x:f>SQRT(D1182)</x:f>
        <x:v>0.6452709190110353</x:v>
      </x:c>
      <x:c r="F1182" s="34" t="n">
        <x:f>-Assumptions!$B$7*E1182</x:f>
        <x:v>1.0613762115016114</x:v>
      </x:c>
      <x:c r="G1182" s="34" t="n">
        <x:f>-Assumptions!$B$8*E1182</x:f>
        <x:v>1.5011246306217012</x:v>
      </x:c>
      <x:c r="H1182" s="34" t="n">
        <x:f>-Assumptions!$B$9*E1182</x:f>
        <x:v>1.0071709425154611</x:v>
      </x:c>
      <x:c r="I1182" s="34" t="n">
        <x:f>-Assumptions!$B$10*E1182</x:f>
        <x:v>1.681875142044254</x:v>
      </x:c>
      <x:c r="J1182" s="36" t="n">
        <x:f>IF(C1182&lt;-F1182,1,0)</x:f>
        <x:v>0</x:v>
      </x:c>
      <x:c r="K1182" s="36" t="n">
        <x:f>IF(C1182&lt;-G1182,1,0)</x:f>
        <x:v>0</x:v>
      </x:c>
      <x:c r="L1182" s="36" t="n">
        <x:f>IF(C1182&lt;-H1182,1,0)</x:f>
        <x:v>0</x:v>
      </x:c>
      <x:c r="M1182" s="36" t="n">
        <x:f>IF(C1182&lt;-I1182,1,0)</x:f>
        <x:v>0</x:v>
      </x:c>
      <x:c r="N1182" s="34" t="n">
        <x:f>-F1182</x:f>
        <x:v>-1.0613762115016114</x:v>
      </x:c>
      <x:c r="O1182" s="34" t="n">
        <x:f>-H1182</x:f>
        <x:v>-1.0071709425154611</x:v>
      </x:c>
      <x:c r="P1182" s="34" t="n">
        <x:f>-G1182</x:f>
        <x:v>-1.5011246306217012</x:v>
      </x:c>
      <x:c r="Q1182" s="34" t="n">
        <x:f>-I1182</x:f>
        <x:v>-1.681875142044254</x:v>
      </x:c>
      <x:c r="R1182" s="36" t="n">
        <x:f>YEAR(A1182)</x:f>
        <x:v>2025</x:v>
      </x:c>
    </x:row>
    <x:row r="1183">
      <x:c r="A1183" s="30" t="n">
        <x:v>45909</x:v>
      </x:c>
      <x:c r="B1183" s="38" t="n">
        <x:v>6512.61</x:v>
      </x:c>
      <x:c r="C1183" s="34" t="n">
        <x:f>(B1183/B1182-1)*100</x:f>
        <x:v>0.268815962679847</x:v>
      </x:c>
      <x:c r="D1183" s="34" t="n">
        <x:f>Assumptions!$B$4*D1182+(1-Assumptions!$B$4)*C1182^2</x:f>
        <x:v>0.3940532117796069</x:v>
      </x:c>
      <x:c r="E1183" s="34" t="n">
        <x:f>SQRT(D1183)</x:f>
        <x:v>0.627736578334899</x:v>
      </x:c>
      <x:c r="F1183" s="34" t="n">
        <x:f>-Assumptions!$B$7*E1183</x:f>
        <x:v>1.032534787644266</x:v>
      </x:c>
      <x:c r="G1183" s="34" t="n">
        <x:f>-Assumptions!$B$8*E1183</x:f>
        <x:v>1.4603336544670638</x:v>
      </x:c>
      <x:c r="H1183" s="34" t="n">
        <x:f>-Assumptions!$B$9*E1183</x:f>
        <x:v>0.9798024715292933</x:v>
      </x:c>
      <x:c r="I1183" s="34" t="n">
        <x:f>-Assumptions!$B$10*E1183</x:f>
        <x:v>1.636172521878871</x:v>
      </x:c>
      <x:c r="J1183" s="36" t="n">
        <x:f>IF(C1183&lt;-F1183,1,0)</x:f>
        <x:v>0</x:v>
      </x:c>
      <x:c r="K1183" s="36" t="n">
        <x:f>IF(C1183&lt;-G1183,1,0)</x:f>
        <x:v>0</x:v>
      </x:c>
      <x:c r="L1183" s="36" t="n">
        <x:f>IF(C1183&lt;-H1183,1,0)</x:f>
        <x:v>0</x:v>
      </x:c>
      <x:c r="M1183" s="36" t="n">
        <x:f>IF(C1183&lt;-I1183,1,0)</x:f>
        <x:v>0</x:v>
      </x:c>
      <x:c r="N1183" s="34" t="n">
        <x:f>-F1183</x:f>
        <x:v>-1.032534787644266</x:v>
      </x:c>
      <x:c r="O1183" s="34" t="n">
        <x:f>-H1183</x:f>
        <x:v>-0.9798024715292933</x:v>
      </x:c>
      <x:c r="P1183" s="34" t="n">
        <x:f>-G1183</x:f>
        <x:v>-1.4603336544670638</x:v>
      </x:c>
      <x:c r="Q1183" s="34" t="n">
        <x:f>-I1183</x:f>
        <x:v>-1.636172521878871</x:v>
      </x:c>
      <x:c r="R1183" s="36" t="n">
        <x:f>YEAR(A1183)</x:f>
        <x:v>2025</x:v>
      </x:c>
    </x:row>
    <x:row r="1184">
      <x:c r="A1184" s="30" t="n">
        <x:v>45910</x:v>
      </x:c>
      <x:c r="B1184" s="38" t="n">
        <x:v>6532.04</x:v>
      </x:c>
      <x:c r="C1184" s="34" t="n">
        <x:f>(B1184/B1183-1)*100</x:f>
        <x:v>0.29834428900241683</x:v>
      </x:c>
      <x:c r="D1184" s="34" t="n">
        <x:f>Assumptions!$B$4*D1183+(1-Assumptions!$B$4)*C1183^2</x:f>
        <x:v>0.37474574038032005</x:v>
      </x:c>
      <x:c r="E1184" s="34" t="n">
        <x:f>SQRT(D1184)</x:f>
        <x:v>0.612164798383834</x:v>
      </x:c>
      <x:c r="F1184" s="34" t="n">
        <x:f>-Assumptions!$B$7*E1184</x:f>
        <x:v>1.0069214889136664</x:v>
      </x:c>
      <x:c r="G1184" s="34" t="n">
        <x:f>-Assumptions!$B$8*E1184</x:f>
        <x:v>1.4241082772828717</x:v>
      </x:c>
      <x:c r="H1184" s="34" t="n">
        <x:f>-Assumptions!$B$9*E1184</x:f>
        <x:v>0.9554972629294783</x:v>
      </x:c>
      <x:c r="I1184" s="34" t="n">
        <x:f>-Assumptions!$B$10*E1184</x:f>
        <x:v>1.5955852447438361</x:v>
      </x:c>
      <x:c r="J1184" s="36" t="n">
        <x:f>IF(C1184&lt;-F1184,1,0)</x:f>
        <x:v>0</x:v>
      </x:c>
      <x:c r="K1184" s="36" t="n">
        <x:f>IF(C1184&lt;-G1184,1,0)</x:f>
        <x:v>0</x:v>
      </x:c>
      <x:c r="L1184" s="36" t="n">
        <x:f>IF(C1184&lt;-H1184,1,0)</x:f>
        <x:v>0</x:v>
      </x:c>
      <x:c r="M1184" s="36" t="n">
        <x:f>IF(C1184&lt;-I1184,1,0)</x:f>
        <x:v>0</x:v>
      </x:c>
      <x:c r="N1184" s="34" t="n">
        <x:f>-F1184</x:f>
        <x:v>-1.0069214889136664</x:v>
      </x:c>
      <x:c r="O1184" s="34" t="n">
        <x:f>-H1184</x:f>
        <x:v>-0.9554972629294783</x:v>
      </x:c>
      <x:c r="P1184" s="34" t="n">
        <x:f>-G1184</x:f>
        <x:v>-1.4241082772828717</x:v>
      </x:c>
      <x:c r="Q1184" s="34" t="n">
        <x:f>-I1184</x:f>
        <x:v>-1.5955852447438361</x:v>
      </x:c>
      <x:c r="R1184" s="36" t="n">
        <x:f>YEAR(A1184)</x:f>
        <x:v>2025</x:v>
      </x:c>
    </x:row>
    <x:row r="1185">
      <x:c r="A1185" s="30" t="n">
        <x:v>45911</x:v>
      </x:c>
      <x:c r="B1185" s="38" t="n">
        <x:v>6587.47</x:v>
      </x:c>
      <x:c r="C1185" s="34" t="n">
        <x:f>(B1185/B1184-1)*100</x:f>
        <x:v>0.8485863528086224</x:v>
      </x:c>
      <x:c r="D1185" s="34" t="n">
        <x:f>Assumptions!$B$4*D1184+(1-Assumptions!$B$4)*C1184^2</x:f>
        <x:v>0.35760155484432227</x:v>
      </x:c>
      <x:c r="E1185" s="34" t="n">
        <x:f>SQRT(D1185)</x:f>
        <x:v>0.5979979555519586</x:v>
      </x:c>
      <x:c r="F1185" s="34" t="n">
        <x:f>-Assumptions!$B$7*E1185</x:f>
        <x:v>0.9836191060992047</x:v>
      </x:c>
      <x:c r="G1185" s="34" t="n">
        <x:f>-Assumptions!$B$8*E1185</x:f>
        <x:v>1.3911512725790678</x:v>
      </x:c>
      <x:c r="H1185" s="34" t="n">
        <x:f>-Assumptions!$B$9*E1185</x:f>
        <x:v>0.9333849500589143</x:v>
      </x:c>
      <x:c r="I1185" s="34" t="n">
        <x:f>-Assumptions!$B$10*E1185</x:f>
        <x:v>1.5586598850256315</x:v>
      </x:c>
      <x:c r="J1185" s="36" t="n">
        <x:f>IF(C1185&lt;-F1185,1,0)</x:f>
        <x:v>0</x:v>
      </x:c>
      <x:c r="K1185" s="36" t="n">
        <x:f>IF(C1185&lt;-G1185,1,0)</x:f>
        <x:v>0</x:v>
      </x:c>
      <x:c r="L1185" s="36" t="n">
        <x:f>IF(C1185&lt;-H1185,1,0)</x:f>
        <x:v>0</x:v>
      </x:c>
      <x:c r="M1185" s="36" t="n">
        <x:f>IF(C1185&lt;-I1185,1,0)</x:f>
        <x:v>0</x:v>
      </x:c>
      <x:c r="N1185" s="34" t="n">
        <x:f>-F1185</x:f>
        <x:v>-0.9836191060992047</x:v>
      </x:c>
      <x:c r="O1185" s="34" t="n">
        <x:f>-H1185</x:f>
        <x:v>-0.9333849500589143</x:v>
      </x:c>
      <x:c r="P1185" s="34" t="n">
        <x:f>-G1185</x:f>
        <x:v>-1.3911512725790678</x:v>
      </x:c>
      <x:c r="Q1185" s="34" t="n">
        <x:f>-I1185</x:f>
        <x:v>-1.5586598850256315</x:v>
      </x:c>
      <x:c r="R1185" s="36" t="n">
        <x:f>YEAR(A1185)</x:f>
        <x:v>2025</x:v>
      </x:c>
    </x:row>
    <x:row r="1186">
      <x:c r="A1186" s="30" t="n">
        <x:v>45912</x:v>
      </x:c>
      <x:c r="B1186" s="38" t="n">
        <x:v>6584.29</x:v>
      </x:c>
      <x:c r="C1186" s="34" t="n">
        <x:f>(B1186/B1185-1)*100</x:f>
        <x:v>-0.04827346462299431</x:v>
      </x:c>
      <x:c r="D1186" s="34" t="n">
        <x:f>Assumptions!$B$4*D1185+(1-Assumptions!$B$4)*C1185^2</x:f>
        <x:v>0.37935138944404534</x:v>
      </x:c>
      <x:c r="E1186" s="34" t="n">
        <x:f>SQRT(D1186)</x:f>
        <x:v>0.6159150829814491</x:v>
      </x:c>
      <x:c r="F1186" s="34" t="n">
        <x:f>-Assumptions!$B$7*E1186</x:f>
        <x:v>1.013090158136154</x:v>
      </x:c>
      <x:c r="G1186" s="34" t="n">
        <x:f>-Assumptions!$B$8*E1186</x:f>
        <x:v>1.432832743883582</x:v>
      </x:c>
      <x:c r="H1186" s="34" t="n">
        <x:f>-Assumptions!$B$9*E1186</x:f>
        <x:v>0.9613508936473639</x:v>
      </x:c>
      <x:c r="I1186" s="34" t="n">
        <x:f>-Assumptions!$B$10*E1186</x:f>
        <x:v>1.6053602249180356</x:v>
      </x:c>
      <x:c r="J1186" s="36" t="n">
        <x:f>IF(C1186&lt;-F1186,1,0)</x:f>
        <x:v>0</x:v>
      </x:c>
      <x:c r="K1186" s="36" t="n">
        <x:f>IF(C1186&lt;-G1186,1,0)</x:f>
        <x:v>0</x:v>
      </x:c>
      <x:c r="L1186" s="36" t="n">
        <x:f>IF(C1186&lt;-H1186,1,0)</x:f>
        <x:v>0</x:v>
      </x:c>
      <x:c r="M1186" s="36" t="n">
        <x:f>IF(C1186&lt;-I1186,1,0)</x:f>
        <x:v>0</x:v>
      </x:c>
      <x:c r="N1186" s="34" t="n">
        <x:f>-F1186</x:f>
        <x:v>-1.013090158136154</x:v>
      </x:c>
      <x:c r="O1186" s="34" t="n">
        <x:f>-H1186</x:f>
        <x:v>-0.9613508936473639</x:v>
      </x:c>
      <x:c r="P1186" s="34" t="n">
        <x:f>-G1186</x:f>
        <x:v>-1.432832743883582</x:v>
      </x:c>
      <x:c r="Q1186" s="34" t="n">
        <x:f>-I1186</x:f>
        <x:v>-1.6053602249180356</x:v>
      </x:c>
      <x:c r="R1186" s="36" t="n">
        <x:f>YEAR(A1186)</x:f>
        <x:v>2025</x:v>
      </x:c>
    </x:row>
    <x:row r="1187">
      <x:c r="A1187" s="30" t="n">
        <x:v>45915</x:v>
      </x:c>
      <x:c r="B1187" s="38" t="n">
        <x:v>6615.28</x:v>
      </x:c>
      <x:c r="C1187" s="34" t="n">
        <x:f>(B1187/B1186-1)*100</x:f>
        <x:v>0.4706657817319604</x:v>
      </x:c>
      <x:c r="D1187" s="34" t="n">
        <x:f>Assumptions!$B$4*D1186+(1-Assumptions!$B$4)*C1186^2</x:f>
        <x:v>0.3567301257206051</x:v>
      </x:c>
      <x:c r="E1187" s="34" t="n">
        <x:f>SQRT(D1187)</x:f>
        <x:v>0.5972688889609143</x:v>
      </x:c>
      <x:c r="F1187" s="34" t="n">
        <x:f>-Assumptions!$B$7*E1187</x:f>
        <x:v>0.9824198982726364</x:v>
      </x:c>
      <x:c r="G1187" s="34" t="n">
        <x:f>-Assumptions!$B$8*E1187</x:f>
        <x:v>1.3894552100649578</x:v>
      </x:c>
      <x:c r="H1187" s="34" t="n">
        <x:f>-Assumptions!$B$9*E1187</x:f>
        <x:v>0.9322469866639671</x:v>
      </x:c>
      <x:c r="I1187" s="34" t="n">
        <x:f>-Assumptions!$B$10*E1187</x:f>
        <x:v>1.5567595995172567</x:v>
      </x:c>
      <x:c r="J1187" s="36" t="n">
        <x:f>IF(C1187&lt;-F1187,1,0)</x:f>
        <x:v>0</x:v>
      </x:c>
      <x:c r="K1187" s="36" t="n">
        <x:f>IF(C1187&lt;-G1187,1,0)</x:f>
        <x:v>0</x:v>
      </x:c>
      <x:c r="L1187" s="36" t="n">
        <x:f>IF(C1187&lt;-H1187,1,0)</x:f>
        <x:v>0</x:v>
      </x:c>
      <x:c r="M1187" s="36" t="n">
        <x:f>IF(C1187&lt;-I1187,1,0)</x:f>
        <x:v>0</x:v>
      </x:c>
      <x:c r="N1187" s="34" t="n">
        <x:f>-F1187</x:f>
        <x:v>-0.9824198982726364</x:v>
      </x:c>
      <x:c r="O1187" s="34" t="n">
        <x:f>-H1187</x:f>
        <x:v>-0.9322469866639671</x:v>
      </x:c>
      <x:c r="P1187" s="34" t="n">
        <x:f>-G1187</x:f>
        <x:v>-1.3894552100649578</x:v>
      </x:c>
      <x:c r="Q1187" s="34" t="n">
        <x:f>-I1187</x:f>
        <x:v>-1.5567595995172567</x:v>
      </x:c>
      <x:c r="R1187" s="36" t="n">
        <x:f>YEAR(A1187)</x:f>
        <x:v>2025</x:v>
      </x:c>
    </x:row>
    <x:row r="1188">
      <x:c r="A1188" s="30" t="n">
        <x:v>45916</x:v>
      </x:c>
      <x:c r="B1188" s="38" t="n">
        <x:v>6606.76</x:v>
      </x:c>
      <x:c r="C1188" s="34" t="n">
        <x:f>(B1188/B1187-1)*100</x:f>
        <x:v>-0.128792734396721</x:v>
      </x:c>
      <x:c r="D1188" s="34" t="n">
        <x:f>Assumptions!$B$4*D1187+(1-Assumptions!$B$4)*C1187^2</x:f>
        <x:v>0.3486178948629702</x:v>
      </x:c>
      <x:c r="E1188" s="34" t="n">
        <x:f>SQRT(D1188)</x:f>
        <x:v>0.5904387308290083</x:v>
      </x:c>
      <x:c r="F1188" s="34" t="n">
        <x:f>-Assumptions!$B$7*E1188</x:f>
        <x:v>0.9711852878967188</x:v>
      </x:c>
      <x:c r="G1188" s="34" t="n">
        <x:f>-Assumptions!$B$8*E1188</x:f>
        <x:v>1.3735658862154354</x:v>
      </x:c>
      <x:c r="H1188" s="34" t="n">
        <x:f>-Assumptions!$B$9*E1188</x:f>
        <x:v>0.921586136158284</x:v>
      </x:c>
      <x:c r="I1188" s="34" t="n">
        <x:f>-Assumptions!$B$10*E1188</x:f>
        <x:v>1.5389570411811548</x:v>
      </x:c>
      <x:c r="J1188" s="36" t="n">
        <x:f>IF(C1188&lt;-F1188,1,0)</x:f>
        <x:v>0</x:v>
      </x:c>
      <x:c r="K1188" s="36" t="n">
        <x:f>IF(C1188&lt;-G1188,1,0)</x:f>
        <x:v>0</x:v>
      </x:c>
      <x:c r="L1188" s="36" t="n">
        <x:f>IF(C1188&lt;-H1188,1,0)</x:f>
        <x:v>0</x:v>
      </x:c>
      <x:c r="M1188" s="36" t="n">
        <x:f>IF(C1188&lt;-I1188,1,0)</x:f>
        <x:v>0</x:v>
      </x:c>
      <x:c r="N1188" s="34" t="n">
        <x:f>-F1188</x:f>
        <x:v>-0.9711852878967188</x:v>
      </x:c>
      <x:c r="O1188" s="34" t="n">
        <x:f>-H1188</x:f>
        <x:v>-0.921586136158284</x:v>
      </x:c>
      <x:c r="P1188" s="34" t="n">
        <x:f>-G1188</x:f>
        <x:v>-1.3735658862154354</x:v>
      </x:c>
      <x:c r="Q1188" s="34" t="n">
        <x:f>-I1188</x:f>
        <x:v>-1.5389570411811548</x:v>
      </x:c>
      <x:c r="R1188" s="36" t="n">
        <x:f>YEAR(A1188)</x:f>
        <x:v>2025</x:v>
      </x:c>
    </x:row>
    <x:row r="1189">
      <x:c r="A1189" s="30" t="n">
        <x:v>45917</x:v>
      </x:c>
      <x:c r="B1189" s="38" t="n">
        <x:v>6600.35</x:v>
      </x:c>
      <x:c r="C1189" s="34" t="n">
        <x:f>(B1189/B1188-1)*100</x:f>
        <x:v>-0.09702183823840915</x:v>
      </x:c>
      <x:c r="D1189" s="34" t="n">
        <x:f>Assumptions!$B$4*D1188+(1-Assumptions!$B$4)*C1188^2</x:f>
        <x:v>0.32869607527719497</x:v>
      </x:c>
      <x:c r="E1189" s="34" t="n">
        <x:f>SQRT(D1189)</x:f>
        <x:v>0.5733202205375239</x:v>
      </x:c>
      <x:c r="F1189" s="34" t="n">
        <x:f>-Assumptions!$B$7*E1189</x:f>
        <x:v>0.9430278441557643</x:v>
      </x:c>
      <x:c r="G1189" s="34" t="n">
        <x:f>-Assumptions!$B$8*E1189</x:f>
        <x:v>1.3337422761920943</x:v>
      </x:c>
      <x:c r="H1189" s="34" t="n">
        <x:f>-Assumptions!$B$9*E1189</x:f>
        <x:v>0.8948667139175303</x:v>
      </x:c>
      <x:c r="I1189" s="34" t="n">
        <x:f>-Assumptions!$B$10*E1189</x:f>
        <x:v>1.494338267763932</x:v>
      </x:c>
      <x:c r="J1189" s="36" t="n">
        <x:f>IF(C1189&lt;-F1189,1,0)</x:f>
        <x:v>0</x:v>
      </x:c>
      <x:c r="K1189" s="36" t="n">
        <x:f>IF(C1189&lt;-G1189,1,0)</x:f>
        <x:v>0</x:v>
      </x:c>
      <x:c r="L1189" s="36" t="n">
        <x:f>IF(C1189&lt;-H1189,1,0)</x:f>
        <x:v>0</x:v>
      </x:c>
      <x:c r="M1189" s="36" t="n">
        <x:f>IF(C1189&lt;-I1189,1,0)</x:f>
        <x:v>0</x:v>
      </x:c>
      <x:c r="N1189" s="34" t="n">
        <x:f>-F1189</x:f>
        <x:v>-0.9430278441557643</x:v>
      </x:c>
      <x:c r="O1189" s="34" t="n">
        <x:f>-H1189</x:f>
        <x:v>-0.8948667139175303</x:v>
      </x:c>
      <x:c r="P1189" s="34" t="n">
        <x:f>-G1189</x:f>
        <x:v>-1.3337422761920943</x:v>
      </x:c>
      <x:c r="Q1189" s="34" t="n">
        <x:f>-I1189</x:f>
        <x:v>-1.494338267763932</x:v>
      </x:c>
      <x:c r="R1189" s="36" t="n">
        <x:f>YEAR(A1189)</x:f>
        <x:v>2025</x:v>
      </x:c>
    </x:row>
    <x:row r="1190">
      <x:c r="A1190" s="30" t="n">
        <x:v>45918</x:v>
      </x:c>
      <x:c r="B1190" s="38" t="n">
        <x:v>6631.96</x:v>
      </x:c>
      <x:c r="C1190" s="34" t="n">
        <x:f>(B1190/B1189-1)*100</x:f>
        <x:v>0.4789139969850087</x:v>
      </x:c>
      <x:c r="D1190" s="34" t="n">
        <x:f>Assumptions!$B$4*D1189+(1-Assumptions!$B$4)*C1189^2</x:f>
        <x:v>0.30953910498627285</x:v>
      </x:c>
      <x:c r="E1190" s="34" t="n">
        <x:f>SQRT(D1190)</x:f>
        <x:v>0.5563623863870318</x:v>
      </x:c>
      <x:c r="F1190" s="34" t="n">
        <x:f>-Assumptions!$B$7*E1190</x:f>
        <x:v>0.915134689148086</x:v>
      </x:c>
      <x:c r="G1190" s="34" t="n">
        <x:f>-Assumptions!$B$8*E1190</x:f>
        <x:v>1.2942924547677601</x:v>
      </x:c>
      <x:c r="H1190" s="34" t="n">
        <x:f>-Assumptions!$B$9*E1190</x:f>
        <x:v>0.8683980829887593</x:v>
      </x:c>
      <x:c r="I1190" s="34" t="n">
        <x:f>-Assumptions!$B$10*E1190</x:f>
        <x:v>1.4501382908544909</x:v>
      </x:c>
      <x:c r="J1190" s="36" t="n">
        <x:f>IF(C1190&lt;-F1190,1,0)</x:f>
        <x:v>0</x:v>
      </x:c>
      <x:c r="K1190" s="36" t="n">
        <x:f>IF(C1190&lt;-G1190,1,0)</x:f>
        <x:v>0</x:v>
      </x:c>
      <x:c r="L1190" s="36" t="n">
        <x:f>IF(C1190&lt;-H1190,1,0)</x:f>
        <x:v>0</x:v>
      </x:c>
      <x:c r="M1190" s="36" t="n">
        <x:f>IF(C1190&lt;-I1190,1,0)</x:f>
        <x:v>0</x:v>
      </x:c>
      <x:c r="N1190" s="34" t="n">
        <x:f>-F1190</x:f>
        <x:v>-0.915134689148086</x:v>
      </x:c>
      <x:c r="O1190" s="34" t="n">
        <x:f>-H1190</x:f>
        <x:v>-0.8683980829887593</x:v>
      </x:c>
      <x:c r="P1190" s="34" t="n">
        <x:f>-G1190</x:f>
        <x:v>-1.2942924547677601</x:v>
      </x:c>
      <x:c r="Q1190" s="34" t="n">
        <x:f>-I1190</x:f>
        <x:v>-1.4501382908544909</x:v>
      </x:c>
      <x:c r="R1190" s="36" t="n">
        <x:f>YEAR(A1190)</x:f>
        <x:v>2025</x:v>
      </x:c>
    </x:row>
    <x:row r="1191">
      <x:c r="A1191" s="30" t="n">
        <x:v>45919</x:v>
      </x:c>
      <x:c r="B1191" s="38" t="n">
        <x:v>6664.36</x:v>
      </x:c>
      <x:c r="C1191" s="34" t="n">
        <x:f>(B1191/B1190-1)*100</x:f>
        <x:v>0.48854335671504323</x:v>
      </x:c>
      <x:c r="D1191" s="34" t="n">
        <x:f>Assumptions!$B$4*D1190+(1-Assumptions!$B$4)*C1190^2</x:f>
        <x:v>0.3047282756775859</x:v>
      </x:c>
      <x:c r="E1191" s="34" t="n">
        <x:f>SQRT(D1191)</x:f>
        <x:v>0.5520219884004495</x:v>
      </x:c>
      <x:c r="F1191" s="34" t="n">
        <x:f>-Assumptions!$B$7*E1191</x:f>
        <x:v>0.9079953697774432</x:v>
      </x:c>
      <x:c r="G1191" s="34" t="n">
        <x:f>-Assumptions!$B$8*E1191</x:f>
        <x:v>1.284195179139183</x:v>
      </x:c>
      <x:c r="H1191" s="34" t="n">
        <x:f>-Assumptions!$B$9*E1191</x:f>
        <x:v>0.861623373944474</x:v>
      </x:c>
      <x:c r="I1191" s="34" t="n">
        <x:f>-Assumptions!$B$10*E1191</x:f>
        <x:v>1.43882520163082</x:v>
      </x:c>
      <x:c r="J1191" s="36" t="n">
        <x:f>IF(C1191&lt;-F1191,1,0)</x:f>
        <x:v>0</x:v>
      </x:c>
      <x:c r="K1191" s="36" t="n">
        <x:f>IF(C1191&lt;-G1191,1,0)</x:f>
        <x:v>0</x:v>
      </x:c>
      <x:c r="L1191" s="36" t="n">
        <x:f>IF(C1191&lt;-H1191,1,0)</x:f>
        <x:v>0</x:v>
      </x:c>
      <x:c r="M1191" s="36" t="n">
        <x:f>IF(C1191&lt;-I1191,1,0)</x:f>
        <x:v>0</x:v>
      </x:c>
      <x:c r="N1191" s="34" t="n">
        <x:f>-F1191</x:f>
        <x:v>-0.9079953697774432</x:v>
      </x:c>
      <x:c r="O1191" s="34" t="n">
        <x:f>-H1191</x:f>
        <x:v>-0.861623373944474</x:v>
      </x:c>
      <x:c r="P1191" s="34" t="n">
        <x:f>-G1191</x:f>
        <x:v>-1.284195179139183</x:v>
      </x:c>
      <x:c r="Q1191" s="34" t="n">
        <x:f>-I1191</x:f>
        <x:v>-1.43882520163082</x:v>
      </x:c>
      <x:c r="R1191" s="36" t="n">
        <x:f>YEAR(A1191)</x:f>
        <x:v>2025</x:v>
      </x:c>
    </x:row>
    <x:row r="1192">
      <x:c r="A1192" s="30" t="n">
        <x:v>45922</x:v>
      </x:c>
      <x:c r="B1192" s="38" t="n">
        <x:v>6693.75</x:v>
      </x:c>
      <x:c r="C1192" s="34" t="n">
        <x:f>(B1192/B1191-1)*100</x:f>
        <x:v>0.44100258689507843</x:v>
      </x:c>
      <x:c r="D1192" s="34" t="n">
        <x:f>Assumptions!$B$4*D1191+(1-Assumptions!$B$4)*C1191^2</x:f>
        <x:v>0.3007650558203549</x:v>
      </x:c>
      <x:c r="E1192" s="34" t="n">
        <x:f>SQRT(D1192)</x:f>
        <x:v>0.5484205100288965</x:v>
      </x:c>
      <x:c r="F1192" s="34" t="n">
        <x:f>-Assumptions!$B$7*E1192</x:f>
        <x:v>0.902071465015607</x:v>
      </x:c>
      <x:c r="G1192" s="34" t="n">
        <x:f>-Assumptions!$B$8*E1192</x:f>
        <x:v>1.2758168875861167</x:v>
      </x:c>
      <x:c r="H1192" s="34" t="n">
        <x:f>-Assumptions!$B$9*E1192</x:f>
        <x:v>0.8560020073850055</x:v>
      </x:c>
      <x:c r="I1192" s="34" t="n">
        <x:f>-Assumptions!$B$10*E1192</x:f>
        <x:v>1.4294380794635784</x:v>
      </x:c>
      <x:c r="J1192" s="36" t="n">
        <x:f>IF(C1192&lt;-F1192,1,0)</x:f>
        <x:v>0</x:v>
      </x:c>
      <x:c r="K1192" s="36" t="n">
        <x:f>IF(C1192&lt;-G1192,1,0)</x:f>
        <x:v>0</x:v>
      </x:c>
      <x:c r="L1192" s="36" t="n">
        <x:f>IF(C1192&lt;-H1192,1,0)</x:f>
        <x:v>0</x:v>
      </x:c>
      <x:c r="M1192" s="36" t="n">
        <x:f>IF(C1192&lt;-I1192,1,0)</x:f>
        <x:v>0</x:v>
      </x:c>
      <x:c r="N1192" s="34" t="n">
        <x:f>-F1192</x:f>
        <x:v>-0.902071465015607</x:v>
      </x:c>
      <x:c r="O1192" s="34" t="n">
        <x:f>-H1192</x:f>
        <x:v>-0.8560020073850055</x:v>
      </x:c>
      <x:c r="P1192" s="34" t="n">
        <x:f>-G1192</x:f>
        <x:v>-1.2758168875861167</x:v>
      </x:c>
      <x:c r="Q1192" s="34" t="n">
        <x:f>-I1192</x:f>
        <x:v>-1.4294380794635784</x:v>
      </x:c>
      <x:c r="R1192" s="36" t="n">
        <x:f>YEAR(A1192)</x:f>
        <x:v>2025</x:v>
      </x:c>
    </x:row>
    <x:row r="1193">
      <x:c r="A1193" s="30" t="n">
        <x:v>45923</x:v>
      </x:c>
      <x:c r="B1193" s="38" t="n">
        <x:v>6656.92</x:v>
      </x:c>
      <x:c r="C1193" s="34" t="n">
        <x:f>(B1193/B1192-1)*100</x:f>
        <x:v>-0.5502147525676904</x:v>
      </x:c>
      <x:c r="D1193" s="34" t="n">
        <x:f>Assumptions!$B$4*D1192+(1-Assumptions!$B$4)*C1192^2</x:f>
        <x:v>0.29438814937002267</x:v>
      </x:c>
      <x:c r="E1193" s="34" t="n">
        <x:f>SQRT(D1193)</x:f>
        <x:v>0.5425754780397126</x:v>
      </x:c>
      <x:c r="F1193" s="34" t="n">
        <x:f>-Assumptions!$B$7*E1193</x:f>
        <x:v>0.8924572429485506</x:v>
      </x:c>
      <x:c r="G1193" s="34" t="n">
        <x:f>-Assumptions!$B$8*E1193</x:f>
        <x:v>1.2622193098443781</x:v>
      </x:c>
      <x:c r="H1193" s="34" t="n">
        <x:f>-Assumptions!$B$9*E1193</x:f>
        <x:v>0.8468787907574814</x:v>
      </x:c>
      <x:c r="I1193" s="34" t="n">
        <x:f>-Assumptions!$B$10*E1193</x:f>
        <x:v>1.414203216528598</x:v>
      </x:c>
      <x:c r="J1193" s="36" t="n">
        <x:f>IF(C1193&lt;-F1193,1,0)</x:f>
        <x:v>0</x:v>
      </x:c>
      <x:c r="K1193" s="36" t="n">
        <x:f>IF(C1193&lt;-G1193,1,0)</x:f>
        <x:v>0</x:v>
      </x:c>
      <x:c r="L1193" s="36" t="n">
        <x:f>IF(C1193&lt;-H1193,1,0)</x:f>
        <x:v>0</x:v>
      </x:c>
      <x:c r="M1193" s="36" t="n">
        <x:f>IF(C1193&lt;-I1193,1,0)</x:f>
        <x:v>0</x:v>
      </x:c>
      <x:c r="N1193" s="34" t="n">
        <x:f>-F1193</x:f>
        <x:v>-0.8924572429485506</x:v>
      </x:c>
      <x:c r="O1193" s="34" t="n">
        <x:f>-H1193</x:f>
        <x:v>-0.8468787907574814</x:v>
      </x:c>
      <x:c r="P1193" s="34" t="n">
        <x:f>-G1193</x:f>
        <x:v>-1.2622193098443781</x:v>
      </x:c>
      <x:c r="Q1193" s="34" t="n">
        <x:f>-I1193</x:f>
        <x:v>-1.414203216528598</x:v>
      </x:c>
      <x:c r="R1193" s="36" t="n">
        <x:f>YEAR(A1193)</x:f>
        <x:v>2025</x:v>
      </x:c>
    </x:row>
    <x:row r="1194">
      <x:c r="A1194" s="30" t="n">
        <x:v>45924</x:v>
      </x:c>
      <x:c r="B1194" s="38" t="n">
        <x:v>6637.97</x:v>
      </x:c>
      <x:c r="C1194" s="34" t="n">
        <x:f>(B1194/B1193-1)*100</x:f>
        <x:v>-0.2846661819580154</x:v>
      </x:c>
      <x:c r="D1194" s="34" t="n">
        <x:f>Assumptions!$B$4*D1193+(1-Assumptions!$B$4)*C1193^2</x:f>
        <x:v>0.2948890368444088</x:v>
      </x:c>
      <x:c r="E1194" s="34" t="n">
        <x:f>SQRT(D1194)</x:f>
        <x:v>0.5430368650878215</x:v>
      </x:c>
      <x:c r="F1194" s="34" t="n">
        <x:f>-Assumptions!$B$7*E1194</x:f>
        <x:v>0.8932161571080608</x:v>
      </x:c>
      <x:c r="G1194" s="34" t="n">
        <x:f>-Assumptions!$B$8*E1194</x:f>
        <x:v>1.263292656622856</x:v>
      </x:c>
      <x:c r="H1194" s="34" t="n">
        <x:f>-Assumptions!$B$9*E1194</x:f>
        <x:v>0.8475989466089497</x:v>
      </x:c>
      <x:c r="I1194" s="34" t="n">
        <x:f>-Assumptions!$B$10*E1194</x:f>
        <x:v>1.4154058050603495</x:v>
      </x:c>
      <x:c r="J1194" s="36" t="n">
        <x:f>IF(C1194&lt;-F1194,1,0)</x:f>
        <x:v>0</x:v>
      </x:c>
      <x:c r="K1194" s="36" t="n">
        <x:f>IF(C1194&lt;-G1194,1,0)</x:f>
        <x:v>0</x:v>
      </x:c>
      <x:c r="L1194" s="36" t="n">
        <x:f>IF(C1194&lt;-H1194,1,0)</x:f>
        <x:v>0</x:v>
      </x:c>
      <x:c r="M1194" s="36" t="n">
        <x:f>IF(C1194&lt;-I1194,1,0)</x:f>
        <x:v>0</x:v>
      </x:c>
      <x:c r="N1194" s="34" t="n">
        <x:f>-F1194</x:f>
        <x:v>-0.8932161571080608</x:v>
      </x:c>
      <x:c r="O1194" s="34" t="n">
        <x:f>-H1194</x:f>
        <x:v>-0.8475989466089497</x:v>
      </x:c>
      <x:c r="P1194" s="34" t="n">
        <x:f>-G1194</x:f>
        <x:v>-1.263292656622856</x:v>
      </x:c>
      <x:c r="Q1194" s="34" t="n">
        <x:f>-I1194</x:f>
        <x:v>-1.4154058050603495</x:v>
      </x:c>
      <x:c r="R1194" s="36" t="n">
        <x:f>YEAR(A1194)</x:f>
        <x:v>2025</x:v>
      </x:c>
    </x:row>
    <x:row r="1195">
      <x:c r="A1195" s="30" t="n">
        <x:v>45925</x:v>
      </x:c>
      <x:c r="B1195" s="38" t="n">
        <x:v>6604.72</x:v>
      </x:c>
      <x:c r="C1195" s="34" t="n">
        <x:f>(B1195/B1194-1)*100</x:f>
        <x:v>-0.5009061505249379</x:v>
      </x:c>
      <x:c r="D1195" s="34" t="n">
        <x:f>Assumptions!$B$4*D1194+(1-Assumptions!$B$4)*C1194^2</x:f>
        <x:v>0.28205778474277754</x:v>
      </x:c>
      <x:c r="E1195" s="34" t="n">
        <x:f>SQRT(D1195)</x:f>
        <x:v>0.5310911265901338</x:v>
      </x:c>
      <x:c r="F1195" s="34" t="n">
        <x:f>-Assumptions!$B$7*E1195</x:f>
        <x:v>0.8735671658135253</x:v>
      </x:c>
      <x:c r="G1195" s="34" t="n">
        <x:f>-Assumptions!$B$8*E1195</x:f>
        <x:v>1.2355027132649126</x:v>
      </x:c>
      <x:c r="H1195" s="34" t="n">
        <x:f>-Assumptions!$B$9*E1195</x:f>
        <x:v>0.8289534438483434</x:v>
      </x:c>
      <x:c r="I1195" s="34" t="n">
        <x:f>-Assumptions!$B$10*E1195</x:f>
        <x:v>1.3842696728704558</x:v>
      </x:c>
      <x:c r="J1195" s="36" t="n">
        <x:f>IF(C1195&lt;-F1195,1,0)</x:f>
        <x:v>0</x:v>
      </x:c>
      <x:c r="K1195" s="36" t="n">
        <x:f>IF(C1195&lt;-G1195,1,0)</x:f>
        <x:v>0</x:v>
      </x:c>
      <x:c r="L1195" s="36" t="n">
        <x:f>IF(C1195&lt;-H1195,1,0)</x:f>
        <x:v>0</x:v>
      </x:c>
      <x:c r="M1195" s="36" t="n">
        <x:f>IF(C1195&lt;-I1195,1,0)</x:f>
        <x:v>0</x:v>
      </x:c>
      <x:c r="N1195" s="34" t="n">
        <x:f>-F1195</x:f>
        <x:v>-0.8735671658135253</x:v>
      </x:c>
      <x:c r="O1195" s="34" t="n">
        <x:f>-H1195</x:f>
        <x:v>-0.8289534438483434</x:v>
      </x:c>
      <x:c r="P1195" s="34" t="n">
        <x:f>-G1195</x:f>
        <x:v>-1.2355027132649126</x:v>
      </x:c>
      <x:c r="Q1195" s="34" t="n">
        <x:f>-I1195</x:f>
        <x:v>-1.3842696728704558</x:v>
      </x:c>
      <x:c r="R1195" s="36" t="n">
        <x:f>YEAR(A1195)</x:f>
        <x:v>2025</x:v>
      </x:c>
    </x:row>
    <x:row r="1196">
      <x:c r="A1196" s="30" t="n">
        <x:v>45926</x:v>
      </x:c>
      <x:c r="B1196" s="38" t="n">
        <x:v>6643.7</x:v>
      </x:c>
      <x:c r="C1196" s="34" t="n">
        <x:f>(B1196/B1195-1)*100</x:f>
        <x:v>0.590183989631643</x:v>
      </x:c>
      <x:c r="D1196" s="34" t="n">
        <x:f>Assumptions!$B$4*D1195+(1-Assumptions!$B$4)*C1195^2</x:f>
        <x:v>0.2801887359562336</x:v>
      </x:c>
      <x:c r="E1196" s="34" t="n">
        <x:f>SQRT(D1196)</x:f>
        <x:v>0.5293285708860175</x:v>
      </x:c>
      <x:c r="F1196" s="34" t="n">
        <x:f>-Assumptions!$B$7*E1196</x:f>
        <x:v>0.8706680196709057</x:v>
      </x:c>
      <x:c r="G1196" s="34" t="n">
        <x:f>-Assumptions!$B$8*E1196</x:f>
        <x:v>1.231402395549763</x:v>
      </x:c>
      <x:c r="H1196" s="34" t="n">
        <x:f>-Assumptions!$B$9*E1196</x:f>
        <x:v>0.8262023592458145</x:v>
      </x:c>
      <x:c r="I1196" s="34" t="n">
        <x:f>-Assumptions!$B$10*E1196</x:f>
        <x:v>1.3796756356406905</x:v>
      </x:c>
      <x:c r="J1196" s="36" t="n">
        <x:f>IF(C1196&lt;-F1196,1,0)</x:f>
        <x:v>0</x:v>
      </x:c>
      <x:c r="K1196" s="36" t="n">
        <x:f>IF(C1196&lt;-G1196,1,0)</x:f>
        <x:v>0</x:v>
      </x:c>
      <x:c r="L1196" s="36" t="n">
        <x:f>IF(C1196&lt;-H1196,1,0)</x:f>
        <x:v>0</x:v>
      </x:c>
      <x:c r="M1196" s="36" t="n">
        <x:f>IF(C1196&lt;-I1196,1,0)</x:f>
        <x:v>0</x:v>
      </x:c>
      <x:c r="N1196" s="34" t="n">
        <x:f>-F1196</x:f>
        <x:v>-0.8706680196709057</x:v>
      </x:c>
      <x:c r="O1196" s="34" t="n">
        <x:f>-H1196</x:f>
        <x:v>-0.8262023592458145</x:v>
      </x:c>
      <x:c r="P1196" s="34" t="n">
        <x:f>-G1196</x:f>
        <x:v>-1.231402395549763</x:v>
      </x:c>
      <x:c r="Q1196" s="34" t="n">
        <x:f>-I1196</x:f>
        <x:v>-1.3796756356406905</x:v>
      </x:c>
      <x:c r="R1196" s="36" t="n">
        <x:f>YEAR(A1196)</x:f>
        <x:v>2025</x:v>
      </x:c>
    </x:row>
    <x:row r="1197">
      <x:c r="A1197" s="30" t="n">
        <x:v>45929</x:v>
      </x:c>
      <x:c r="B1197" s="38" t="n">
        <x:v>6661.21</x:v>
      </x:c>
      <x:c r="C1197" s="34" t="n">
        <x:f>(B1197/B1196-1)*100</x:f>
        <x:v>0.26355795716241914</x:v>
      </x:c>
      <x:c r="D1197" s="34" t="n">
        <x:f>Assumptions!$B$4*D1196+(1-Assumptions!$B$4)*C1196^2</x:f>
        <x:v>0.28427644029591104</x:v>
      </x:c>
      <x:c r="E1197" s="34" t="n">
        <x:f>SQRT(D1197)</x:f>
        <x:v>0.5331758061802045</x:v>
      </x:c>
      <x:c r="F1197" s="34" t="n">
        <x:f>-Assumptions!$B$7*E1197</x:f>
        <x:v>0.876996158598285</x:v>
      </x:c>
      <x:c r="G1197" s="34" t="n">
        <x:f>-Assumptions!$B$8*E1197</x:f>
        <x:v>1.2403524031973299</x:v>
      </x:c>
      <x:c r="H1197" s="34" t="n">
        <x:f>-Assumptions!$B$9*E1197</x:f>
        <x:v>0.8322073154326886</x:v>
      </x:c>
      <x:c r="I1197" s="34" t="n">
        <x:f>-Assumptions!$B$10*E1197</x:f>
        <x:v>1.3897033142734196</x:v>
      </x:c>
      <x:c r="J1197" s="36" t="n">
        <x:f>IF(C1197&lt;-F1197,1,0)</x:f>
        <x:v>0</x:v>
      </x:c>
      <x:c r="K1197" s="36" t="n">
        <x:f>IF(C1197&lt;-G1197,1,0)</x:f>
        <x:v>0</x:v>
      </x:c>
      <x:c r="L1197" s="36" t="n">
        <x:f>IF(C1197&lt;-H1197,1,0)</x:f>
        <x:v>0</x:v>
      </x:c>
      <x:c r="M1197" s="36" t="n">
        <x:f>IF(C1197&lt;-I1197,1,0)</x:f>
        <x:v>0</x:v>
      </x:c>
      <x:c r="N1197" s="34" t="n">
        <x:f>-F1197</x:f>
        <x:v>-0.876996158598285</x:v>
      </x:c>
      <x:c r="O1197" s="34" t="n">
        <x:f>-H1197</x:f>
        <x:v>-0.8322073154326886</x:v>
      </x:c>
      <x:c r="P1197" s="34" t="n">
        <x:f>-G1197</x:f>
        <x:v>-1.2403524031973299</x:v>
      </x:c>
      <x:c r="Q1197" s="34" t="n">
        <x:f>-I1197</x:f>
        <x:v>-1.3897033142734196</x:v>
      </x:c>
      <x:c r="R1197" s="36" t="n">
        <x:f>YEAR(A1197)</x:f>
        <x:v>2025</x:v>
      </x:c>
    </x:row>
    <x:row r="1198">
      <x:c r="A1198" s="30" t="n">
        <x:v>45930</x:v>
      </x:c>
      <x:c r="B1198" s="38" t="n">
        <x:v>6688.46</x:v>
      </x:c>
      <x:c r="C1198" s="34" t="n">
        <x:f>(B1198/B1197-1)*100</x:f>
        <x:v>0.40908483593822265</x:v>
      </x:c>
      <x:c r="D1198" s="34" t="n">
        <x:f>Assumptions!$B$4*D1197+(1-Assumptions!$B$4)*C1197^2</x:f>
        <x:v>0.271387621685174</x:v>
      </x:c>
      <x:c r="E1198" s="34" t="n">
        <x:f>SQRT(D1198)</x:f>
        <x:v>0.5209487706916813</x:v>
      </x:c>
      <x:c r="F1198" s="34" t="n">
        <x:f>-Assumptions!$B$7*E1198</x:f>
        <x:v>0.8568844749281231</x:v>
      </x:c>
      <x:c r="G1198" s="34" t="n">
        <x:f>-Assumptions!$B$8*E1198</x:f>
        <x:v>1.211908065182782</x:v>
      </x:c>
      <x:c r="H1198" s="34" t="n">
        <x:f>-Assumptions!$B$9*E1198</x:f>
        <x:v>0.8131227503386659</x:v>
      </x:c>
      <x:c r="I1198" s="34" t="n">
        <x:f>-Assumptions!$B$10*E1198</x:f>
        <x:v>1.3578339917250586</x:v>
      </x:c>
      <x:c r="J1198" s="36" t="n">
        <x:f>IF(C1198&lt;-F1198,1,0)</x:f>
        <x:v>0</x:v>
      </x:c>
      <x:c r="K1198" s="36" t="n">
        <x:f>IF(C1198&lt;-G1198,1,0)</x:f>
        <x:v>0</x:v>
      </x:c>
      <x:c r="L1198" s="36" t="n">
        <x:f>IF(C1198&lt;-H1198,1,0)</x:f>
        <x:v>0</x:v>
      </x:c>
      <x:c r="M1198" s="36" t="n">
        <x:f>IF(C1198&lt;-I1198,1,0)</x:f>
        <x:v>0</x:v>
      </x:c>
      <x:c r="N1198" s="34" t="n">
        <x:f>-F1198</x:f>
        <x:v>-0.8568844749281231</x:v>
      </x:c>
      <x:c r="O1198" s="34" t="n">
        <x:f>-H1198</x:f>
        <x:v>-0.8131227503386659</x:v>
      </x:c>
      <x:c r="P1198" s="34" t="n">
        <x:f>-G1198</x:f>
        <x:v>-1.211908065182782</x:v>
      </x:c>
      <x:c r="Q1198" s="34" t="n">
        <x:f>-I1198</x:f>
        <x:v>-1.3578339917250586</x:v>
      </x:c>
      <x:c r="R1198" s="36" t="n">
        <x:f>YEAR(A1198)</x:f>
        <x:v>2025</x:v>
      </x:c>
    </x:row>
    <x:row r="1199">
      <x:c r="A1199" s="30" t="n">
        <x:v>45931</x:v>
      </x:c>
      <x:c r="B1199" s="38" t="n">
        <x:v>6711.2</x:v>
      </x:c>
      <x:c r="C1199" s="34" t="n">
        <x:f>(B1199/B1198-1)*100</x:f>
        <x:v>0.33998857734067744</x:v>
      </x:c>
      <x:c r="D1199" s="34" t="n">
        <x:f>Assumptions!$B$4*D1198+(1-Assumptions!$B$4)*C1198^2</x:f>
        <x:v>0.2651453885637397</x:v>
      </x:c>
      <x:c r="E1199" s="34" t="n">
        <x:f>SQRT(D1199)</x:f>
        <x:v>0.5149227015424157</x:v>
      </x:c>
      <x:c r="F1199" s="34" t="n">
        <x:f>-Assumptions!$B$7*E1199</x:f>
        <x:v>0.8469724732316932</x:v>
      </x:c>
      <x:c r="G1199" s="34" t="n">
        <x:f>-Assumptions!$B$8*E1199</x:f>
        <x:v>1.1978893320285648</x:v>
      </x:c>
      <x:c r="H1199" s="34" t="n">
        <x:f>-Assumptions!$B$9*E1199</x:f>
        <x:v>0.8037169619079224</x:v>
      </x:c>
      <x:c r="I1199" s="34" t="n">
        <x:f>-Assumptions!$B$10*E1199</x:f>
        <x:v>1.3421272620278284</x:v>
      </x:c>
      <x:c r="J1199" s="36" t="n">
        <x:f>IF(C1199&lt;-F1199,1,0)</x:f>
        <x:v>0</x:v>
      </x:c>
      <x:c r="K1199" s="36" t="n">
        <x:f>IF(C1199&lt;-G1199,1,0)</x:f>
        <x:v>0</x:v>
      </x:c>
      <x:c r="L1199" s="36" t="n">
        <x:f>IF(C1199&lt;-H1199,1,0)</x:f>
        <x:v>0</x:v>
      </x:c>
      <x:c r="M1199" s="36" t="n">
        <x:f>IF(C1199&lt;-I1199,1,0)</x:f>
        <x:v>0</x:v>
      </x:c>
      <x:c r="N1199" s="34" t="n">
        <x:f>-F1199</x:f>
        <x:v>-0.8469724732316932</x:v>
      </x:c>
      <x:c r="O1199" s="34" t="n">
        <x:f>-H1199</x:f>
        <x:v>-0.8037169619079224</x:v>
      </x:c>
      <x:c r="P1199" s="34" t="n">
        <x:f>-G1199</x:f>
        <x:v>-1.1978893320285648</x:v>
      </x:c>
      <x:c r="Q1199" s="34" t="n">
        <x:f>-I1199</x:f>
        <x:v>-1.3421272620278284</x:v>
      </x:c>
      <x:c r="R1199" s="36" t="n">
        <x:f>YEAR(A1199)</x:f>
        <x:v>2025</x:v>
      </x:c>
    </x:row>
    <x:row r="1200">
      <x:c r="A1200" s="30" t="n">
        <x:v>45932</x:v>
      </x:c>
      <x:c r="B1200" s="38" t="n">
        <x:v>6715.35</x:v>
      </x:c>
      <x:c r="C1200" s="34" t="n">
        <x:f>(B1200/B1199-1)*100</x:f>
        <x:v>0.061836929312208966</x:v>
      </x:c>
      <x:c r="D1200" s="34" t="n">
        <x:f>Assumptions!$B$4*D1199+(1-Assumptions!$B$4)*C1199^2</x:f>
        <x:v>0.2561721992132436</x:v>
      </x:c>
      <x:c r="E1200" s="34" t="n">
        <x:f>SQRT(D1200)</x:f>
        <x:v>0.5061345663094386</x:v>
      </x:c>
      <x:c r="F1200" s="34" t="n">
        <x:f>-Assumptions!$B$7*E1200</x:f>
        <x:v>0.8325172771195909</x:v>
      </x:c>
      <x:c r="G1200" s="34" t="n">
        <x:f>-Assumptions!$B$8*E1200</x:f>
        <x:v>1.1774450723125454</x:v>
      </x:c>
      <x:c r="H1200" s="34" t="n">
        <x:f>-Assumptions!$B$9*E1200</x:f>
        <x:v>0.7900000033641894</x:v>
      </x:c>
      <x:c r="I1200" s="34" t="n">
        <x:f>-Assumptions!$B$10*E1200</x:f>
        <x:v>1.3192213077103447</x:v>
      </x:c>
      <x:c r="J1200" s="36" t="n">
        <x:f>IF(C1200&lt;-F1200,1,0)</x:f>
        <x:v>0</x:v>
      </x:c>
      <x:c r="K1200" s="36" t="n">
        <x:f>IF(C1200&lt;-G1200,1,0)</x:f>
        <x:v>0</x:v>
      </x:c>
      <x:c r="L1200" s="36" t="n">
        <x:f>IF(C1200&lt;-H1200,1,0)</x:f>
        <x:v>0</x:v>
      </x:c>
      <x:c r="M1200" s="36" t="n">
        <x:f>IF(C1200&lt;-I1200,1,0)</x:f>
        <x:v>0</x:v>
      </x:c>
      <x:c r="N1200" s="34" t="n">
        <x:f>-F1200</x:f>
        <x:v>-0.8325172771195909</x:v>
      </x:c>
      <x:c r="O1200" s="34" t="n">
        <x:f>-H1200</x:f>
        <x:v>-0.7900000033641894</x:v>
      </x:c>
      <x:c r="P1200" s="34" t="n">
        <x:f>-G1200</x:f>
        <x:v>-1.1774450723125454</x:v>
      </x:c>
      <x:c r="Q1200" s="34" t="n">
        <x:f>-I1200</x:f>
        <x:v>-1.3192213077103447</x:v>
      </x:c>
      <x:c r="R1200" s="36" t="n">
        <x:f>YEAR(A1200)</x:f>
        <x:v>2025</x:v>
      </x:c>
    </x:row>
    <x:row r="1201">
      <x:c r="A1201" s="30" t="n">
        <x:v>45933</x:v>
      </x:c>
      <x:c r="B1201" s="38" t="n">
        <x:v>6715.79</x:v>
      </x:c>
      <x:c r="C1201" s="34" t="n">
        <x:f>(B1201/B1200-1)*100</x:f>
        <x:v>0.006552152903416264</x:v>
      </x:c>
      <x:c r="D1201" s="34" t="n">
        <x:f>Assumptions!$B$4*D1200+(1-Assumptions!$B$4)*C1200^2</x:f>
        <x:v>0.24103129561005474</x:v>
      </x:c>
      <x:c r="E1201" s="34" t="n">
        <x:f>SQRT(D1201)</x:f>
        <x:v>0.4909493819224694</x:v>
      </x:c>
      <x:c r="F1201" s="34" t="n">
        <x:f>-Assumptions!$B$7*E1201</x:f>
        <x:v>0.8075398715047577</x:v>
      </x:c>
      <x:c r="G1201" s="34" t="n">
        <x:f>-Assumptions!$B$8*E1201</x:f>
        <x:v>1.1421190508970012</x:v>
      </x:c>
      <x:c r="H1201" s="34" t="n">
        <x:f>-Assumptions!$B$9*E1201</x:f>
        <x:v>0.7662982123478902</x:v>
      </x:c>
      <x:c r="I1201" s="34" t="n">
        <x:f>-Assumptions!$B$10*E1201</x:f>
        <x:v>1.2796416778287674</x:v>
      </x:c>
      <x:c r="J1201" s="36" t="n">
        <x:f>IF(C1201&lt;-F1201,1,0)</x:f>
        <x:v>0</x:v>
      </x:c>
      <x:c r="K1201" s="36" t="n">
        <x:f>IF(C1201&lt;-G1201,1,0)</x:f>
        <x:v>0</x:v>
      </x:c>
      <x:c r="L1201" s="36" t="n">
        <x:f>IF(C1201&lt;-H1201,1,0)</x:f>
        <x:v>0</x:v>
      </x:c>
      <x:c r="M1201" s="36" t="n">
        <x:f>IF(C1201&lt;-I1201,1,0)</x:f>
        <x:v>0</x:v>
      </x:c>
      <x:c r="N1201" s="34" t="n">
        <x:f>-F1201</x:f>
        <x:v>-0.8075398715047577</x:v>
      </x:c>
      <x:c r="O1201" s="34" t="n">
        <x:f>-H1201</x:f>
        <x:v>-0.7662982123478902</x:v>
      </x:c>
      <x:c r="P1201" s="34" t="n">
        <x:f>-G1201</x:f>
        <x:v>-1.1421190508970012</x:v>
      </x:c>
      <x:c r="Q1201" s="34" t="n">
        <x:f>-I1201</x:f>
        <x:v>-1.2796416778287674</x:v>
      </x:c>
      <x:c r="R1201" s="36" t="n">
        <x:f>YEAR(A1201)</x:f>
        <x:v>2025</x:v>
      </x:c>
    </x:row>
    <x:row r="1202">
      <x:c r="A1202" s="30" t="n">
        <x:v>45936</x:v>
      </x:c>
      <x:c r="B1202" s="38" t="n">
        <x:v>6740.28</x:v>
      </x:c>
      <x:c r="C1202" s="34" t="n">
        <x:f>(B1202/B1201-1)*100</x:f>
        <x:v>0.36466298082578064</x:v>
      </x:c>
      <x:c r="D1202" s="34" t="n">
        <x:f>Assumptions!$B$4*D1201+(1-Assumptions!$B$4)*C1201^2</x:f>
        <x:v>0.22657199371591163</x:v>
      </x:c>
      <x:c r="E1202" s="34" t="n">
        <x:f>SQRT(D1202)</x:f>
        <x:v>0.47599579169979184</x:v>
      </x:c>
      <x:c r="F1202" s="34" t="n">
        <x:f>-Assumptions!$B$7*E1202</x:f>
        <x:v>0.7829434043910404</x:v>
      </x:c>
      <x:c r="G1202" s="34" t="n">
        <x:f>-Assumptions!$B$8*E1202</x:f>
        <x:v>1.1073317980731974</x:v>
      </x:c>
      <x:c r="H1202" s="34" t="n">
        <x:f>-Assumptions!$B$9*E1202</x:f>
        <x:v>0.7429579050214004</x:v>
      </x:c>
      <x:c r="I1202" s="34" t="n">
        <x:f>-Assumptions!$B$10*E1202</x:f>
        <x:v>1.2406656896990322</x:v>
      </x:c>
      <x:c r="J1202" s="36" t="n">
        <x:f>IF(C1202&lt;-F1202,1,0)</x:f>
        <x:v>0</x:v>
      </x:c>
      <x:c r="K1202" s="36" t="n">
        <x:f>IF(C1202&lt;-G1202,1,0)</x:f>
        <x:v>0</x:v>
      </x:c>
      <x:c r="L1202" s="36" t="n">
        <x:f>IF(C1202&lt;-H1202,1,0)</x:f>
        <x:v>0</x:v>
      </x:c>
      <x:c r="M1202" s="36" t="n">
        <x:f>IF(C1202&lt;-I1202,1,0)</x:f>
        <x:v>0</x:v>
      </x:c>
      <x:c r="N1202" s="34" t="n">
        <x:f>-F1202</x:f>
        <x:v>-0.7829434043910404</x:v>
      </x:c>
      <x:c r="O1202" s="34" t="n">
        <x:f>-H1202</x:f>
        <x:v>-0.7429579050214004</x:v>
      </x:c>
      <x:c r="P1202" s="34" t="n">
        <x:f>-G1202</x:f>
        <x:v>-1.1073317980731974</x:v>
      </x:c>
      <x:c r="Q1202" s="34" t="n">
        <x:f>-I1202</x:f>
        <x:v>-1.2406656896990322</x:v>
      </x:c>
      <x:c r="R1202" s="36" t="n">
        <x:f>YEAR(A1202)</x:f>
        <x:v>2025</x:v>
      </x:c>
    </x:row>
    <x:row r="1203">
      <x:c r="A1203" s="30" t="n">
        <x:v>45937</x:v>
      </x:c>
      <x:c r="B1203" s="38" t="n">
        <x:v>6714.59</x:v>
      </x:c>
      <x:c r="C1203" s="34" t="n">
        <x:f>(B1203/B1202-1)*100</x:f>
        <x:v>-0.3811414362608012</x:v>
      </x:c>
      <x:c r="D1203" s="34" t="n">
        <x:f>Assumptions!$B$4*D1202+(1-Assumptions!$B$4)*C1202^2</x:f>
        <x:v>0.22095641946804156</x:v>
      </x:c>
      <x:c r="E1203" s="34" t="n">
        <x:f>SQRT(D1203)</x:f>
        <x:v>0.47006001687874027</x:v>
      </x:c>
      <x:c r="F1203" s="34" t="n">
        <x:f>-Assumptions!$B$7*E1203</x:f>
        <x:v>0.7731799236478665</x:v>
      </x:c>
      <x:c r="G1203" s="34" t="n">
        <x:f>-Assumptions!$B$8*E1203</x:f>
        <x:v>1.093523120937459</x:v>
      </x:c>
      <x:c r="H1203" s="34" t="n">
        <x:f>-Assumptions!$B$9*E1203</x:f>
        <x:v>0.7336930524688622</x:v>
      </x:c>
      <x:c r="I1203" s="34" t="n">
        <x:f>-Assumptions!$B$10*E1203</x:f>
        <x:v>1.2251943088787105</x:v>
      </x:c>
      <x:c r="J1203" s="36" t="n">
        <x:f>IF(C1203&lt;-F1203,1,0)</x:f>
        <x:v>0</x:v>
      </x:c>
      <x:c r="K1203" s="36" t="n">
        <x:f>IF(C1203&lt;-G1203,1,0)</x:f>
        <x:v>0</x:v>
      </x:c>
      <x:c r="L1203" s="36" t="n">
        <x:f>IF(C1203&lt;-H1203,1,0)</x:f>
        <x:v>0</x:v>
      </x:c>
      <x:c r="M1203" s="36" t="n">
        <x:f>IF(C1203&lt;-I1203,1,0)</x:f>
        <x:v>0</x:v>
      </x:c>
      <x:c r="N1203" s="34" t="n">
        <x:f>-F1203</x:f>
        <x:v>-0.7731799236478665</x:v>
      </x:c>
      <x:c r="O1203" s="34" t="n">
        <x:f>-H1203</x:f>
        <x:v>-0.7336930524688622</x:v>
      </x:c>
      <x:c r="P1203" s="34" t="n">
        <x:f>-G1203</x:f>
        <x:v>-1.093523120937459</x:v>
      </x:c>
      <x:c r="Q1203" s="34" t="n">
        <x:f>-I1203</x:f>
        <x:v>-1.2251943088787105</x:v>
      </x:c>
      <x:c r="R1203" s="36" t="n">
        <x:f>YEAR(A1203)</x:f>
        <x:v>2025</x:v>
      </x:c>
    </x:row>
    <x:row r="1204">
      <x:c r="A1204" s="30" t="n">
        <x:v>45938</x:v>
      </x:c>
      <x:c r="B1204" s="38" t="n">
        <x:v>6753.72</x:v>
      </x:c>
      <x:c r="C1204" s="34" t="n">
        <x:f>(B1204/B1203-1)*100</x:f>
        <x:v>0.5827608238179849</x:v>
      </x:c>
      <x:c r="D1204" s="34" t="n">
        <x:f>Assumptions!$B$4*D1203+(1-Assumptions!$B$4)*C1203^2</x:f>
        <x:v>0.21641516196605584</x:v>
      </x:c>
      <x:c r="E1204" s="34" t="n">
        <x:f>SQRT(D1204)</x:f>
        <x:v>0.46520443029495734</x:v>
      </x:c>
      <x:c r="F1204" s="34" t="n">
        <x:f>-Assumptions!$B$7*E1204</x:f>
        <x:v>0.7651931944445542</x:v>
      </x:c>
      <x:c r="G1204" s="34" t="n">
        <x:f>-Assumptions!$B$8*E1204</x:f>
        <x:v>1.0822273374110543</x:v>
      </x:c>
      <x:c r="H1204" s="34" t="n">
        <x:f>-Assumptions!$B$9*E1204</x:f>
        <x:v>0.7261142114395015</x:v>
      </x:c>
      <x:c r="I1204" s="34" t="n">
        <x:f>-Assumptions!$B$10*E1204</x:f>
        <x:v>1.212538399345666</x:v>
      </x:c>
      <x:c r="J1204" s="36" t="n">
        <x:f>IF(C1204&lt;-F1204,1,0)</x:f>
        <x:v>0</x:v>
      </x:c>
      <x:c r="K1204" s="36" t="n">
        <x:f>IF(C1204&lt;-G1204,1,0)</x:f>
        <x:v>0</x:v>
      </x:c>
      <x:c r="L1204" s="36" t="n">
        <x:f>IF(C1204&lt;-H1204,1,0)</x:f>
        <x:v>0</x:v>
      </x:c>
      <x:c r="M1204" s="36" t="n">
        <x:f>IF(C1204&lt;-I1204,1,0)</x:f>
        <x:v>0</x:v>
      </x:c>
      <x:c r="N1204" s="34" t="n">
        <x:f>-F1204</x:f>
        <x:v>-0.7651931944445542</x:v>
      </x:c>
      <x:c r="O1204" s="34" t="n">
        <x:f>-H1204</x:f>
        <x:v>-0.7261142114395015</x:v>
      </x:c>
      <x:c r="P1204" s="34" t="n">
        <x:f>-G1204</x:f>
        <x:v>-1.0822273374110543</x:v>
      </x:c>
      <x:c r="Q1204" s="34" t="n">
        <x:f>-I1204</x:f>
        <x:v>-1.212538399345666</x:v>
      </x:c>
      <x:c r="R1204" s="36" t="n">
        <x:f>YEAR(A1204)</x:f>
        <x:v>2025</x:v>
      </x:c>
    </x:row>
    <x:row r="1205">
      <x:c r="A1205" s="30" t="n">
        <x:v>45939</x:v>
      </x:c>
      <x:c r="B1205" s="38" t="n">
        <x:v>6735.11</x:v>
      </x:c>
      <x:c r="C1205" s="34" t="n">
        <x:f>(B1205/B1204-1)*100</x:f>
        <x:v>-0.2755518440207827</x:v>
      </x:c>
      <x:c r="D1205" s="34" t="n">
        <x:f>Assumptions!$B$4*D1204+(1-Assumptions!$B$4)*C1204^2</x:f>
        <x:v>0.22380686291471347</x:v>
      </x:c>
      <x:c r="E1205" s="34" t="n">
        <x:f>SQRT(D1205)</x:f>
        <x:v>0.47308230036084997</x:v>
      </x:c>
      <x:c r="F1205" s="34" t="n">
        <x:f>-Assumptions!$B$7*E1205</x:f>
        <x:v>0.7781511375950901</x:v>
      </x:c>
      <x:c r="G1205" s="34" t="n">
        <x:f>-Assumptions!$B$8*E1205</x:f>
        <x:v>1.1005540036908137</x:v>
      </x:c>
      <x:c r="H1205" s="34" t="n">
        <x:f>-Assumptions!$B$9*E1205</x:f>
        <x:v>0.7384103828390121</x:v>
      </x:c>
      <x:c r="I1205" s="34" t="n">
        <x:f>-Assumptions!$B$10*E1205</x:f>
        <x:v>1.23307178066771</x:v>
      </x:c>
      <x:c r="J1205" s="36" t="n">
        <x:f>IF(C1205&lt;-F1205,1,0)</x:f>
        <x:v>0</x:v>
      </x:c>
      <x:c r="K1205" s="36" t="n">
        <x:f>IF(C1205&lt;-G1205,1,0)</x:f>
        <x:v>0</x:v>
      </x:c>
      <x:c r="L1205" s="36" t="n">
        <x:f>IF(C1205&lt;-H1205,1,0)</x:f>
        <x:v>0</x:v>
      </x:c>
      <x:c r="M1205" s="36" t="n">
        <x:f>IF(C1205&lt;-I1205,1,0)</x:f>
        <x:v>0</x:v>
      </x:c>
      <x:c r="N1205" s="34" t="n">
        <x:f>-F1205</x:f>
        <x:v>-0.7781511375950901</x:v>
      </x:c>
      <x:c r="O1205" s="34" t="n">
        <x:f>-H1205</x:f>
        <x:v>-0.7384103828390121</x:v>
      </x:c>
      <x:c r="P1205" s="34" t="n">
        <x:f>-G1205</x:f>
        <x:v>-1.1005540036908137</x:v>
      </x:c>
      <x:c r="Q1205" s="34" t="n">
        <x:f>-I1205</x:f>
        <x:v>-1.23307178066771</x:v>
      </x:c>
      <x:c r="R1205" s="36" t="n">
        <x:f>YEAR(A1205)</x:f>
        <x:v>2025</x:v>
      </x:c>
    </x:row>
    <x:row r="1206">
      <x:c r="A1206" s="30" t="n">
        <x:v>45940</x:v>
      </x:c>
      <x:c r="B1206" s="38" t="n">
        <x:v>6552.51</x:v>
      </x:c>
      <x:c r="C1206" s="34" t="n">
        <x:f>(B1206/B1205-1)*100</x:f>
        <x:v>-2.7111658161485086</x:v>
      </x:c>
      <x:c r="D1206" s="34" t="n">
        <x:f>Assumptions!$B$4*D1205+(1-Assumptions!$B$4)*C1205^2</x:f>
        <x:v>0.21493418026442587</x:v>
      </x:c>
      <x:c r="E1206" s="34" t="n">
        <x:f>SQRT(D1206)</x:f>
        <x:v>0.4636099440957084</x:v>
      </x:c>
      <x:c r="F1206" s="34" t="n">
        <x:f>-Assumptions!$B$7*E1206</x:f>
        <x:v>0.7625704980365955</x:v>
      </x:c>
      <x:c r="G1206" s="34" t="n">
        <x:f>-Assumptions!$B$8*E1206</x:f>
        <x:v>1.078518007831244</x:v>
      </x:c>
      <x:c r="H1206" s="34" t="n">
        <x:f>-Assumptions!$B$9*E1206</x:f>
        <x:v>0.7236254580789956</x:v>
      </x:c>
      <x:c r="I1206" s="34" t="n">
        <x:f>-Assumptions!$B$10*E1206</x:f>
        <x:v>1.208382429157269</x:v>
      </x:c>
      <x:c r="J1206" s="36" t="n">
        <x:f>IF(C1206&lt;-F1206,1,0)</x:f>
        <x:v>1</x:v>
      </x:c>
      <x:c r="K1206" s="36" t="n">
        <x:f>IF(C1206&lt;-G1206,1,0)</x:f>
        <x:v>1</x:v>
      </x:c>
      <x:c r="L1206" s="36" t="n">
        <x:f>IF(C1206&lt;-H1206,1,0)</x:f>
        <x:v>1</x:v>
      </x:c>
      <x:c r="M1206" s="36" t="n">
        <x:f>IF(C1206&lt;-I1206,1,0)</x:f>
        <x:v>1</x:v>
      </x:c>
      <x:c r="N1206" s="34" t="n">
        <x:f>-F1206</x:f>
        <x:v>-0.7625704980365955</x:v>
      </x:c>
      <x:c r="O1206" s="34" t="n">
        <x:f>-H1206</x:f>
        <x:v>-0.7236254580789956</x:v>
      </x:c>
      <x:c r="P1206" s="34" t="n">
        <x:f>-G1206</x:f>
        <x:v>-1.078518007831244</x:v>
      </x:c>
      <x:c r="Q1206" s="34" t="n">
        <x:f>-I1206</x:f>
        <x:v>-1.208382429157269</x:v>
      </x:c>
      <x:c r="R1206" s="36" t="n">
        <x:f>YEAR(A1206)</x:f>
        <x:v>2025</x:v>
      </x:c>
    </x:row>
    <x:row r="1207">
      <x:c r="A1207" s="30" t="n">
        <x:v>45943</x:v>
      </x:c>
      <x:c r="B1207" s="38" t="n">
        <x:v>6654.72</x:v>
      </x:c>
      <x:c r="C1207" s="34" t="n">
        <x:f>(B1207/B1206-1)*100</x:f>
        <x:v>1.5598602672868944</x:v>
      </x:c>
      <x:c r="D1207" s="34" t="n">
        <x:f>Assumptions!$B$4*D1206+(1-Assumptions!$B$4)*C1206^2</x:f>
        <x:v>0.6430633344076933</x:v>
      </x:c>
      <x:c r="E1207" s="34" t="n">
        <x:f>SQRT(D1207)</x:f>
        <x:v>0.8019122984514536</x:v>
      </x:c>
      <x:c r="F1207" s="34" t="n">
        <x:f>-Assumptions!$B$7*E1207</x:f>
        <x:v>1.3190283526048654</x:v>
      </x:c>
      <x:c r="G1207" s="34" t="n">
        <x:f>-Assumptions!$B$8*E1207</x:f>
        <x:v>1.865526970669743</x:v>
      </x:c>
      <x:c r="H1207" s="34" t="n">
        <x:f>-Assumptions!$B$9*E1207</x:f>
        <x:v>1.2516645980016308</x:v>
      </x:c>
      <x:c r="I1207" s="34" t="n">
        <x:f>-Assumptions!$B$10*E1207</x:f>
        <x:v>2.0901551908338942</x:v>
      </x:c>
      <x:c r="J1207" s="36" t="n">
        <x:f>IF(C1207&lt;-F1207,1,0)</x:f>
        <x:v>0</x:v>
      </x:c>
      <x:c r="K1207" s="36" t="n">
        <x:f>IF(C1207&lt;-G1207,1,0)</x:f>
        <x:v>0</x:v>
      </x:c>
      <x:c r="L1207" s="36" t="n">
        <x:f>IF(C1207&lt;-H1207,1,0)</x:f>
        <x:v>0</x:v>
      </x:c>
      <x:c r="M1207" s="36" t="n">
        <x:f>IF(C1207&lt;-I1207,1,0)</x:f>
        <x:v>0</x:v>
      </x:c>
      <x:c r="N1207" s="34" t="n">
        <x:f>-F1207</x:f>
        <x:v>-1.3190283526048654</x:v>
      </x:c>
      <x:c r="O1207" s="34" t="n">
        <x:f>-H1207</x:f>
        <x:v>-1.2516645980016308</x:v>
      </x:c>
      <x:c r="P1207" s="34" t="n">
        <x:f>-G1207</x:f>
        <x:v>-1.865526970669743</x:v>
      </x:c>
      <x:c r="Q1207" s="34" t="n">
        <x:f>-I1207</x:f>
        <x:v>-2.0901551908338942</x:v>
      </x:c>
      <x:c r="R1207" s="36" t="n">
        <x:f>YEAR(A1207)</x:f>
        <x:v>2025</x:v>
      </x:c>
    </x:row>
    <x:row r="1208">
      <x:c r="A1208" s="30" t="n">
        <x:v>45944</x:v>
      </x:c>
      <x:c r="B1208" s="38" t="n">
        <x:v>6644.31</x:v>
      </x:c>
      <x:c r="C1208" s="34" t="n">
        <x:f>(B1208/B1207-1)*100</x:f>
        <x:v>-0.15643032313906735</x:v>
      </x:c>
      <x:c r="D1208" s="34" t="n">
        <x:f>Assumptions!$B$4*D1207+(1-Assumptions!$B$4)*C1207^2</x:f>
        <x:v>0.7504693775508523</x:v>
      </x:c>
      <x:c r="E1208" s="34" t="n">
        <x:f>SQRT(D1208)</x:f>
        <x:v>0.8662963566533408</x:v>
      </x:c>
      <x:c r="F1208" s="34" t="n">
        <x:f>-Assumptions!$B$7*E1208</x:f>
        <x:v>1.4249307042560944</x:v>
      </x:c>
      <x:c r="G1208" s="34" t="n">
        <x:f>-Assumptions!$B$8*E1208</x:f>
        <x:v>2.015306687589825</x:v>
      </x:c>
      <x:c r="H1208" s="34" t="n">
        <x:f>-Assumptions!$B$9*E1208</x:f>
        <x:v>1.3521584381417535</x:v>
      </x:c>
      <x:c r="I1208" s="34" t="n">
        <x:f>-Assumptions!$B$10*E1208</x:f>
        <x:v>2.257969892912282</x:v>
      </x:c>
      <x:c r="J1208" s="36" t="n">
        <x:f>IF(C1208&lt;-F1208,1,0)</x:f>
        <x:v>0</x:v>
      </x:c>
      <x:c r="K1208" s="36" t="n">
        <x:f>IF(C1208&lt;-G1208,1,0)</x:f>
        <x:v>0</x:v>
      </x:c>
      <x:c r="L1208" s="36" t="n">
        <x:f>IF(C1208&lt;-H1208,1,0)</x:f>
        <x:v>0</x:v>
      </x:c>
      <x:c r="M1208" s="36" t="n">
        <x:f>IF(C1208&lt;-I1208,1,0)</x:f>
        <x:v>0</x:v>
      </x:c>
      <x:c r="N1208" s="34" t="n">
        <x:f>-F1208</x:f>
        <x:v>-1.4249307042560944</x:v>
      </x:c>
      <x:c r="O1208" s="34" t="n">
        <x:f>-H1208</x:f>
        <x:v>-1.3521584381417535</x:v>
      </x:c>
      <x:c r="P1208" s="34" t="n">
        <x:f>-G1208</x:f>
        <x:v>-2.015306687589825</x:v>
      </x:c>
      <x:c r="Q1208" s="34" t="n">
        <x:f>-I1208</x:f>
        <x:v>-2.257969892912282</x:v>
      </x:c>
      <x:c r="R1208" s="36" t="n">
        <x:f>YEAR(A1208)</x:f>
        <x:v>2025</x:v>
      </x:c>
    </x:row>
    <x:row r="1209">
      <x:c r="A1209" s="30" t="n">
        <x:v>45945</x:v>
      </x:c>
      <x:c r="B1209" s="38" t="n">
        <x:v>6671.06</x:v>
      </x:c>
      <x:c r="C1209" s="34" t="n">
        <x:f>(B1209/B1208-1)*100</x:f>
        <x:v>0.40260011950075114</x:v>
      </x:c>
      <x:c r="D1209" s="34" t="n">
        <x:f>Assumptions!$B$4*D1208+(1-Assumptions!$B$4)*C1208^2</x:f>
        <x:v>0.7069094416576447</x:v>
      </x:c>
      <x:c r="E1209" s="34" t="n">
        <x:f>SQRT(D1209)</x:f>
        <x:v>0.8407790682799167</x:v>
      </x:c>
      <x:c r="F1209" s="34" t="n">
        <x:f>-Assumptions!$B$7*E1209</x:f>
        <x:v>1.382958499925101</x:v>
      </x:c>
      <x:c r="G1209" s="34" t="n">
        <x:f>-Assumptions!$B$8*E1209</x:f>
        <x:v>1.9559445980310226</x:v>
      </x:c>
      <x:c r="H1209" s="34" t="n">
        <x:f>-Assumptions!$B$9*E1209</x:f>
        <x:v>1.3123297853630267</x:v>
      </x:c>
      <x:c r="I1209" s="34" t="n">
        <x:f>-Assumptions!$B$10*E1209</x:f>
        <x:v>2.1914600104067867</x:v>
      </x:c>
      <x:c r="J1209" s="36" t="n">
        <x:f>IF(C1209&lt;-F1209,1,0)</x:f>
        <x:v>0</x:v>
      </x:c>
      <x:c r="K1209" s="36" t="n">
        <x:f>IF(C1209&lt;-G1209,1,0)</x:f>
        <x:v>0</x:v>
      </x:c>
      <x:c r="L1209" s="36" t="n">
        <x:f>IF(C1209&lt;-H1209,1,0)</x:f>
        <x:v>0</x:v>
      </x:c>
      <x:c r="M1209" s="36" t="n">
        <x:f>IF(C1209&lt;-I1209,1,0)</x:f>
        <x:v>0</x:v>
      </x:c>
      <x:c r="N1209" s="34" t="n">
        <x:f>-F1209</x:f>
        <x:v>-1.382958499925101</x:v>
      </x:c>
      <x:c r="O1209" s="34" t="n">
        <x:f>-H1209</x:f>
        <x:v>-1.3123297853630267</x:v>
      </x:c>
      <x:c r="P1209" s="34" t="n">
        <x:f>-G1209</x:f>
        <x:v>-1.9559445980310226</x:v>
      </x:c>
      <x:c r="Q1209" s="34" t="n">
        <x:f>-I1209</x:f>
        <x:v>-2.1914600104067867</x:v>
      </x:c>
      <x:c r="R1209" s="36" t="n">
        <x:f>YEAR(A1209)</x:f>
        <x:v>2025</x:v>
      </x:c>
    </x:row>
    <x:row r="1210">
      <x:c r="A1210" s="30" t="n">
        <x:v>45946</x:v>
      </x:c>
      <x:c r="B1210" s="38" t="n">
        <x:v>6629.07</x:v>
      </x:c>
      <x:c r="C1210" s="34" t="n">
        <x:f>(B1210/B1209-1)*100</x:f>
        <x:v>-0.6294352022017558</x:v>
      </x:c>
      <x:c r="D1210" s="34" t="n">
        <x:f>Assumptions!$B$4*D1209+(1-Assumptions!$B$4)*C1209^2</x:f>
        <x:v>0.6742200865315071</x:v>
      </x:c>
      <x:c r="E1210" s="34" t="n">
        <x:f>SQRT(D1210)</x:f>
        <x:v>0.8211090588536379</x:v>
      </x:c>
      <x:c r="F1210" s="34" t="n">
        <x:f>-Assumptions!$B$7*E1210</x:f>
        <x:v>1.3506042135781167</x:v>
      </x:c>
      <x:c r="G1210" s="34" t="n">
        <x:f>-Assumptions!$B$8*E1210</x:f>
        <x:v>1.9101853134198359</x:v>
      </x:c>
      <x:c r="H1210" s="34" t="n">
        <x:f>-Assumptions!$B$9*E1210</x:f>
        <x:v>1.2816278563755616</x:v>
      </x:c>
      <x:c r="I1210" s="34" t="n">
        <x:f>-Assumptions!$B$10*E1210</x:f>
        <x:v>2.140190847450338</x:v>
      </x:c>
      <x:c r="J1210" s="36" t="n">
        <x:f>IF(C1210&lt;-F1210,1,0)</x:f>
        <x:v>0</x:v>
      </x:c>
      <x:c r="K1210" s="36" t="n">
        <x:f>IF(C1210&lt;-G1210,1,0)</x:f>
        <x:v>0</x:v>
      </x:c>
      <x:c r="L1210" s="36" t="n">
        <x:f>IF(C1210&lt;-H1210,1,0)</x:f>
        <x:v>0</x:v>
      </x:c>
      <x:c r="M1210" s="36" t="n">
        <x:f>IF(C1210&lt;-I1210,1,0)</x:f>
        <x:v>0</x:v>
      </x:c>
      <x:c r="N1210" s="34" t="n">
        <x:f>-F1210</x:f>
        <x:v>-1.3506042135781167</x:v>
      </x:c>
      <x:c r="O1210" s="34" t="n">
        <x:f>-H1210</x:f>
        <x:v>-1.2816278563755616</x:v>
      </x:c>
      <x:c r="P1210" s="34" t="n">
        <x:f>-G1210</x:f>
        <x:v>-1.9101853134198359</x:v>
      </x:c>
      <x:c r="Q1210" s="34" t="n">
        <x:f>-I1210</x:f>
        <x:v>-2.140190847450338</x:v>
      </x:c>
      <x:c r="R1210" s="36" t="n">
        <x:f>YEAR(A1210)</x:f>
        <x:v>2025</x:v>
      </x:c>
    </x:row>
    <x:row r="1211">
      <x:c r="A1211" s="30" t="n">
        <x:v>45947</x:v>
      </x:c>
      <x:c r="B1211" s="38" t="n">
        <x:v>6664.01</x:v>
      </x:c>
      <x:c r="C1211" s="34" t="n">
        <x:f>(B1211/B1210-1)*100</x:f>
        <x:v>0.5270724249404557</x:v>
      </x:c>
      <x:c r="D1211" s="34" t="n">
        <x:f>Assumptions!$B$4*D1210+(1-Assumptions!$B$4)*C1210^2</x:f>
        <x:v>0.6575382017658626</x:v>
      </x:c>
      <x:c r="E1211" s="34" t="n">
        <x:f>SQRT(D1211)</x:f>
        <x:v>0.8108872928871574</x:v>
      </x:c>
      <x:c r="F1211" s="34" t="n">
        <x:f>-Assumptions!$B$7*E1211</x:f>
        <x:v>1.3337909047543022</x:v>
      </x:c>
      <x:c r="G1211" s="34" t="n">
        <x:f>-Assumptions!$B$8*E1211</x:f>
        <x:v>1.8864059298947708</x:v>
      </x:c>
      <x:c r="H1211" s="34" t="n">
        <x:f>-Assumptions!$B$9*E1211</x:f>
        <x:v>1.2656732156822987</x:v>
      </x:c>
      <x:c r="I1211" s="34" t="n">
        <x:f>-Assumptions!$B$10*E1211</x:f>
        <x:v>2.1135481868556747</x:v>
      </x:c>
      <x:c r="J1211" s="36" t="n">
        <x:f>IF(C1211&lt;-F1211,1,0)</x:f>
        <x:v>0</x:v>
      </x:c>
      <x:c r="K1211" s="36" t="n">
        <x:f>IF(C1211&lt;-G1211,1,0)</x:f>
        <x:v>0</x:v>
      </x:c>
      <x:c r="L1211" s="36" t="n">
        <x:f>IF(C1211&lt;-H1211,1,0)</x:f>
        <x:v>0</x:v>
      </x:c>
      <x:c r="M1211" s="36" t="n">
        <x:f>IF(C1211&lt;-I1211,1,0)</x:f>
        <x:v>0</x:v>
      </x:c>
      <x:c r="N1211" s="34" t="n">
        <x:f>-F1211</x:f>
        <x:v>-1.3337909047543022</x:v>
      </x:c>
      <x:c r="O1211" s="34" t="n">
        <x:f>-H1211</x:f>
        <x:v>-1.2656732156822987</x:v>
      </x:c>
      <x:c r="P1211" s="34" t="n">
        <x:f>-G1211</x:f>
        <x:v>-1.8864059298947708</x:v>
      </x:c>
      <x:c r="Q1211" s="34" t="n">
        <x:f>-I1211</x:f>
        <x:v>-2.1135481868556747</x:v>
      </x:c>
      <x:c r="R1211" s="36" t="n">
        <x:f>YEAR(A1211)</x:f>
        <x:v>2025</x:v>
      </x:c>
    </x:row>
    <x:row r="1212">
      <x:c r="A1212" s="30" t="n">
        <x:v>45950</x:v>
      </x:c>
      <x:c r="B1212" s="38" t="n">
        <x:v>6735.13</x:v>
      </x:c>
      <x:c r="C1212" s="34" t="n">
        <x:f>(B1212/B1211-1)*100</x:f>
        <x:v>1.0672252892777845</x:v>
      </x:c>
      <x:c r="D1212" s="34" t="n">
        <x:f>Assumptions!$B$4*D1211+(1-Assumptions!$B$4)*C1211^2</x:f>
        <x:v>0.6347542301278676</x:v>
      </x:c>
      <x:c r="E1212" s="34" t="n">
        <x:f>SQRT(D1212)</x:f>
        <x:v>0.7967146478682738</x:v>
      </x:c>
      <x:c r="F1212" s="34" t="n">
        <x:f>-Assumptions!$B$7*E1212</x:f>
        <x:v>1.3104789781914958</x:v>
      </x:c>
      <x:c r="G1212" s="34" t="n">
        <x:f>-Assumptions!$B$8*E1212</x:f>
        <x:v>1.8534354272855555</x:v>
      </x:c>
      <x:c r="H1212" s="34" t="n">
        <x:f>-Assumptions!$B$9*E1212</x:f>
        <x:v>1.2435518464696844</x:v>
      </x:c>
      <x:c r="I1212" s="34" t="n">
        <x:f>-Assumptions!$B$10*E1212</x:f>
        <x:v>2.076607703948417</x:v>
      </x:c>
      <x:c r="J1212" s="36" t="n">
        <x:f>IF(C1212&lt;-F1212,1,0)</x:f>
        <x:v>0</x:v>
      </x:c>
      <x:c r="K1212" s="36" t="n">
        <x:f>IF(C1212&lt;-G1212,1,0)</x:f>
        <x:v>0</x:v>
      </x:c>
      <x:c r="L1212" s="36" t="n">
        <x:f>IF(C1212&lt;-H1212,1,0)</x:f>
        <x:v>0</x:v>
      </x:c>
      <x:c r="M1212" s="36" t="n">
        <x:f>IF(C1212&lt;-I1212,1,0)</x:f>
        <x:v>0</x:v>
      </x:c>
      <x:c r="N1212" s="34" t="n">
        <x:f>-F1212</x:f>
        <x:v>-1.3104789781914958</x:v>
      </x:c>
      <x:c r="O1212" s="34" t="n">
        <x:f>-H1212</x:f>
        <x:v>-1.2435518464696844</x:v>
      </x:c>
      <x:c r="P1212" s="34" t="n">
        <x:f>-G1212</x:f>
        <x:v>-1.8534354272855555</x:v>
      </x:c>
      <x:c r="Q1212" s="34" t="n">
        <x:f>-I1212</x:f>
        <x:v>-2.076607703948417</x:v>
      </x:c>
      <x:c r="R1212" s="36" t="n">
        <x:f>YEAR(A1212)</x:f>
        <x:v>2025</x:v>
      </x:c>
    </x:row>
    <x:row r="1213">
      <x:c r="A1213" s="30" t="n">
        <x:v>45951</x:v>
      </x:c>
      <x:c r="B1213" s="38" t="n">
        <x:v>6735.35</x:v>
      </x:c>
      <x:c r="C1213" s="34" t="n">
        <x:f>(B1213/B1212-1)*100</x:f>
        <x:v>0.003266455138950519</x:v>
      </x:c>
      <x:c r="D1213" s="34" t="n">
        <x:f>Assumptions!$B$4*D1212+(1-Assumptions!$B$4)*C1212^2</x:f>
        <x:v>0.6650071654046386</x:v>
      </x:c>
      <x:c r="E1213" s="34" t="n">
        <x:f>SQRT(D1213)</x:f>
        <x:v>0.8154797148946371</x:v>
      </x:c>
      <x:c r="F1213" s="34" t="n">
        <x:f>-Assumptions!$B$7*E1213</x:f>
        <x:v>1.3413447667497969</x:v>
      </x:c>
      <x:c r="G1213" s="34" t="n">
        <x:f>-Assumptions!$B$8*E1213</x:f>
        <x:v>1.8970895010685696</x:v>
      </x:c>
      <x:c r="H1213" s="34" t="n">
        <x:f>-Assumptions!$B$9*E1213</x:f>
        <x:v>1.2728412963526488</x:v>
      </x:c>
      <x:c r="I1213" s="34" t="n">
        <x:f>-Assumptions!$B$10*E1213</x:f>
        <x:v>2.1255181675081345</x:v>
      </x:c>
      <x:c r="J1213" s="36" t="n">
        <x:f>IF(C1213&lt;-F1213,1,0)</x:f>
        <x:v>0</x:v>
      </x:c>
      <x:c r="K1213" s="36" t="n">
        <x:f>IF(C1213&lt;-G1213,1,0)</x:f>
        <x:v>0</x:v>
      </x:c>
      <x:c r="L1213" s="36" t="n">
        <x:f>IF(C1213&lt;-H1213,1,0)</x:f>
        <x:v>0</x:v>
      </x:c>
      <x:c r="M1213" s="36" t="n">
        <x:f>IF(C1213&lt;-I1213,1,0)</x:f>
        <x:v>0</x:v>
      </x:c>
      <x:c r="N1213" s="34" t="n">
        <x:f>-F1213</x:f>
        <x:v>-1.3413447667497969</x:v>
      </x:c>
      <x:c r="O1213" s="34" t="n">
        <x:f>-H1213</x:f>
        <x:v>-1.2728412963526488</x:v>
      </x:c>
      <x:c r="P1213" s="34" t="n">
        <x:f>-G1213</x:f>
        <x:v>-1.8970895010685696</x:v>
      </x:c>
      <x:c r="Q1213" s="34" t="n">
        <x:f>-I1213</x:f>
        <x:v>-2.1255181675081345</x:v>
      </x:c>
      <x:c r="R1213" s="36" t="n">
        <x:f>YEAR(A1213)</x:f>
        <x:v>2025</x:v>
      </x:c>
    </x:row>
    <x:row r="1214">
      <x:c r="A1214" s="30" t="n">
        <x:v>45952</x:v>
      </x:c>
      <x:c r="B1214" s="38" t="n">
        <x:v>6699.4</x:v>
      </x:c>
      <x:c r="C1214" s="34" t="n">
        <x:f>(B1214/B1213-1)*100</x:f>
        <x:v>-0.5337510300132964</x:v>
      </x:c>
      <x:c r="D1214" s="34" t="n">
        <x:f>Assumptions!$B$4*D1213+(1-Assumptions!$B$4)*C1213^2</x:f>
        <x:v>0.6251073756641107</x:v>
      </x:c>
      <x:c r="E1214" s="34" t="n">
        <x:f>SQRT(D1214)</x:f>
        <x:v>0.7906373224583512</x:v>
      </x:c>
      <x:c r="F1214" s="34" t="n">
        <x:f>-Assumptions!$B$7*E1214</x:f>
        <x:v>1.3004826674488201</x:v>
      </x:c>
      <x:c r="G1214" s="34" t="n">
        <x:f>-Assumptions!$B$8*E1214</x:f>
        <x:v>1.8392974542383276</x:v>
      </x:c>
      <x:c r="H1214" s="34" t="n">
        <x:f>-Assumptions!$B$9*E1214</x:f>
        <x:v>1.234066054718111</x:v>
      </x:c>
      <x:c r="I1214" s="34" t="n">
        <x:f>-Assumptions!$B$10*E1214</x:f>
        <x:v>2.06076737667514</x:v>
      </x:c>
      <x:c r="J1214" s="36" t="n">
        <x:f>IF(C1214&lt;-F1214,1,0)</x:f>
        <x:v>0</x:v>
      </x:c>
      <x:c r="K1214" s="36" t="n">
        <x:f>IF(C1214&lt;-G1214,1,0)</x:f>
        <x:v>0</x:v>
      </x:c>
      <x:c r="L1214" s="36" t="n">
        <x:f>IF(C1214&lt;-H1214,1,0)</x:f>
        <x:v>0</x:v>
      </x:c>
      <x:c r="M1214" s="36" t="n">
        <x:f>IF(C1214&lt;-I1214,1,0)</x:f>
        <x:v>0</x:v>
      </x:c>
      <x:c r="N1214" s="34" t="n">
        <x:f>-F1214</x:f>
        <x:v>-1.3004826674488201</x:v>
      </x:c>
      <x:c r="O1214" s="34" t="n">
        <x:f>-H1214</x:f>
        <x:v>-1.234066054718111</x:v>
      </x:c>
      <x:c r="P1214" s="34" t="n">
        <x:f>-G1214</x:f>
        <x:v>-1.8392974542383276</x:v>
      </x:c>
      <x:c r="Q1214" s="34" t="n">
        <x:f>-I1214</x:f>
        <x:v>-2.06076737667514</x:v>
      </x:c>
      <x:c r="R1214" s="36" t="n">
        <x:f>YEAR(A1214)</x:f>
        <x:v>2025</x:v>
      </x:c>
    </x:row>
    <x:row r="1215">
      <x:c r="A1215" s="30" t="n">
        <x:v>45953</x:v>
      </x:c>
      <x:c r="B1215" s="38" t="n">
        <x:v>6738.44</x:v>
      </x:c>
      <x:c r="C1215" s="34" t="n">
        <x:f>(B1215/B1214-1)*100</x:f>
        <x:v>0.5827387527241212</x:v>
      </x:c>
      <x:c r="D1215" s="34" t="n">
        <x:f>Assumptions!$B$4*D1214+(1-Assumptions!$B$4)*C1214^2</x:f>
        <x:v>0.6046943428466793</x:v>
      </x:c>
      <x:c r="E1215" s="34" t="n">
        <x:f>SQRT(D1215)</x:f>
        <x:v>0.7776209506222678</x:v>
      </x:c>
      <x:c r="F1215" s="34" t="n">
        <x:f>-Assumptions!$B$7*E1215</x:f>
        <x:v>1.2790726410244893</x:v>
      </x:c>
      <x:c r="G1215" s="34" t="n">
        <x:f>-Assumptions!$B$8*E1215</x:f>
        <x:v>1.80901684528973</x:v>
      </x:c>
      <x:c r="H1215" s="34" t="n">
        <x:f>-Assumptions!$B$9*E1215</x:f>
        <x:v>1.2137494541956946</x:v>
      </x:c>
      <x:c r="I1215" s="34" t="n">
        <x:f>-Assumptions!$B$10*E1215</x:f>
        <x:v>2.026840677693779</x:v>
      </x:c>
      <x:c r="J1215" s="36" t="n">
        <x:f>IF(C1215&lt;-F1215,1,0)</x:f>
        <x:v>0</x:v>
      </x:c>
      <x:c r="K1215" s="36" t="n">
        <x:f>IF(C1215&lt;-G1215,1,0)</x:f>
        <x:v>0</x:v>
      </x:c>
      <x:c r="L1215" s="36" t="n">
        <x:f>IF(C1215&lt;-H1215,1,0)</x:f>
        <x:v>0</x:v>
      </x:c>
      <x:c r="M1215" s="36" t="n">
        <x:f>IF(C1215&lt;-I1215,1,0)</x:f>
        <x:v>0</x:v>
      </x:c>
      <x:c r="N1215" s="34" t="n">
        <x:f>-F1215</x:f>
        <x:v>-1.2790726410244893</x:v>
      </x:c>
      <x:c r="O1215" s="34" t="n">
        <x:f>-H1215</x:f>
        <x:v>-1.2137494541956946</x:v>
      </x:c>
      <x:c r="P1215" s="34" t="n">
        <x:f>-G1215</x:f>
        <x:v>-1.80901684528973</x:v>
      </x:c>
      <x:c r="Q1215" s="34" t="n">
        <x:f>-I1215</x:f>
        <x:v>-2.026840677693779</x:v>
      </x:c>
      <x:c r="R1215" s="36" t="n">
        <x:f>YEAR(A1215)</x:f>
        <x:v>2025</x:v>
      </x:c>
    </x:row>
    <x:row r="1216">
      <x:c r="A1216" s="30" t="n">
        <x:v>45954</x:v>
      </x:c>
      <x:c r="B1216" s="38" t="n">
        <x:v>6791.69</x:v>
      </x:c>
      <x:c r="C1216" s="34" t="n">
        <x:f>(B1216/B1215-1)*100</x:f>
        <x:v>0.7902422519158847</x:v>
      </x:c>
      <x:c r="D1216" s="34" t="n">
        <x:f>Assumptions!$B$4*D1215+(1-Assumptions!$B$4)*C1215^2</x:f>
        <x:v>0.5887877495114664</x:v>
      </x:c>
      <x:c r="E1216" s="34" t="n">
        <x:f>SQRT(D1216)</x:f>
        <x:v>0.7673250611777687</x:v>
      </x:c>
      <x:c r="F1216" s="34" t="n">
        <x:f>-Assumptions!$B$7*E1216</x:f>
        <x:v>1.2621374099290137</x:v>
      </x:c>
      <x:c r="G1216" s="34" t="n">
        <x:f>-Assumptions!$B$8*E1216</x:f>
        <x:v>1.78506502476916</x:v>
      </x:c>
      <x:c r="H1216" s="34" t="n">
        <x:f>-Assumptions!$B$9*E1216</x:f>
        <x:v>1.1976791178914579</x:v>
      </x:c>
      <x:c r="I1216" s="34" t="n">
        <x:f>-Assumptions!$B$10*E1216</x:f>
        <x:v>2.0000048169541094</x:v>
      </x:c>
      <x:c r="J1216" s="36" t="n">
        <x:f>IF(C1216&lt;-F1216,1,0)</x:f>
        <x:v>0</x:v>
      </x:c>
      <x:c r="K1216" s="36" t="n">
        <x:f>IF(C1216&lt;-G1216,1,0)</x:f>
        <x:v>0</x:v>
      </x:c>
      <x:c r="L1216" s="36" t="n">
        <x:f>IF(C1216&lt;-H1216,1,0)</x:f>
        <x:v>0</x:v>
      </x:c>
      <x:c r="M1216" s="36" t="n">
        <x:f>IF(C1216&lt;-I1216,1,0)</x:f>
        <x:v>0</x:v>
      </x:c>
      <x:c r="N1216" s="34" t="n">
        <x:f>-F1216</x:f>
        <x:v>-1.2621374099290137</x:v>
      </x:c>
      <x:c r="O1216" s="34" t="n">
        <x:f>-H1216</x:f>
        <x:v>-1.1976791178914579</x:v>
      </x:c>
      <x:c r="P1216" s="34" t="n">
        <x:f>-G1216</x:f>
        <x:v>-1.78506502476916</x:v>
      </x:c>
      <x:c r="Q1216" s="34" t="n">
        <x:f>-I1216</x:f>
        <x:v>-2.0000048169541094</x:v>
      </x:c>
      <x:c r="R1216" s="36" t="n">
        <x:f>YEAR(A1216)</x:f>
        <x:v>2025</x:v>
      </x:c>
    </x:row>
    <x:row r="1217">
      <x:c r="A1217" s="30" t="n">
        <x:v>45957</x:v>
      </x:c>
      <x:c r="B1217" s="38" t="n">
        <x:v>6875.16</x:v>
      </x:c>
      <x:c r="C1217" s="34" t="n">
        <x:f>(B1217/B1216-1)*100</x:f>
        <x:v>1.2290019126314666</x:v>
      </x:c>
      <x:c r="D1217" s="34" t="n">
        <x:f>Assumptions!$B$4*D1216+(1-Assumptions!$B$4)*C1216^2</x:f>
        <x:v>0.5909294535435636</x:v>
      </x:c>
      <x:c r="E1217" s="34" t="n">
        <x:f>SQRT(D1217)</x:f>
        <x:v>0.768719359417703</x:v>
      </x:c>
      <x:c r="F1217" s="34" t="n">
        <x:f>-Assumptions!$B$7*E1217</x:f>
        <x:v>1.2644308264460216</x:v>
      </x:c>
      <x:c r="G1217" s="34" t="n">
        <x:f>-Assumptions!$B$8*E1217</x:f>
        <x:v>1.78830864751541</x:v>
      </x:c>
      <x:c r="H1217" s="34" t="n">
        <x:f>-Assumptions!$B$9*E1217</x:f>
        <x:v>1.1998554079288497</x:v>
      </x:c>
      <x:c r="I1217" s="34" t="n">
        <x:f>-Assumptions!$B$10*E1217</x:f>
        <x:v>2.003639004519753</x:v>
      </x:c>
      <x:c r="J1217" s="36" t="n">
        <x:f>IF(C1217&lt;-F1217,1,0)</x:f>
        <x:v>0</x:v>
      </x:c>
      <x:c r="K1217" s="36" t="n">
        <x:f>IF(C1217&lt;-G1217,1,0)</x:f>
        <x:v>0</x:v>
      </x:c>
      <x:c r="L1217" s="36" t="n">
        <x:f>IF(C1217&lt;-H1217,1,0)</x:f>
        <x:v>0</x:v>
      </x:c>
      <x:c r="M1217" s="36" t="n">
        <x:f>IF(C1217&lt;-I1217,1,0)</x:f>
        <x:v>0</x:v>
      </x:c>
      <x:c r="N1217" s="34" t="n">
        <x:f>-F1217</x:f>
        <x:v>-1.2644308264460216</x:v>
      </x:c>
      <x:c r="O1217" s="34" t="n">
        <x:f>-H1217</x:f>
        <x:v>-1.1998554079288497</x:v>
      </x:c>
      <x:c r="P1217" s="34" t="n">
        <x:f>-G1217</x:f>
        <x:v>-1.78830864751541</x:v>
      </x:c>
      <x:c r="Q1217" s="34" t="n">
        <x:f>-I1217</x:f>
        <x:v>-2.003639004519753</x:v>
      </x:c>
      <x:c r="R1217" s="36" t="n">
        <x:f>YEAR(A1217)</x:f>
        <x:v>2025</x:v>
      </x:c>
    </x:row>
    <x:row r="1218">
      <x:c r="A1218" s="30" t="n">
        <x:v>45958</x:v>
      </x:c>
      <x:c r="B1218" s="38" t="n">
        <x:v>6890.89</x:v>
      </x:c>
      <x:c r="C1218" s="34" t="n">
        <x:f>(B1218/B1217-1)*100</x:f>
        <x:v>0.22879467532392894</x:v>
      </x:c>
      <x:c r="D1218" s="34" t="n">
        <x:f>Assumptions!$B$4*D1217+(1-Assumptions!$B$4)*C1217^2</x:f>
        <x:v>0.646100428406058</x:v>
      </x:c>
      <x:c r="E1218" s="34" t="n">
        <x:f>SQRT(D1218)</x:f>
        <x:v>0.8038037250511209</x:v>
      </x:c>
      <x:c r="F1218" s="34" t="n">
        <x:f>-Assumptions!$B$7*E1218</x:f>
        <x:v>1.3221394725074407</x:v>
      </x:c>
      <x:c r="G1218" s="34" t="n">
        <x:f>-Assumptions!$B$8*E1218</x:f>
        <x:v>1.8699270869187832</x:v>
      </x:c>
      <x:c r="H1218" s="34" t="n">
        <x:f>-Assumptions!$B$9*E1218</x:f>
        <x:v>1.2546168307072443</x:v>
      </x:c>
      <x:c r="I1218" s="34" t="n">
        <x:f>-Assumptions!$B$10*E1218</x:f>
        <x:v>2.095085125357919</x:v>
      </x:c>
      <x:c r="J1218" s="36" t="n">
        <x:f>IF(C1218&lt;-F1218,1,0)</x:f>
        <x:v>0</x:v>
      </x:c>
      <x:c r="K1218" s="36" t="n">
        <x:f>IF(C1218&lt;-G1218,1,0)</x:f>
        <x:v>0</x:v>
      </x:c>
      <x:c r="L1218" s="36" t="n">
        <x:f>IF(C1218&lt;-H1218,1,0)</x:f>
        <x:v>0</x:v>
      </x:c>
      <x:c r="M1218" s="36" t="n">
        <x:f>IF(C1218&lt;-I1218,1,0)</x:f>
        <x:v>0</x:v>
      </x:c>
      <x:c r="N1218" s="34" t="n">
        <x:f>-F1218</x:f>
        <x:v>-1.3221394725074407</x:v>
      </x:c>
      <x:c r="O1218" s="34" t="n">
        <x:f>-H1218</x:f>
        <x:v>-1.2546168307072443</x:v>
      </x:c>
      <x:c r="P1218" s="34" t="n">
        <x:f>-G1218</x:f>
        <x:v>-1.8699270869187832</x:v>
      </x:c>
      <x:c r="Q1218" s="34" t="n">
        <x:f>-I1218</x:f>
        <x:v>-2.095085125357919</x:v>
      </x:c>
      <x:c r="R1218" s="36" t="n">
        <x:f>YEAR(A1218)</x:f>
        <x:v>2025</x:v>
      </x:c>
    </x:row>
    <x:row r="1219">
      <x:c r="A1219" s="30" t="n">
        <x:v>45959</x:v>
      </x:c>
      <x:c r="B1219" s="38" t="n">
        <x:v>6890.59</x:v>
      </x:c>
      <x:c r="C1219" s="34" t="n">
        <x:f>(B1219/B1218-1)*100</x:f>
        <x:v>-0.004353574066628951</x:v>
      </x:c>
      <x:c r="D1219" s="34" t="n">
        <x:f>Assumptions!$B$4*D1218+(1-Assumptions!$B$4)*C1218^2</x:f>
        <x:v>0.6104752229090894</x:v>
      </x:c>
      <x:c r="E1219" s="34" t="n">
        <x:f>SQRT(D1219)</x:f>
        <x:v>0.7813291386535443</x:v>
      </x:c>
      <x:c r="F1219" s="34" t="n">
        <x:f>-Assumptions!$B$7*E1219</x:f>
        <x:v>1.2851720675571525</x:v>
      </x:c>
      <x:c r="G1219" s="34" t="n">
        <x:f>-Assumptions!$B$8*E1219</x:f>
        <x:v>1.8176433806328336</x:v>
      </x:c>
      <x:c r="H1219" s="34" t="n">
        <x:f>-Assumptions!$B$9*E1219</x:f>
        <x:v>1.2195373784991939</x:v>
      </x:c>
      <x:c r="I1219" s="34" t="n">
        <x:f>-Assumptions!$B$10*E1219</x:f>
        <x:v>2.036505934701469</x:v>
      </x:c>
      <x:c r="J1219" s="36" t="n">
        <x:f>IF(C1219&lt;-F1219,1,0)</x:f>
        <x:v>0</x:v>
      </x:c>
      <x:c r="K1219" s="36" t="n">
        <x:f>IF(C1219&lt;-G1219,1,0)</x:f>
        <x:v>0</x:v>
      </x:c>
      <x:c r="L1219" s="36" t="n">
        <x:f>IF(C1219&lt;-H1219,1,0)</x:f>
        <x:v>0</x:v>
      </x:c>
      <x:c r="M1219" s="36" t="n">
        <x:f>IF(C1219&lt;-I1219,1,0)</x:f>
        <x:v>0</x:v>
      </x:c>
      <x:c r="N1219" s="34" t="n">
        <x:f>-F1219</x:f>
        <x:v>-1.2851720675571525</x:v>
      </x:c>
      <x:c r="O1219" s="34" t="n">
        <x:f>-H1219</x:f>
        <x:v>-1.2195373784991939</x:v>
      </x:c>
      <x:c r="P1219" s="34" t="n">
        <x:f>-G1219</x:f>
        <x:v>-1.8176433806328336</x:v>
      </x:c>
      <x:c r="Q1219" s="34" t="n">
        <x:f>-I1219</x:f>
        <x:v>-2.036505934701469</x:v>
      </x:c>
      <x:c r="R1219" s="36" t="n">
        <x:f>YEAR(A1219)</x:f>
        <x:v>2025</x:v>
      </x:c>
    </x:row>
    <x:row r="1220">
      <x:c r="A1220" s="30" t="n">
        <x:v>45960</x:v>
      </x:c>
      <x:c r="B1220" s="38" t="n">
        <x:v>6822.34</x:v>
      </x:c>
      <x:c r="C1220" s="34" t="n">
        <x:f>(B1220/B1219-1)*100</x:f>
        <x:v>-0.9904812214919234</x:v>
      </x:c>
      <x:c r="D1220" s="34" t="n">
        <x:f>Assumptions!$B$4*D1219+(1-Assumptions!$B$4)*C1219^2</x:f>
        <x:v>0.5738478467509732</x:v>
      </x:c>
      <x:c r="E1220" s="34" t="n">
        <x:f>SQRT(D1220)</x:f>
        <x:v>0.7575274561037199</x:v>
      </x:c>
      <x:c r="F1220" s="34" t="n">
        <x:f>-Assumptions!$B$7*E1220</x:f>
        <x:v>1.2460217836875263</x:v>
      </x:c>
      <x:c r="G1220" s="34" t="n">
        <x:f>-Assumptions!$B$8*E1220</x:f>
        <x:v>1.7622723870344548</x:v>
      </x:c>
      <x:c r="H1220" s="34" t="n">
        <x:f>-Assumptions!$B$9*E1220</x:f>
        <x:v>1.1823865286144644</x:v>
      </x:c>
      <x:c r="I1220" s="34" t="n">
        <x:f>-Assumptions!$B$10*E1220</x:f>
        <x:v>1.9744677162726394</x:v>
      </x:c>
      <x:c r="J1220" s="36" t="n">
        <x:f>IF(C1220&lt;-F1220,1,0)</x:f>
        <x:v>0</x:v>
      </x:c>
      <x:c r="K1220" s="36" t="n">
        <x:f>IF(C1220&lt;-G1220,1,0)</x:f>
        <x:v>0</x:v>
      </x:c>
      <x:c r="L1220" s="36" t="n">
        <x:f>IF(C1220&lt;-H1220,1,0)</x:f>
        <x:v>0</x:v>
      </x:c>
      <x:c r="M1220" s="36" t="n">
        <x:f>IF(C1220&lt;-I1220,1,0)</x:f>
        <x:v>0</x:v>
      </x:c>
      <x:c r="N1220" s="34" t="n">
        <x:f>-F1220</x:f>
        <x:v>-1.2460217836875263</x:v>
      </x:c>
      <x:c r="O1220" s="34" t="n">
        <x:f>-H1220</x:f>
        <x:v>-1.1823865286144644</x:v>
      </x:c>
      <x:c r="P1220" s="34" t="n">
        <x:f>-G1220</x:f>
        <x:v>-1.7622723870344548</x:v>
      </x:c>
      <x:c r="Q1220" s="34" t="n">
        <x:f>-I1220</x:f>
        <x:v>-1.9744677162726394</x:v>
      </x:c>
      <x:c r="R1220" s="36" t="n">
        <x:f>YEAR(A1220)</x:f>
        <x:v>2025</x:v>
      </x:c>
    </x:row>
    <x:row r="1221">
      <x:c r="A1221" s="30" t="n">
        <x:v>45961</x:v>
      </x:c>
      <x:c r="B1221" s="38" t="n">
        <x:v>6840.2</x:v>
      </x:c>
      <x:c r="C1221" s="34" t="n">
        <x:f>(B1221/B1220-1)*100</x:f>
        <x:v>0.2617870114945742</x:v>
      </x:c>
      <x:c r="D1221" s="34" t="n">
        <x:f>Assumptions!$B$4*D1220+(1-Assumptions!$B$4)*C1220^2</x:f>
        <x:v>0.5982801589536028</x:v>
      </x:c>
      <x:c r="E1221" s="34" t="n">
        <x:f>SQRT(D1221)</x:f>
        <x:v>0.7734857199416177</x:v>
      </x:c>
      <x:c r="F1221" s="34" t="n">
        <x:f>-Assumptions!$B$7*E1221</x:f>
        <x:v>1.2722707918411411</x:v>
      </x:c>
      <x:c r="G1221" s="34" t="n">
        <x:f>-Assumptions!$B$8*E1221</x:f>
        <x:v>1.7993968601871313</x:v>
      </x:c>
      <x:c r="H1221" s="34" t="n">
        <x:f>-Assumptions!$B$9*E1221</x:f>
        <x:v>1.2072949804863689</x:v>
      </x:c>
      <x:c r="I1221" s="34" t="n">
        <x:f>-Assumptions!$B$10*E1221</x:f>
        <x:v>2.016062349578414</x:v>
      </x:c>
      <x:c r="J1221" s="36" t="n">
        <x:f>IF(C1221&lt;-F1221,1,0)</x:f>
        <x:v>0</x:v>
      </x:c>
      <x:c r="K1221" s="36" t="n">
        <x:f>IF(C1221&lt;-G1221,1,0)</x:f>
        <x:v>0</x:v>
      </x:c>
      <x:c r="L1221" s="36" t="n">
        <x:f>IF(C1221&lt;-H1221,1,0)</x:f>
        <x:v>0</x:v>
      </x:c>
      <x:c r="M1221" s="36" t="n">
        <x:f>IF(C1221&lt;-I1221,1,0)</x:f>
        <x:v>0</x:v>
      </x:c>
      <x:c r="N1221" s="34" t="n">
        <x:f>-F1221</x:f>
        <x:v>-1.2722707918411411</x:v>
      </x:c>
      <x:c r="O1221" s="34" t="n">
        <x:f>-H1221</x:f>
        <x:v>-1.2072949804863689</x:v>
      </x:c>
      <x:c r="P1221" s="34" t="n">
        <x:f>-G1221</x:f>
        <x:v>-1.7993968601871313</x:v>
      </x:c>
      <x:c r="Q1221" s="34" t="n">
        <x:f>-I1221</x:f>
        <x:v>-2.016062349578414</x:v>
      </x:c>
      <x:c r="R1221" s="36" t="n">
        <x:f>YEAR(A1221)</x:f>
        <x:v>2025</x:v>
      </x:c>
    </x:row>
    <x:row r="1222">
      <x:c r="A1222" s="30" t="n">
        <x:v>45964</x:v>
      </x:c>
      <x:c r="B1222" s="38" t="n">
        <x:v>6851.97</x:v>
      </x:c>
      <x:c r="C1222" s="34" t="n">
        <x:f>(B1222/B1221-1)*100</x:f>
        <x:v>0.17207099207625642</x:v>
      </x:c>
      <x:c r="D1222" s="34" t="n">
        <x:f>Assumptions!$B$4*D1221+(1-Assumptions!$B$4)*C1221^2</x:f>
        <x:v>0.5664952957796222</x:v>
      </x:c>
      <x:c r="E1222" s="34" t="n">
        <x:f>SQRT(D1222)</x:f>
        <x:v>0.7526588176455665</x:v>
      </x:c>
      <x:c r="F1222" s="34" t="n">
        <x:f>-Assumptions!$B$7*E1222</x:f>
        <x:v>1.2380135860613173</x:v>
      </x:c>
      <x:c r="G1222" s="34" t="n">
        <x:f>-Assumptions!$B$8*E1222</x:f>
        <x:v>1.7509462403078562</x:v>
      </x:c>
      <x:c r="H1222" s="34" t="n">
        <x:f>-Assumptions!$B$9*E1222</x:f>
        <x:v>1.17478731557046</x:v>
      </x:c>
      <x:c r="I1222" s="34" t="n">
        <x:f>-Assumptions!$B$10*E1222</x:f>
        <x:v>1.9617777875045515</x:v>
      </x:c>
      <x:c r="J1222" s="36" t="n">
        <x:f>IF(C1222&lt;-F1222,1,0)</x:f>
        <x:v>0</x:v>
      </x:c>
      <x:c r="K1222" s="36" t="n">
        <x:f>IF(C1222&lt;-G1222,1,0)</x:f>
        <x:v>0</x:v>
      </x:c>
      <x:c r="L1222" s="36" t="n">
        <x:f>IF(C1222&lt;-H1222,1,0)</x:f>
        <x:v>0</x:v>
      </x:c>
      <x:c r="M1222" s="36" t="n">
        <x:f>IF(C1222&lt;-I1222,1,0)</x:f>
        <x:v>0</x:v>
      </x:c>
      <x:c r="N1222" s="34" t="n">
        <x:f>-F1222</x:f>
        <x:v>-1.2380135860613173</x:v>
      </x:c>
      <x:c r="O1222" s="34" t="n">
        <x:f>-H1222</x:f>
        <x:v>-1.17478731557046</x:v>
      </x:c>
      <x:c r="P1222" s="34" t="n">
        <x:f>-G1222</x:f>
        <x:v>-1.7509462403078562</x:v>
      </x:c>
      <x:c r="Q1222" s="34" t="n">
        <x:f>-I1222</x:f>
        <x:v>-1.9617777875045515</x:v>
      </x:c>
      <x:c r="R1222" s="36" t="n">
        <x:f>YEAR(A1222)</x:f>
        <x:v>2025</x:v>
      </x:c>
    </x:row>
    <x:row r="1223">
      <x:c r="A1223" s="30" t="n">
        <x:v>45965</x:v>
      </x:c>
      <x:c r="B1223" s="38" t="n">
        <x:v>6771.55</x:v>
      </x:c>
      <x:c r="C1223" s="34" t="n">
        <x:f>(B1223/B1222-1)*100</x:f>
        <x:v>-1.1736770592982726</x:v>
      </x:c>
      <x:c r="D1223" s="34" t="n">
        <x:f>Assumptions!$B$4*D1222+(1-Assumptions!$B$4)*C1222^2</x:f>
        <x:v>0.5342820836116913</x:v>
      </x:c>
      <x:c r="E1223" s="34" t="n">
        <x:f>SQRT(D1223)</x:f>
        <x:v>0.7309460196291456</x:v>
      </x:c>
      <x:c r="F1223" s="34" t="n">
        <x:f>-Assumptions!$B$7*E1223</x:f>
        <x:v>1.2022992114927427</x:v>
      </x:c>
      <x:c r="G1223" s="34" t="n">
        <x:f>-Assumptions!$B$8*E1223</x:f>
        <x:v>1.7004347188028772</x:v>
      </x:c>
      <x:c r="H1223" s="34" t="n">
        <x:f>-Assumptions!$B$9*E1223</x:f>
        <x:v>1.1408969005547593</x:v>
      </x:c>
      <x:c r="I1223" s="34" t="n">
        <x:f>-Assumptions!$B$10*E1223</x:f>
        <x:v>1.9051841705102892</x:v>
      </x:c>
      <x:c r="J1223" s="36" t="n">
        <x:f>IF(C1223&lt;-F1223,1,0)</x:f>
        <x:v>0</x:v>
      </x:c>
      <x:c r="K1223" s="36" t="n">
        <x:f>IF(C1223&lt;-G1223,1,0)</x:f>
        <x:v>0</x:v>
      </x:c>
      <x:c r="L1223" s="36" t="n">
        <x:f>IF(C1223&lt;-H1223,1,0)</x:f>
        <x:v>1</x:v>
      </x:c>
      <x:c r="M1223" s="36" t="n">
        <x:f>IF(C1223&lt;-I1223,1,0)</x:f>
        <x:v>0</x:v>
      </x:c>
      <x:c r="N1223" s="34" t="n">
        <x:f>-F1223</x:f>
        <x:v>-1.2022992114927427</x:v>
      </x:c>
      <x:c r="O1223" s="34" t="n">
        <x:f>-H1223</x:f>
        <x:v>-1.1408969005547593</x:v>
      </x:c>
      <x:c r="P1223" s="34" t="n">
        <x:f>-G1223</x:f>
        <x:v>-1.7004347188028772</x:v>
      </x:c>
      <x:c r="Q1223" s="34" t="n">
        <x:f>-I1223</x:f>
        <x:v>-1.9051841705102892</x:v>
      </x:c>
      <x:c r="R1223" s="36" t="n">
        <x:f>YEAR(A1223)</x:f>
        <x:v>2025</x:v>
      </x:c>
    </x:row>
    <x:row r="1224">
      <x:c r="A1224" s="30" t="n">
        <x:v>45966</x:v>
      </x:c>
      <x:c r="B1224" s="38" t="n">
        <x:v>6796.29</x:v>
      </x:c>
      <x:c r="C1224" s="34" t="n">
        <x:f>(B1224/B1223-1)*100</x:f>
        <x:v>0.36535209811638936</x:v>
      </x:c>
      <x:c r="D1224" s="34" t="n">
        <x:f>Assumptions!$B$4*D1223+(1-Assumptions!$B$4)*C1223^2</x:f>
        <x:v>0.5848762289663723</x:v>
      </x:c>
      <x:c r="E1224" s="34" t="n">
        <x:f>SQRT(D1224)</x:f>
        <x:v>0.7647720111028987</x:v>
      </x:c>
      <x:c r="F1224" s="34" t="n">
        <x:f>-Assumptions!$B$7*E1224</x:f>
        <x:v>1.257938016253575</x:v>
      </x:c>
      <x:c r="G1224" s="34" t="n">
        <x:f>-Assumptions!$B$8*E1224</x:f>
        <x:v>1.7791257421551663</x:v>
      </x:c>
      <x:c r="H1224" s="34" t="n">
        <x:f>-Assumptions!$B$9*E1224</x:f>
        <x:v>1.1936941903603415</x:v>
      </x:c>
      <x:c r="I1224" s="34" t="n">
        <x:f>-Assumptions!$B$10*E1224</x:f>
        <x:v>1.9933503849460792</x:v>
      </x:c>
      <x:c r="J1224" s="36" t="n">
        <x:f>IF(C1224&lt;-F1224,1,0)</x:f>
        <x:v>0</x:v>
      </x:c>
      <x:c r="K1224" s="36" t="n">
        <x:f>IF(C1224&lt;-G1224,1,0)</x:f>
        <x:v>0</x:v>
      </x:c>
      <x:c r="L1224" s="36" t="n">
        <x:f>IF(C1224&lt;-H1224,1,0)</x:f>
        <x:v>0</x:v>
      </x:c>
      <x:c r="M1224" s="36" t="n">
        <x:f>IF(C1224&lt;-I1224,1,0)</x:f>
        <x:v>0</x:v>
      </x:c>
      <x:c r="N1224" s="34" t="n">
        <x:f>-F1224</x:f>
        <x:v>-1.257938016253575</x:v>
      </x:c>
      <x:c r="O1224" s="34" t="n">
        <x:f>-H1224</x:f>
        <x:v>-1.1936941903603415</x:v>
      </x:c>
      <x:c r="P1224" s="34" t="n">
        <x:f>-G1224</x:f>
        <x:v>-1.7791257421551663</x:v>
      </x:c>
      <x:c r="Q1224" s="34" t="n">
        <x:f>-I1224</x:f>
        <x:v>-1.9933503849460792</x:v>
      </x:c>
      <x:c r="R1224" s="36" t="n">
        <x:f>YEAR(A1224)</x:f>
        <x:v>2025</x:v>
      </x:c>
    </x:row>
    <x:row r="1225">
      <x:c r="A1225" s="30" t="n">
        <x:v>45967</x:v>
      </x:c>
      <x:c r="B1225" s="38" t="n">
        <x:v>6720.32</x:v>
      </x:c>
      <x:c r="C1225" s="34" t="n">
        <x:f>(B1225/B1224-1)*100</x:f>
        <x:v>-1.1178157494750818</x:v>
      </x:c>
      <x:c r="D1225" s="34" t="n">
        <x:f>Assumptions!$B$4*D1224+(1-Assumptions!$B$4)*C1224^2</x:f>
        <x:v>0.5577925845642728</x:v>
      </x:c>
      <x:c r="E1225" s="34" t="n">
        <x:f>SQRT(D1225)</x:f>
        <x:v>0.7468551295694988</x:v>
      </x:c>
      <x:c r="F1225" s="34" t="n">
        <x:f>-Assumptions!$B$7*E1225</x:f>
        <x:v>1.2284673686797023</x:v>
      </x:c>
      <x:c r="G1225" s="34" t="n">
        <x:f>-Assumptions!$B$8*E1225</x:f>
        <x:v>1.7374448428905</x:v>
      </x:c>
      <x:c r="H1225" s="34" t="n">
        <x:f>-Assumptions!$B$9*E1225</x:f>
        <x:v>1.1657286305787398</x:v>
      </x:c>
      <x:c r="I1225" s="34" t="n">
        <x:f>-Assumptions!$B$10*E1225</x:f>
        <x:v>1.946650685972877</x:v>
      </x:c>
      <x:c r="J1225" s="36" t="n">
        <x:f>IF(C1225&lt;-F1225,1,0)</x:f>
        <x:v>0</x:v>
      </x:c>
      <x:c r="K1225" s="36" t="n">
        <x:f>IF(C1225&lt;-G1225,1,0)</x:f>
        <x:v>0</x:v>
      </x:c>
      <x:c r="L1225" s="36" t="n">
        <x:f>IF(C1225&lt;-H1225,1,0)</x:f>
        <x:v>0</x:v>
      </x:c>
      <x:c r="M1225" s="36" t="n">
        <x:f>IF(C1225&lt;-I1225,1,0)</x:f>
        <x:v>0</x:v>
      </x:c>
      <x:c r="N1225" s="34" t="n">
        <x:f>-F1225</x:f>
        <x:v>-1.2284673686797023</x:v>
      </x:c>
      <x:c r="O1225" s="34" t="n">
        <x:f>-H1225</x:f>
        <x:v>-1.1657286305787398</x:v>
      </x:c>
      <x:c r="P1225" s="34" t="n">
        <x:f>-G1225</x:f>
        <x:v>-1.7374448428905</x:v>
      </x:c>
      <x:c r="Q1225" s="34" t="n">
        <x:f>-I1225</x:f>
        <x:v>-1.946650685972877</x:v>
      </x:c>
      <x:c r="R1225" s="36" t="n">
        <x:f>YEAR(A1225)</x:f>
        <x:v>2025</x:v>
      </x:c>
    </x:row>
    <x:row r="1226">
      <x:c r="A1226" s="30" t="n">
        <x:v>45968</x:v>
      </x:c>
      <x:c r="B1226" s="38" t="n">
        <x:v>6728.8</x:v>
      </x:c>
      <x:c r="C1226" s="34" t="n">
        <x:f>(B1226/B1225-1)*100</x:f>
        <x:v>0.1261844674063317</x:v>
      </x:c>
      <x:c r="D1226" s="34" t="n">
        <x:f>Assumptions!$B$4*D1225+(1-Assumptions!$B$4)*C1225^2</x:f>
        <x:v>0.5992957524768889</x:v>
      </x:c>
      <x:c r="E1226" s="34" t="n">
        <x:f>SQRT(D1226)</x:f>
        <x:v>0.7741419459484733</x:v>
      </x:c>
      <x:c r="F1226" s="34" t="n">
        <x:f>-Assumptions!$B$7*E1226</x:f>
        <x:v>1.2733501875686173</x:v>
      </x:c>
      <x:c r="G1226" s="34" t="n">
        <x:f>-Assumptions!$B$8*E1226</x:f>
        <x:v>1.8009234701630699</x:v>
      </x:c>
      <x:c r="H1226" s="34" t="n">
        <x:f>-Assumptions!$B$9*E1226</x:f>
        <x:v>1.2083192506748361</x:v>
      </x:c>
      <x:c r="I1226" s="34" t="n">
        <x:f>-Assumptions!$B$10*E1226</x:f>
        <x:v>2.017772778757812</x:v>
      </x:c>
      <x:c r="J1226" s="36" t="n">
        <x:f>IF(C1226&lt;-F1226,1,0)</x:f>
        <x:v>0</x:v>
      </x:c>
      <x:c r="K1226" s="36" t="n">
        <x:f>IF(C1226&lt;-G1226,1,0)</x:f>
        <x:v>0</x:v>
      </x:c>
      <x:c r="L1226" s="36" t="n">
        <x:f>IF(C1226&lt;-H1226,1,0)</x:f>
        <x:v>0</x:v>
      </x:c>
      <x:c r="M1226" s="36" t="n">
        <x:f>IF(C1226&lt;-I1226,1,0)</x:f>
        <x:v>0</x:v>
      </x:c>
      <x:c r="N1226" s="34" t="n">
        <x:f>-F1226</x:f>
        <x:v>-1.2733501875686173</x:v>
      </x:c>
      <x:c r="O1226" s="34" t="n">
        <x:f>-H1226</x:f>
        <x:v>-1.2083192506748361</x:v>
      </x:c>
      <x:c r="P1226" s="34" t="n">
        <x:f>-G1226</x:f>
        <x:v>-1.8009234701630699</x:v>
      </x:c>
      <x:c r="Q1226" s="34" t="n">
        <x:f>-I1226</x:f>
        <x:v>-2.017772778757812</x:v>
      </x:c>
      <x:c r="R1226" s="36" t="n">
        <x:f>YEAR(A1226)</x:f>
        <x:v>2025</x:v>
      </x:c>
    </x:row>
    <x:row r="1227">
      <x:c r="A1227" s="30" t="n">
        <x:v>45971</x:v>
      </x:c>
      <x:c r="B1227" s="38" t="n">
        <x:v>6832.43</x:v>
      </x:c>
      <x:c r="C1227" s="34" t="n">
        <x:f>(B1227/B1226-1)*100</x:f>
        <x:v>1.540096302461058</x:v>
      </x:c>
      <x:c r="D1227" s="34" t="n">
        <x:f>Assumptions!$B$4*D1226+(1-Assumptions!$B$4)*C1226^2</x:f>
        <x:v>0.5642933585171527</x:v>
      </x:c>
      <x:c r="E1227" s="34" t="n">
        <x:f>SQRT(D1227)</x:f>
        <x:v>0.7511946209319877</x:v>
      </x:c>
      <x:c r="F1227" s="34" t="n">
        <x:f>-Assumptions!$B$7*E1227</x:f>
        <x:v>1.2356051967864168</x:v>
      </x:c>
      <x:c r="G1227" s="34" t="n">
        <x:f>-Assumptions!$B$8*E1227</x:f>
        <x:v>1.7475400093960447</x:v>
      </x:c>
      <x:c r="H1227" s="34" t="n">
        <x:f>-Assumptions!$B$9*E1227</x:f>
        <x:v>1.1725019245190496</x:v>
      </x:c>
      <x:c r="I1227" s="34" t="n">
        <x:f>-Assumptions!$B$10*E1227</x:f>
        <x:v>1.957961412113878</x:v>
      </x:c>
      <x:c r="J1227" s="36" t="n">
        <x:f>IF(C1227&lt;-F1227,1,0)</x:f>
        <x:v>0</x:v>
      </x:c>
      <x:c r="K1227" s="36" t="n">
        <x:f>IF(C1227&lt;-G1227,1,0)</x:f>
        <x:v>0</x:v>
      </x:c>
      <x:c r="L1227" s="36" t="n">
        <x:f>IF(C1227&lt;-H1227,1,0)</x:f>
        <x:v>0</x:v>
      </x:c>
      <x:c r="M1227" s="36" t="n">
        <x:f>IF(C1227&lt;-I1227,1,0)</x:f>
        <x:v>0</x:v>
      </x:c>
      <x:c r="N1227" s="34" t="n">
        <x:f>-F1227</x:f>
        <x:v>-1.2356051967864168</x:v>
      </x:c>
      <x:c r="O1227" s="34" t="n">
        <x:f>-H1227</x:f>
        <x:v>-1.1725019245190496</x:v>
      </x:c>
      <x:c r="P1227" s="34" t="n">
        <x:f>-G1227</x:f>
        <x:v>-1.7475400093960447</x:v>
      </x:c>
      <x:c r="Q1227" s="34" t="n">
        <x:f>-I1227</x:f>
        <x:v>-1.957961412113878</x:v>
      </x:c>
      <x:c r="R1227" s="36" t="n">
        <x:f>YEAR(A1227)</x:f>
        <x:v>2025</x:v>
      </x:c>
    </x:row>
    <x:row r="1228">
      <x:c r="A1228" s="30" t="n">
        <x:v>45972</x:v>
      </x:c>
      <x:c r="B1228" s="38" t="n">
        <x:v>6846.61</x:v>
      </x:c>
      <x:c r="C1228" s="34" t="n">
        <x:f>(B1228/B1227-1)*100</x:f>
        <x:v>0.20753963084874094</x:v>
      </x:c>
      <x:c r="D1228" s="34" t="n">
        <x:f>Assumptions!$B$4*D1227+(1-Assumptions!$B$4)*C1227^2</x:f>
        <x:v>0.6727495542573769</x:v>
      </x:c>
      <x:c r="E1228" s="34" t="n">
        <x:f>SQRT(D1228)</x:f>
        <x:v>0.8202131151459217</x:v>
      </x:c>
      <x:c r="F1228" s="34" t="n">
        <x:f>-Assumptions!$B$7*E1228</x:f>
        <x:v>1.3491305173209354</x:v>
      </x:c>
      <x:c r="G1228" s="34" t="n">
        <x:f>-Assumptions!$B$8*E1228</x:f>
        <x:v>1.9081010366801299</x:v>
      </x:c>
      <x:c r="H1228" s="34" t="n">
        <x:f>-Assumptions!$B$9*E1228</x:f>
        <x:v>1.2802294228773894</x:v>
      </x:c>
      <x:c r="I1228" s="34" t="n">
        <x:f>-Assumptions!$B$10*E1228</x:f>
        <x:v>2.1378556028169853</x:v>
      </x:c>
      <x:c r="J1228" s="36" t="n">
        <x:f>IF(C1228&lt;-F1228,1,0)</x:f>
        <x:v>0</x:v>
      </x:c>
      <x:c r="K1228" s="36" t="n">
        <x:f>IF(C1228&lt;-G1228,1,0)</x:f>
        <x:v>0</x:v>
      </x:c>
      <x:c r="L1228" s="36" t="n">
        <x:f>IF(C1228&lt;-H1228,1,0)</x:f>
        <x:v>0</x:v>
      </x:c>
      <x:c r="M1228" s="36" t="n">
        <x:f>IF(C1228&lt;-I1228,1,0)</x:f>
        <x:v>0</x:v>
      </x:c>
      <x:c r="N1228" s="34" t="n">
        <x:f>-F1228</x:f>
        <x:v>-1.3491305173209354</x:v>
      </x:c>
      <x:c r="O1228" s="34" t="n">
        <x:f>-H1228</x:f>
        <x:v>-1.2802294228773894</x:v>
      </x:c>
      <x:c r="P1228" s="34" t="n">
        <x:f>-G1228</x:f>
        <x:v>-1.9081010366801299</x:v>
      </x:c>
      <x:c r="Q1228" s="34" t="n">
        <x:f>-I1228</x:f>
        <x:v>-2.1378556028169853</x:v>
      </x:c>
      <x:c r="R1228" s="36" t="n">
        <x:f>YEAR(A1228)</x:f>
        <x:v>2025</x:v>
      </x:c>
    </x:row>
    <x:row r="1229">
      <x:c r="A1229" s="30" t="n">
        <x:v>45973</x:v>
      </x:c>
      <x:c r="B1229" s="38" t="n">
        <x:v>6850.92</x:v>
      </x:c>
      <x:c r="C1229" s="34" t="n">
        <x:f>(B1229/B1228-1)*100</x:f>
        <x:v>0.06295086181336007</x:v>
      </x:c>
      <x:c r="D1229" s="34" t="n">
        <x:f>Assumptions!$B$4*D1228+(1-Assumptions!$B$4)*C1228^2</x:f>
        <x:v>0.6349689429043042</x:v>
      </x:c>
      <x:c r="E1229" s="34" t="n">
        <x:f>SQRT(D1229)</x:f>
        <x:v>0.7968493853321995</x:v>
      </x:c>
      <x:c r="F1229" s="34" t="n">
        <x:f>-Assumptions!$B$7*E1229</x:f>
        <x:v>1.31070060159772</x:v>
      </x:c>
      <x:c r="G1229" s="34" t="n">
        <x:f>-Assumptions!$B$8*E1229</x:f>
        <x:v>1.8537488734983127</x:v>
      </x:c>
      <x:c r="H1229" s="34" t="n">
        <x:f>-Assumptions!$B$9*E1229</x:f>
        <x:v>1.2437621514044583</x:v>
      </x:c>
      <x:c r="I1229" s="34" t="n">
        <x:f>-Assumptions!$B$10*E1229</x:f>
        <x:v>2.0769588922394155</x:v>
      </x:c>
      <x:c r="J1229" s="36" t="n">
        <x:f>IF(C1229&lt;-F1229,1,0)</x:f>
        <x:v>0</x:v>
      </x:c>
      <x:c r="K1229" s="36" t="n">
        <x:f>IF(C1229&lt;-G1229,1,0)</x:f>
        <x:v>0</x:v>
      </x:c>
      <x:c r="L1229" s="36" t="n">
        <x:f>IF(C1229&lt;-H1229,1,0)</x:f>
        <x:v>0</x:v>
      </x:c>
      <x:c r="M1229" s="36" t="n">
        <x:f>IF(C1229&lt;-I1229,1,0)</x:f>
        <x:v>0</x:v>
      </x:c>
      <x:c r="N1229" s="34" t="n">
        <x:f>-F1229</x:f>
        <x:v>-1.31070060159772</x:v>
      </x:c>
      <x:c r="O1229" s="34" t="n">
        <x:f>-H1229</x:f>
        <x:v>-1.2437621514044583</x:v>
      </x:c>
      <x:c r="P1229" s="34" t="n">
        <x:f>-G1229</x:f>
        <x:v>-1.8537488734983127</x:v>
      </x:c>
      <x:c r="Q1229" s="34" t="n">
        <x:f>-I1229</x:f>
        <x:v>-2.0769588922394155</x:v>
      </x:c>
      <x:c r="R1229" s="36" t="n">
        <x:f>YEAR(A1229)</x:f>
        <x:v>2025</x:v>
      </x:c>
    </x:row>
    <x:row r="1230">
      <x:c r="A1230" s="30" t="n">
        <x:v>45974</x:v>
      </x:c>
      <x:c r="B1230" s="38" t="n">
        <x:v>6737.49</x:v>
      </x:c>
      <x:c r="C1230" s="34" t="n">
        <x:f>(B1230/B1229-1)*100</x:f>
        <x:v>-1.6556900387101336</x:v>
      </x:c>
      <x:c r="D1230" s="34" t="n">
        <x:f>Assumptions!$B$4*D1229+(1-Assumptions!$B$4)*C1229^2</x:f>
        <x:v>0.5971085749902285</x:v>
      </x:c>
      <x:c r="E1230" s="34" t="n">
        <x:f>SQRT(D1230)</x:f>
        <x:v>0.7727280084157869</x:v>
      </x:c>
      <x:c r="F1230" s="34" t="n">
        <x:f>-Assumptions!$B$7*E1230</x:f>
        <x:v>1.2710244672896953</x:v>
      </x:c>
      <x:c r="G1230" s="34" t="n">
        <x:f>-Assumptions!$B$8*E1230</x:f>
        <x:v>1.7976341595898784</x:v>
      </x:c>
      <x:c r="H1230" s="34" t="n">
        <x:f>-Assumptions!$B$9*E1230</x:f>
        <x:v>1.2061123066525699</x:v>
      </x:c>
      <x:c r="I1230" s="34" t="n">
        <x:f>-Assumptions!$B$10*E1230</x:f>
        <x:v>2.014087402091104</x:v>
      </x:c>
      <x:c r="J1230" s="36" t="n">
        <x:f>IF(C1230&lt;-F1230,1,0)</x:f>
        <x:v>1</x:v>
      </x:c>
      <x:c r="K1230" s="36" t="n">
        <x:f>IF(C1230&lt;-G1230,1,0)</x:f>
        <x:v>0</x:v>
      </x:c>
      <x:c r="L1230" s="36" t="n">
        <x:f>IF(C1230&lt;-H1230,1,0)</x:f>
        <x:v>1</x:v>
      </x:c>
      <x:c r="M1230" s="36" t="n">
        <x:f>IF(C1230&lt;-I1230,1,0)</x:f>
        <x:v>0</x:v>
      </x:c>
      <x:c r="N1230" s="34" t="n">
        <x:f>-F1230</x:f>
        <x:v>-1.2710244672896953</x:v>
      </x:c>
      <x:c r="O1230" s="34" t="n">
        <x:f>-H1230</x:f>
        <x:v>-1.2061123066525699</x:v>
      </x:c>
      <x:c r="P1230" s="34" t="n">
        <x:f>-G1230</x:f>
        <x:v>-1.7976341595898784</x:v>
      </x:c>
      <x:c r="Q1230" s="34" t="n">
        <x:f>-I1230</x:f>
        <x:v>-2.014087402091104</x:v>
      </x:c>
      <x:c r="R1230" s="36" t="n">
        <x:f>YEAR(A1230)</x:f>
        <x:v>2025</x:v>
      </x:c>
    </x:row>
    <x:row r="1231">
      <x:c r="A1231" s="30" t="n">
        <x:v>45975</x:v>
      </x:c>
      <x:c r="B1231" s="38" t="n">
        <x:v>6734.11</x:v>
      </x:c>
      <x:c r="C1231" s="34" t="n">
        <x:f>(B1231/B1230-1)*100</x:f>
        <x:v>-0.05016705034071034</x:v>
      </x:c>
      <x:c r="D1231" s="34" t="n">
        <x:f>Assumptions!$B$4*D1230+(1-Assumptions!$B$4)*C1230^2</x:f>
        <x:v>0.7257606307478527</x:v>
      </x:c>
      <x:c r="E1231" s="34" t="n">
        <x:f>SQRT(D1231)</x:f>
        <x:v>0.851915858960175</x:v>
      </x:c>
      <x:c r="F1231" s="34" t="n">
        <x:f>-Assumptions!$B$7*E1231</x:f>
        <x:v>1.4012768904681232</x:v>
      </x:c>
      <x:c r="G1231" s="34" t="n">
        <x:f>-Assumptions!$B$8*E1231</x:f>
        <x:v>1.9818526473536795</x:v>
      </x:c>
      <x:c r="H1231" s="34" t="n">
        <x:f>-Assumptions!$B$9*E1231</x:f>
        <x:v>1.329712642137704</x:v>
      </x:c>
      <x:c r="I1231" s="34" t="n">
        <x:f>-Assumptions!$B$10*E1231</x:f>
        <x:v>2.220487649581947</x:v>
      </x:c>
      <x:c r="J1231" s="36" t="n">
        <x:f>IF(C1231&lt;-F1231,1,0)</x:f>
        <x:v>0</x:v>
      </x:c>
      <x:c r="K1231" s="36" t="n">
        <x:f>IF(C1231&lt;-G1231,1,0)</x:f>
        <x:v>0</x:v>
      </x:c>
      <x:c r="L1231" s="36" t="n">
        <x:f>IF(C1231&lt;-H1231,1,0)</x:f>
        <x:v>0</x:v>
      </x:c>
      <x:c r="M1231" s="36" t="n">
        <x:f>IF(C1231&lt;-I1231,1,0)</x:f>
        <x:v>0</x:v>
      </x:c>
      <x:c r="N1231" s="34" t="n">
        <x:f>-F1231</x:f>
        <x:v>-1.4012768904681232</x:v>
      </x:c>
      <x:c r="O1231" s="34" t="n">
        <x:f>-H1231</x:f>
        <x:v>-1.329712642137704</x:v>
      </x:c>
      <x:c r="P1231" s="34" t="n">
        <x:f>-G1231</x:f>
        <x:v>-1.9818526473536795</x:v>
      </x:c>
      <x:c r="Q1231" s="34" t="n">
        <x:f>-I1231</x:f>
        <x:v>-2.220487649581947</x:v>
      </x:c>
      <x:c r="R1231" s="36" t="n">
        <x:f>YEAR(A1231)</x:f>
        <x:v>2025</x:v>
      </x:c>
    </x:row>
    <x:row r="1232">
      <x:c r="A1232" s="30" t="n">
        <x:v>45978</x:v>
      </x:c>
      <x:c r="B1232" s="38" t="n">
        <x:v>6672.41</x:v>
      </x:c>
      <x:c r="C1232" s="34" t="n">
        <x:f>(B1232/B1231-1)*100</x:f>
        <x:v>-0.9162309495983845</x:v>
      </x:c>
      <x:c r="D1232" s="34" t="n">
        <x:f>Assumptions!$B$4*D1231+(1-Assumptions!$B$4)*C1231^2</x:f>
        <x:v>0.6823659968793747</x:v>
      </x:c>
      <x:c r="E1232" s="34" t="n">
        <x:f>SQRT(D1232)</x:f>
        <x:v>0.8260544757335164</x:v>
      </x:c>
      <x:c r="F1232" s="34" t="n">
        <x:f>-Assumptions!$B$7*E1232</x:f>
        <x:v>1.358738700469772</x:v>
      </x:c>
      <x:c r="G1232" s="34" t="n">
        <x:f>-Assumptions!$B$8*E1232</x:f>
        <x:v>1.9216900734645868</x:v>
      </x:c>
      <x:c r="H1232" s="34" t="n">
        <x:f>-Assumptions!$B$9*E1232</x:f>
        <x:v>1.2893469089987186</x:v>
      </x:c>
      <x:c r="I1232" s="34" t="n">
        <x:f>-Assumptions!$B$10*E1232</x:f>
        <x:v>2.153080896377479</x:v>
      </x:c>
      <x:c r="J1232" s="36" t="n">
        <x:f>IF(C1232&lt;-F1232,1,0)</x:f>
        <x:v>0</x:v>
      </x:c>
      <x:c r="K1232" s="36" t="n">
        <x:f>IF(C1232&lt;-G1232,1,0)</x:f>
        <x:v>0</x:v>
      </x:c>
      <x:c r="L1232" s="36" t="n">
        <x:f>IF(C1232&lt;-H1232,1,0)</x:f>
        <x:v>0</x:v>
      </x:c>
      <x:c r="M1232" s="36" t="n">
        <x:f>IF(C1232&lt;-I1232,1,0)</x:f>
        <x:v>0</x:v>
      </x:c>
      <x:c r="N1232" s="34" t="n">
        <x:f>-F1232</x:f>
        <x:v>-1.358738700469772</x:v>
      </x:c>
      <x:c r="O1232" s="34" t="n">
        <x:f>-H1232</x:f>
        <x:v>-1.2893469089987186</x:v>
      </x:c>
      <x:c r="P1232" s="34" t="n">
        <x:f>-G1232</x:f>
        <x:v>-1.9216900734645868</x:v>
      </x:c>
      <x:c r="Q1232" s="34" t="n">
        <x:f>-I1232</x:f>
        <x:v>-2.153080896377479</x:v>
      </x:c>
      <x:c r="R1232" s="36" t="n">
        <x:f>YEAR(A1232)</x:f>
        <x:v>2025</x:v>
      </x:c>
    </x:row>
    <x:row r="1233">
      <x:c r="A1233" s="30" t="n">
        <x:v>45979</x:v>
      </x:c>
      <x:c r="B1233" s="38" t="n">
        <x:v>6617.32</x:v>
      </x:c>
      <x:c r="C1233" s="34" t="n">
        <x:f>(B1233/B1232-1)*100</x:f>
        <x:v>-0.8256387122493991</x:v>
      </x:c>
      <x:c r="D1233" s="34" t="n">
        <x:f>Assumptions!$B$4*D1232+(1-Assumptions!$B$4)*C1232^2</x:f>
        <x:v>0.6917927862467297</x:v>
      </x:c>
      <x:c r="E1233" s="34" t="n">
        <x:f>SQRT(D1233)</x:f>
        <x:v>0.8317408167492621</x:v>
      </x:c>
      <x:c r="F1233" s="34" t="n">
        <x:f>-Assumptions!$B$7*E1233</x:f>
        <x:v>1.3680918991136042</x:v>
      </x:c>
      <x:c r="G1233" s="34" t="n">
        <x:f>-Assumptions!$B$8*E1233</x:f>
        <x:v>1.934918480797638</x:v>
      </x:c>
      <x:c r="H1233" s="34" t="n">
        <x:f>-Assumptions!$B$9*E1233</x:f>
        <x:v>1.2982224328625098</x:v>
      </x:c>
      <x:c r="I1233" s="34" t="n">
        <x:f>-Assumptions!$B$10*E1233</x:f>
        <x:v>2.167902137071585</x:v>
      </x:c>
      <x:c r="J1233" s="36" t="n">
        <x:f>IF(C1233&lt;-F1233,1,0)</x:f>
        <x:v>0</x:v>
      </x:c>
      <x:c r="K1233" s="36" t="n">
        <x:f>IF(C1233&lt;-G1233,1,0)</x:f>
        <x:v>0</x:v>
      </x:c>
      <x:c r="L1233" s="36" t="n">
        <x:f>IF(C1233&lt;-H1233,1,0)</x:f>
        <x:v>0</x:v>
      </x:c>
      <x:c r="M1233" s="36" t="n">
        <x:f>IF(C1233&lt;-I1233,1,0)</x:f>
        <x:v>0</x:v>
      </x:c>
      <x:c r="N1233" s="34" t="n">
        <x:f>-F1233</x:f>
        <x:v>-1.3680918991136042</x:v>
      </x:c>
      <x:c r="O1233" s="34" t="n">
        <x:f>-H1233</x:f>
        <x:v>-1.2982224328625098</x:v>
      </x:c>
      <x:c r="P1233" s="34" t="n">
        <x:f>-G1233</x:f>
        <x:v>-1.934918480797638</x:v>
      </x:c>
      <x:c r="Q1233" s="34" t="n">
        <x:f>-I1233</x:f>
        <x:v>-2.167902137071585</x:v>
      </x:c>
      <x:c r="R1233" s="36" t="n">
        <x:f>YEAR(A1233)</x:f>
        <x:v>2025</x:v>
      </x:c>
    </x:row>
    <x:row r="1234">
      <x:c r="A1234" s="30" t="n">
        <x:v>45980</x:v>
      </x:c>
      <x:c r="B1234" s="38" t="n">
        <x:v>6642.16</x:v>
      </x:c>
      <x:c r="C1234" s="34" t="n">
        <x:f>(B1234/B1233-1)*100</x:f>
        <x:v>0.37537855204221593</x:v>
      </x:c>
      <x:c r="D1234" s="34" t="n">
        <x:f>Assumptions!$B$4*D1233+(1-Assumptions!$B$4)*C1233^2</x:f>
        <x:v>0.6911859760618166</x:v>
      </x:c>
      <x:c r="E1234" s="34" t="n">
        <x:f>SQRT(D1234)</x:f>
        <x:v>0.8313759535022748</x:v>
      </x:c>
      <x:c r="F1234" s="34" t="n">
        <x:f>-Assumptions!$B$7*E1234</x:f>
        <x:v>1.3674917524784558</x:v>
      </x:c>
      <x:c r="G1234" s="34" t="n">
        <x:f>-Assumptions!$B$8*E1234</x:f>
        <x:v>1.9340696819586933</x:v>
      </x:c>
      <x:c r="H1234" s="34" t="n">
        <x:f>-Assumptions!$B$9*E1234</x:f>
        <x:v>1.2976529361603792</x:v>
      </x:c>
      <x:c r="I1234" s="34" t="n">
        <x:f>-Assumptions!$B$10*E1234</x:f>
        <x:v>2.1669511343109242</x:v>
      </x:c>
      <x:c r="J1234" s="36" t="n">
        <x:f>IF(C1234&lt;-F1234,1,0)</x:f>
        <x:v>0</x:v>
      </x:c>
      <x:c r="K1234" s="36" t="n">
        <x:f>IF(C1234&lt;-G1234,1,0)</x:f>
        <x:v>0</x:v>
      </x:c>
      <x:c r="L1234" s="36" t="n">
        <x:f>IF(C1234&lt;-H1234,1,0)</x:f>
        <x:v>0</x:v>
      </x:c>
      <x:c r="M1234" s="36" t="n">
        <x:f>IF(C1234&lt;-I1234,1,0)</x:f>
        <x:v>0</x:v>
      </x:c>
      <x:c r="N1234" s="34" t="n">
        <x:f>-F1234</x:f>
        <x:v>-1.3674917524784558</x:v>
      </x:c>
      <x:c r="O1234" s="34" t="n">
        <x:f>-H1234</x:f>
        <x:v>-1.2976529361603792</x:v>
      </x:c>
      <x:c r="P1234" s="34" t="n">
        <x:f>-G1234</x:f>
        <x:v>-1.9340696819586933</x:v>
      </x:c>
      <x:c r="Q1234" s="34" t="n">
        <x:f>-I1234</x:f>
        <x:v>-2.1669511343109242</x:v>
      </x:c>
      <x:c r="R1234" s="36" t="n">
        <x:f>YEAR(A1234)</x:f>
        <x:v>2025</x:v>
      </x:c>
    </x:row>
    <x:row r="1235">
      <x:c r="A1235" s="30" t="n">
        <x:v>45981</x:v>
      </x:c>
      <x:c r="B1235" s="38" t="n">
        <x:v>6538.76</x:v>
      </x:c>
      <x:c r="C1235" s="34" t="n">
        <x:f>(B1235/B1234-1)*100</x:f>
        <x:v>-1.556722511953934</x:v>
      </x:c>
      <x:c r="D1235" s="34" t="n">
        <x:f>Assumptions!$B$4*D1234+(1-Assumptions!$B$4)*C1234^2</x:f>
        <x:v>0.6581693609381062</x:v>
      </x:c>
      <x:c r="E1235" s="34" t="n">
        <x:f>SQRT(D1235)</x:f>
        <x:v>0.8112763776532053</x:v>
      </x:c>
      <x:c r="F1235" s="34" t="n">
        <x:f>-Assumptions!$B$7*E1235</x:f>
        <x:v>1.3344308922429275</x:v>
      </x:c>
      <x:c r="G1235" s="34" t="n">
        <x:f>-Assumptions!$B$8*E1235</x:f>
        <x:v>1.887311076413088</x:v>
      </x:c>
      <x:c r="H1235" s="34" t="n">
        <x:f>-Assumptions!$B$9*E1235</x:f>
        <x:v>1.26628051853602</x:v>
      </x:c>
      <x:c r="I1235" s="34" t="n">
        <x:f>-Assumptions!$B$10*E1235</x:f>
        <x:v>2.1145623221233336</x:v>
      </x:c>
      <x:c r="J1235" s="36" t="n">
        <x:f>IF(C1235&lt;-F1235,1,0)</x:f>
        <x:v>1</x:v>
      </x:c>
      <x:c r="K1235" s="36" t="n">
        <x:f>IF(C1235&lt;-G1235,1,0)</x:f>
        <x:v>0</x:v>
      </x:c>
      <x:c r="L1235" s="36" t="n">
        <x:f>IF(C1235&lt;-H1235,1,0)</x:f>
        <x:v>1</x:v>
      </x:c>
      <x:c r="M1235" s="36" t="n">
        <x:f>IF(C1235&lt;-I1235,1,0)</x:f>
        <x:v>0</x:v>
      </x:c>
      <x:c r="N1235" s="34" t="n">
        <x:f>-F1235</x:f>
        <x:v>-1.3344308922429275</x:v>
      </x:c>
      <x:c r="O1235" s="34" t="n">
        <x:f>-H1235</x:f>
        <x:v>-1.26628051853602</x:v>
      </x:c>
      <x:c r="P1235" s="34" t="n">
        <x:f>-G1235</x:f>
        <x:v>-1.887311076413088</x:v>
      </x:c>
      <x:c r="Q1235" s="34" t="n">
        <x:f>-I1235</x:f>
        <x:v>-2.1145623221233336</x:v>
      </x:c>
      <x:c r="R1235" s="36" t="n">
        <x:f>YEAR(A1235)</x:f>
        <x:v>2025</x:v>
      </x:c>
    </x:row>
    <x:row r="1236">
      <x:c r="A1236" s="30" t="n">
        <x:v>45982</x:v>
      </x:c>
      <x:c r="B1236" s="38" t="n">
        <x:v>6602.99</x:v>
      </x:c>
      <x:c r="C1236" s="34" t="n">
        <x:f>(B1236/B1235-1)*100</x:f>
        <x:v>0.9822963375318849</x:v>
      </x:c>
      <x:c r="D1236" s="34" t="n">
        <x:f>Assumptions!$B$4*D1235+(1-Assumptions!$B$4)*C1235^2</x:f>
        <x:v>0.76408229803527</x:v>
      </x:c>
      <x:c r="E1236" s="34" t="n">
        <x:f>SQRT(D1236)</x:f>
        <x:v>0.87411801150375</x:v>
      </x:c>
      <x:c r="F1236" s="34" t="n">
        <x:f>-Assumptions!$B$7*E1236</x:f>
        <x:v>1.4377961816055524</x:v>
      </x:c>
      <x:c r="G1236" s="34" t="n">
        <x:f>-Assumptions!$B$8*E1236</x:f>
        <x:v>2.0335025777225555</x:v>
      </x:c>
      <x:c r="H1236" s="34" t="n">
        <x:f>-Assumptions!$B$9*E1236</x:f>
        <x:v>1.3643668660371109</x:v>
      </x:c>
      <x:c r="I1236" s="34" t="n">
        <x:f>-Assumptions!$B$10*E1236</x:f>
        <x:v>2.278356751323188</x:v>
      </x:c>
      <x:c r="J1236" s="36" t="n">
        <x:f>IF(C1236&lt;-F1236,1,0)</x:f>
        <x:v>0</x:v>
      </x:c>
      <x:c r="K1236" s="36" t="n">
        <x:f>IF(C1236&lt;-G1236,1,0)</x:f>
        <x:v>0</x:v>
      </x:c>
      <x:c r="L1236" s="36" t="n">
        <x:f>IF(C1236&lt;-H1236,1,0)</x:f>
        <x:v>0</x:v>
      </x:c>
      <x:c r="M1236" s="36" t="n">
        <x:f>IF(C1236&lt;-I1236,1,0)</x:f>
        <x:v>0</x:v>
      </x:c>
      <x:c r="N1236" s="34" t="n">
        <x:f>-F1236</x:f>
        <x:v>-1.4377961816055524</x:v>
      </x:c>
      <x:c r="O1236" s="34" t="n">
        <x:f>-H1236</x:f>
        <x:v>-1.3643668660371109</x:v>
      </x:c>
      <x:c r="P1236" s="34" t="n">
        <x:f>-G1236</x:f>
        <x:v>-2.0335025777225555</x:v>
      </x:c>
      <x:c r="Q1236" s="34" t="n">
        <x:f>-I1236</x:f>
        <x:v>-2.278356751323188</x:v>
      </x:c>
      <x:c r="R1236" s="36" t="n">
        <x:f>YEAR(A1236)</x:f>
        <x:v>2025</x:v>
      </x:c>
    </x:row>
    <x:row r="1237">
      <x:c r="A1237" s="30" t="n">
        <x:v>45985</x:v>
      </x:c>
      <x:c r="B1237" s="38" t="n">
        <x:v>6705.12</x:v>
      </x:c>
      <x:c r="C1237" s="34" t="n">
        <x:f>(B1237/B1236-1)*100</x:f>
        <x:v>1.5467235297948356</x:v>
      </x:c>
      <x:c r="D1237" s="34" t="n">
        <x:f>Assumptions!$B$4*D1236+(1-Assumptions!$B$4)*C1236^2</x:f>
        <x:v>0.7761317258368671</x:v>
      </x:c>
      <x:c r="E1237" s="34" t="n">
        <x:f>SQRT(D1237)</x:f>
        <x:v>0.8809833856758407</x:v>
      </x:c>
      <x:c r="F1237" s="34" t="n">
        <x:f>-Assumptions!$B$7*E1237</x:f>
        <x:v>1.4490887172128948</x:v>
      </x:c>
      <x:c r="G1237" s="34" t="n">
        <x:f>-Assumptions!$B$8*E1237</x:f>
        <x:v>2.0494738263322936</x:v>
      </x:c>
      <x:c r="H1237" s="34" t="n">
        <x:f>-Assumptions!$B$9*E1237</x:f>
        <x:v>1.3750826834897607</x:v>
      </x:c>
      <x:c r="I1237" s="34" t="n">
        <x:f>-Assumptions!$B$10*E1237</x:f>
        <x:v>2.296251098985049</x:v>
      </x:c>
      <x:c r="J1237" s="36" t="n">
        <x:f>IF(C1237&lt;-F1237,1,0)</x:f>
        <x:v>0</x:v>
      </x:c>
      <x:c r="K1237" s="36" t="n">
        <x:f>IF(C1237&lt;-G1237,1,0)</x:f>
        <x:v>0</x:v>
      </x:c>
      <x:c r="L1237" s="36" t="n">
        <x:f>IF(C1237&lt;-H1237,1,0)</x:f>
        <x:v>0</x:v>
      </x:c>
      <x:c r="M1237" s="36" t="n">
        <x:f>IF(C1237&lt;-I1237,1,0)</x:f>
        <x:v>0</x:v>
      </x:c>
      <x:c r="N1237" s="34" t="n">
        <x:f>-F1237</x:f>
        <x:v>-1.4490887172128948</x:v>
      </x:c>
      <x:c r="O1237" s="34" t="n">
        <x:f>-H1237</x:f>
        <x:v>-1.3750826834897607</x:v>
      </x:c>
      <x:c r="P1237" s="34" t="n">
        <x:f>-G1237</x:f>
        <x:v>-2.0494738263322936</x:v>
      </x:c>
      <x:c r="Q1237" s="34" t="n">
        <x:f>-I1237</x:f>
        <x:v>-2.296251098985049</x:v>
      </x:c>
      <x:c r="R1237" s="36" t="n">
        <x:f>YEAR(A1237)</x:f>
        <x:v>2025</x:v>
      </x:c>
    </x:row>
    <x:row r="1238">
      <x:c r="A1238" s="30" t="n">
        <x:v>45986</x:v>
      </x:c>
      <x:c r="B1238" s="38" t="n">
        <x:v>6765.88</x:v>
      </x:c>
      <x:c r="C1238" s="34" t="n">
        <x:f>(B1238/B1237-1)*100</x:f>
        <x:v>0.9061731930226413</x:v>
      </x:c>
      <x:c r="D1238" s="34" t="n">
        <x:f>Assumptions!$B$4*D1237+(1-Assumptions!$B$4)*C1237^2</x:f>
        <x:v>0.8731050429439149</x:v>
      </x:c>
      <x:c r="E1238" s="34" t="n">
        <x:f>SQRT(D1238)</x:f>
        <x:v>0.9344009005474657</x:v>
      </x:c>
      <x:c r="F1238" s="34" t="n">
        <x:f>-Assumptions!$B$7*E1238</x:f>
        <x:v>1.5369527102922214</x:v>
      </x:c>
      <x:c r="G1238" s="34" t="n">
        <x:f>-Assumptions!$B$8*E1238</x:f>
        <x:v>2.1737415484904434</x:v>
      </x:c>
      <x:c r="H1238" s="34" t="n">
        <x:f>-Assumptions!$B$9*E1238</x:f>
        <x:v>1.4584593973862197</x:v>
      </x:c>
      <x:c r="I1238" s="34" t="n">
        <x:f>-Assumptions!$B$10*E1238</x:f>
        <x:v>2.43548190540363</x:v>
      </x:c>
      <x:c r="J1238" s="36" t="n">
        <x:f>IF(C1238&lt;-F1238,1,0)</x:f>
        <x:v>0</x:v>
      </x:c>
      <x:c r="K1238" s="36" t="n">
        <x:f>IF(C1238&lt;-G1238,1,0)</x:f>
        <x:v>0</x:v>
      </x:c>
      <x:c r="L1238" s="36" t="n">
        <x:f>IF(C1238&lt;-H1238,1,0)</x:f>
        <x:v>0</x:v>
      </x:c>
      <x:c r="M1238" s="36" t="n">
        <x:f>IF(C1238&lt;-I1238,1,0)</x:f>
        <x:v>0</x:v>
      </x:c>
      <x:c r="N1238" s="34" t="n">
        <x:f>-F1238</x:f>
        <x:v>-1.5369527102922214</x:v>
      </x:c>
      <x:c r="O1238" s="34" t="n">
        <x:f>-H1238</x:f>
        <x:v>-1.4584593973862197</x:v>
      </x:c>
      <x:c r="P1238" s="34" t="n">
        <x:f>-G1238</x:f>
        <x:v>-2.1737415484904434</x:v>
      </x:c>
      <x:c r="Q1238" s="34" t="n">
        <x:f>-I1238</x:f>
        <x:v>-2.43548190540363</x:v>
      </x:c>
      <x:c r="R1238" s="36" t="n">
        <x:f>YEAR(A1238)</x:f>
        <x:v>2025</x:v>
      </x:c>
    </x:row>
    <x:row r="1239">
      <x:c r="A1239" s="30" t="n">
        <x:v>45987</x:v>
      </x:c>
      <x:c r="B1239" s="38" t="n">
        <x:v>6812.61</x:v>
      </x:c>
      <x:c r="C1239" s="34" t="n">
        <x:f>(B1239/B1238-1)*100</x:f>
        <x:v>0.6906714278112958</x:v>
      </x:c>
      <x:c r="D1239" s="34" t="n">
        <x:f>Assumptions!$B$4*D1238+(1-Assumptions!$B$4)*C1238^2</x:f>
        <x:v>0.869987731712451</x:v>
      </x:c>
      <x:c r="E1239" s="34" t="n">
        <x:f>SQRT(D1239)</x:f>
        <x:v>0.9327313287932657</x:v>
      </x:c>
      <x:c r="F1239" s="34" t="n">
        <x:f>-Assumptions!$B$7*E1239</x:f>
        <x:v>1.5342065091368697</x:v>
      </x:c>
      <x:c r="G1239" s="34" t="n">
        <x:f>-Assumptions!$B$8*E1239</x:f>
        <x:v>2.169857543789502</x:v>
      </x:c>
      <x:c r="H1239" s="34" t="n">
        <x:f>-Assumptions!$B$9*E1239</x:f>
        <x:v>1.4558534467572157</x:v>
      </x:c>
      <x:c r="I1239" s="34" t="n">
        <x:f>-Assumptions!$B$10*E1239</x:f>
        <x:v>2.431130227451752</x:v>
      </x:c>
      <x:c r="J1239" s="36" t="n">
        <x:f>IF(C1239&lt;-F1239,1,0)</x:f>
        <x:v>0</x:v>
      </x:c>
      <x:c r="K1239" s="36" t="n">
        <x:f>IF(C1239&lt;-G1239,1,0)</x:f>
        <x:v>0</x:v>
      </x:c>
      <x:c r="L1239" s="36" t="n">
        <x:f>IF(C1239&lt;-H1239,1,0)</x:f>
        <x:v>0</x:v>
      </x:c>
      <x:c r="M1239" s="36" t="n">
        <x:f>IF(C1239&lt;-I1239,1,0)</x:f>
        <x:v>0</x:v>
      </x:c>
      <x:c r="N1239" s="34" t="n">
        <x:f>-F1239</x:f>
        <x:v>-1.5342065091368697</x:v>
      </x:c>
      <x:c r="O1239" s="34" t="n">
        <x:f>-H1239</x:f>
        <x:v>-1.4558534467572157</x:v>
      </x:c>
      <x:c r="P1239" s="34" t="n">
        <x:f>-G1239</x:f>
        <x:v>-2.169857543789502</x:v>
      </x:c>
      <x:c r="Q1239" s="34" t="n">
        <x:f>-I1239</x:f>
        <x:v>-2.431130227451752</x:v>
      </x:c>
      <x:c r="R1239" s="36" t="n">
        <x:f>YEAR(A1239)</x:f>
        <x:v>2025</x:v>
      </x:c>
    </x:row>
    <x:row r="1240">
      <x:c r="A1240" s="30" t="n">
        <x:v>45989</x:v>
      </x:c>
      <x:c r="B1240" s="38" t="n">
        <x:v>6849.09</x:v>
      </x:c>
      <x:c r="C1240" s="34" t="n">
        <x:f>(B1240/B1239-1)*100</x:f>
        <x:v>0.5354775922884247</x:v>
      </x:c>
      <x:c r="D1240" s="34" t="n">
        <x:f>Assumptions!$B$4*D1239+(1-Assumptions!$B$4)*C1239^2</x:f>
        <x:v>0.8464100890813976</x:v>
      </x:c>
      <x:c r="E1240" s="34" t="n">
        <x:f>SQRT(D1240)</x:f>
        <x:v>0.9200054831800719</x:v>
      </x:c>
      <x:c r="F1240" s="34" t="n">
        <x:f>-Assumptions!$B$7*E1240</x:f>
        <x:v>1.5132743558239836</x:v>
      </x:c>
      <x:c r="G1240" s="34" t="n">
        <x:f>-Assumptions!$B$8*E1240</x:f>
        <x:v>2.1402527999018766</x:v>
      </x:c>
      <x:c r="H1240" s="34" t="n">
        <x:f>-Assumptions!$B$9*E1240</x:f>
        <x:v>1.4359903140126151</x:v>
      </x:c>
      <x:c r="I1240" s="34" t="n">
        <x:f>-Assumptions!$B$10*E1240</x:f>
        <x:v>2.3979607744859703</x:v>
      </x:c>
      <x:c r="J1240" s="36" t="n">
        <x:f>IF(C1240&lt;-F1240,1,0)</x:f>
        <x:v>0</x:v>
      </x:c>
      <x:c r="K1240" s="36" t="n">
        <x:f>IF(C1240&lt;-G1240,1,0)</x:f>
        <x:v>0</x:v>
      </x:c>
      <x:c r="L1240" s="36" t="n">
        <x:f>IF(C1240&lt;-H1240,1,0)</x:f>
        <x:v>0</x:v>
      </x:c>
      <x:c r="M1240" s="36" t="n">
        <x:f>IF(C1240&lt;-I1240,1,0)</x:f>
        <x:v>0</x:v>
      </x:c>
      <x:c r="N1240" s="34" t="n">
        <x:f>-F1240</x:f>
        <x:v>-1.5132743558239836</x:v>
      </x:c>
      <x:c r="O1240" s="34" t="n">
        <x:f>-H1240</x:f>
        <x:v>-1.4359903140126151</x:v>
      </x:c>
      <x:c r="P1240" s="34" t="n">
        <x:f>-G1240</x:f>
        <x:v>-2.1402527999018766</x:v>
      </x:c>
      <x:c r="Q1240" s="34" t="n">
        <x:f>-I1240</x:f>
        <x:v>-2.3979607744859703</x:v>
      </x:c>
      <x:c r="R1240" s="36" t="n">
        <x:f>YEAR(A1240)</x:f>
        <x:v>2025</x:v>
      </x:c>
    </x:row>
    <x:row r="1241">
      <x:c r="A1241" s="30" t="n">
        <x:v>45992</x:v>
      </x:c>
      <x:c r="B1241" s="38" t="n">
        <x:v>6812.63</x:v>
      </x:c>
      <x:c r="C1241" s="34" t="n">
        <x:f>(B1241/B1240-1)*100</x:f>
        <x:v>-0.532333492478565</x:v>
      </x:c>
      <x:c r="D1241" s="34" t="n">
        <x:f>Assumptions!$B$4*D1240+(1-Assumptions!$B$4)*C1240^2</x:f>
        <x:v>0.8128296588470941</x:v>
      </x:c>
      <x:c r="E1241" s="34" t="n">
        <x:f>SQRT(D1241)</x:f>
        <x:v>0.9015706621486161</x:v>
      </x:c>
      <x:c r="F1241" s="34" t="n">
        <x:f>-Assumptions!$B$7*E1241</x:f>
        <x:v>1.4829517735881923</x:v>
      </x:c>
      <x:c r="G1241" s="34" t="n">
        <x:f>-Assumptions!$B$8*E1241</x:f>
        <x:v>2.097366993187026</x:v>
      </x:c>
      <x:c r="H1241" s="34" t="n">
        <x:f>-Assumptions!$B$9*E1241</x:f>
        <x:v>1.4072163285030688</x:v>
      </x:c>
      <x:c r="I1241" s="34" t="n">
        <x:f>-Assumptions!$B$10*E1241</x:f>
        <x:v>2.3499110850805347</x:v>
      </x:c>
      <x:c r="J1241" s="36" t="n">
        <x:f>IF(C1241&lt;-F1241,1,0)</x:f>
        <x:v>0</x:v>
      </x:c>
      <x:c r="K1241" s="36" t="n">
        <x:f>IF(C1241&lt;-G1241,1,0)</x:f>
        <x:v>0</x:v>
      </x:c>
      <x:c r="L1241" s="36" t="n">
        <x:f>IF(C1241&lt;-H1241,1,0)</x:f>
        <x:v>0</x:v>
      </x:c>
      <x:c r="M1241" s="36" t="n">
        <x:f>IF(C1241&lt;-I1241,1,0)</x:f>
        <x:v>0</x:v>
      </x:c>
      <x:c r="N1241" s="34" t="n">
        <x:f>-F1241</x:f>
        <x:v>-1.4829517735881923</x:v>
      </x:c>
      <x:c r="O1241" s="34" t="n">
        <x:f>-H1241</x:f>
        <x:v>-1.4072163285030688</x:v>
      </x:c>
      <x:c r="P1241" s="34" t="n">
        <x:f>-G1241</x:f>
        <x:v>-2.097366993187026</x:v>
      </x:c>
      <x:c r="Q1241" s="34" t="n">
        <x:f>-I1241</x:f>
        <x:v>-2.3499110850805347</x:v>
      </x:c>
      <x:c r="R1241" s="36" t="n">
        <x:f>YEAR(A1241)</x:f>
        <x:v>2025</x:v>
      </x:c>
    </x:row>
    <x:row r="1242">
      <x:c r="A1242" s="30" t="n">
        <x:v>45993</x:v>
      </x:c>
      <x:c r="B1242" s="38" t="n">
        <x:v>6829.37</x:v>
      </x:c>
      <x:c r="C1242" s="34" t="n">
        <x:f>(B1242/B1241-1)*100</x:f>
        <x:v>0.24572008167182968</x:v>
      </x:c>
      <x:c r="D1242" s="34" t="n">
        <x:f>Assumptions!$B$4*D1241+(1-Assumptions!$B$4)*C1241^2</x:f>
        <x:v>0.781062616149134</x:v>
      </x:c>
      <x:c r="E1242" s="34" t="n">
        <x:f>SQRT(D1242)</x:f>
        <x:v>0.8837774698130373</x:v>
      </x:c>
      <x:c r="F1242" s="34" t="n">
        <x:f>-Assumptions!$B$7*E1242</x:f>
        <x:v>1.4536845766399702</x:v>
      </x:c>
      <x:c r="G1242" s="34" t="n">
        <x:f>-Assumptions!$B$8*E1242</x:f>
        <x:v>2.055973838024752</x:v>
      </x:c>
      <x:c r="H1242" s="34" t="n">
        <x:f>-Assumptions!$B$9*E1242</x:f>
        <x:v>1.3794438289730266</x:v>
      </x:c>
      <x:c r="I1242" s="34" t="n">
        <x:f>-Assumptions!$B$10*E1242</x:f>
        <x:v>2.3035337774952374</x:v>
      </x:c>
      <x:c r="J1242" s="36" t="n">
        <x:f>IF(C1242&lt;-F1242,1,0)</x:f>
        <x:v>0</x:v>
      </x:c>
      <x:c r="K1242" s="36" t="n">
        <x:f>IF(C1242&lt;-G1242,1,0)</x:f>
        <x:v>0</x:v>
      </x:c>
      <x:c r="L1242" s="36" t="n">
        <x:f>IF(C1242&lt;-H1242,1,0)</x:f>
        <x:v>0</x:v>
      </x:c>
      <x:c r="M1242" s="36" t="n">
        <x:f>IF(C1242&lt;-I1242,1,0)</x:f>
        <x:v>0</x:v>
      </x:c>
      <x:c r="N1242" s="34" t="n">
        <x:f>-F1242</x:f>
        <x:v>-1.4536845766399702</x:v>
      </x:c>
      <x:c r="O1242" s="34" t="n">
        <x:f>-H1242</x:f>
        <x:v>-1.3794438289730266</x:v>
      </x:c>
      <x:c r="P1242" s="34" t="n">
        <x:f>-G1242</x:f>
        <x:v>-2.055973838024752</x:v>
      </x:c>
      <x:c r="Q1242" s="34" t="n">
        <x:f>-I1242</x:f>
        <x:v>-2.3035337774952374</x:v>
      </x:c>
      <x:c r="R1242" s="36" t="n">
        <x:f>YEAR(A1242)</x:f>
        <x:v>2025</x:v>
      </x:c>
    </x:row>
    <x:row r="1243">
      <x:c r="A1243" s="30" t="n">
        <x:v>45994</x:v>
      </x:c>
      <x:c r="B1243" s="38" t="n">
        <x:v>6849.72</x:v>
      </x:c>
      <x:c r="C1243" s="34" t="n">
        <x:f>(B1243/B1242-1)*100</x:f>
        <x:v>0.2979777051177468</x:v>
      </x:c>
      <x:c r="D1243" s="34" t="n">
        <x:f>Assumptions!$B$4*D1242+(1-Assumptions!$B$4)*C1242^2</x:f>
        <x:v>0.7378215606923946</x:v>
      </x:c>
      <x:c r="E1243" s="34" t="n">
        <x:f>SQRT(D1243)</x:f>
        <x:v>0.858965401336046</x:v>
      </x:c>
      <x:c r="F1243" s="34" t="n">
        <x:f>-Assumptions!$B$7*E1243</x:f>
        <x:v>1.4128723558134229</x:v>
      </x:c>
      <x:c r="G1243" s="34" t="n">
        <x:f>-Assumptions!$B$8*E1243</x:f>
        <x:v>1.998252335272748</x:v>
      </x:c>
      <x:c r="H1243" s="34" t="n">
        <x:f>-Assumptions!$B$9*E1243</x:f>
        <x:v>1.340715918482298</x:v>
      </x:c>
      <x:c r="I1243" s="34" t="n">
        <x:f>-Assumptions!$B$10*E1243</x:f>
        <x:v>2.238862024957389</x:v>
      </x:c>
      <x:c r="J1243" s="36" t="n">
        <x:f>IF(C1243&lt;-F1243,1,0)</x:f>
        <x:v>0</x:v>
      </x:c>
      <x:c r="K1243" s="36" t="n">
        <x:f>IF(C1243&lt;-G1243,1,0)</x:f>
        <x:v>0</x:v>
      </x:c>
      <x:c r="L1243" s="36" t="n">
        <x:f>IF(C1243&lt;-H1243,1,0)</x:f>
        <x:v>0</x:v>
      </x:c>
      <x:c r="M1243" s="36" t="n">
        <x:f>IF(C1243&lt;-I1243,1,0)</x:f>
        <x:v>0</x:v>
      </x:c>
      <x:c r="N1243" s="34" t="n">
        <x:f>-F1243</x:f>
        <x:v>-1.4128723558134229</x:v>
      </x:c>
      <x:c r="O1243" s="34" t="n">
        <x:f>-H1243</x:f>
        <x:v>-1.340715918482298</x:v>
      </x:c>
      <x:c r="P1243" s="34" t="n">
        <x:f>-G1243</x:f>
        <x:v>-1.998252335272748</x:v>
      </x:c>
      <x:c r="Q1243" s="34" t="n">
        <x:f>-I1243</x:f>
        <x:v>-2.238862024957389</x:v>
      </x:c>
      <x:c r="R1243" s="36" t="n">
        <x:f>YEAR(A1243)</x:f>
        <x:v>2025</x:v>
      </x:c>
    </x:row>
    <x:row r="1244">
      <x:c r="A1244" s="30" t="n">
        <x:v>45995</x:v>
      </x:c>
      <x:c r="B1244" s="38" t="n">
        <x:v>6857.12</x:v>
      </x:c>
      <x:c r="C1244" s="34" t="n">
        <x:f>(B1244/B1243-1)*100</x:f>
        <x:v>0.10803361305278258</x:v>
      </x:c>
      <x:c r="D1244" s="34" t="n">
        <x:f>Assumptions!$B$4*D1243+(1-Assumptions!$B$4)*C1243^2</x:f>
        <x:v>0.6988797098156851</x:v>
      </x:c>
      <x:c r="E1244" s="34" t="n">
        <x:f>SQRT(D1244)</x:f>
        <x:v>0.8359902570100235</x:v>
      </x:c>
      <x:c r="F1244" s="34" t="n">
        <x:f>-Assumptions!$B$7*E1244</x:f>
        <x:v>1.3750816063390312</x:v>
      </x:c>
      <x:c r="G1244" s="34" t="n">
        <x:f>-Assumptions!$B$8*E1244</x:f>
        <x:v>1.944804157114124</x:v>
      </x:c>
      <x:c r="H1244" s="34" t="n">
        <x:f>-Assumptions!$B$9*E1244</x:f>
        <x:v>1.3048551705646114</x:v>
      </x:c>
      <x:c r="I1244" s="34" t="n">
        <x:f>-Assumptions!$B$10*E1244</x:f>
        <x:v>2.1789781482966535</x:v>
      </x:c>
      <x:c r="J1244" s="36" t="n">
        <x:f>IF(C1244&lt;-F1244,1,0)</x:f>
        <x:v>0</x:v>
      </x:c>
      <x:c r="K1244" s="36" t="n">
        <x:f>IF(C1244&lt;-G1244,1,0)</x:f>
        <x:v>0</x:v>
      </x:c>
      <x:c r="L1244" s="36" t="n">
        <x:f>IF(C1244&lt;-H1244,1,0)</x:f>
        <x:v>0</x:v>
      </x:c>
      <x:c r="M1244" s="36" t="n">
        <x:f>IF(C1244&lt;-I1244,1,0)</x:f>
        <x:v>0</x:v>
      </x:c>
      <x:c r="N1244" s="34" t="n">
        <x:f>-F1244</x:f>
        <x:v>-1.3750816063390312</x:v>
      </x:c>
      <x:c r="O1244" s="34" t="n">
        <x:f>-H1244</x:f>
        <x:v>-1.3048551705646114</x:v>
      </x:c>
      <x:c r="P1244" s="34" t="n">
        <x:f>-G1244</x:f>
        <x:v>-1.944804157114124</x:v>
      </x:c>
      <x:c r="Q1244" s="34" t="n">
        <x:f>-I1244</x:f>
        <x:v>-2.1789781482966535</x:v>
      </x:c>
      <x:c r="R1244" s="36" t="n">
        <x:f>YEAR(A1244)</x:f>
        <x:v>2025</x:v>
      </x:c>
    </x:row>
    <x:row r="1245">
      <x:c r="A1245" s="30" t="n">
        <x:v>45996</x:v>
      </x:c>
      <x:c r="B1245" s="38" t="n">
        <x:v>6870.4</x:v>
      </x:c>
      <x:c r="C1245" s="34" t="n">
        <x:f>(B1245/B1244-1)*100</x:f>
        <x:v>0.19366731222436595</x:v>
      </x:c>
      <x:c r="D1245" s="34" t="n">
        <x:f>Assumptions!$B$4*D1244+(1-Assumptions!$B$4)*C1244^2</x:f>
        <x:v>0.6576472029196982</x:v>
      </x:c>
      <x:c r="E1245" s="34" t="n">
        <x:f>SQRT(D1245)</x:f>
        <x:v>0.810954501140291</x:v>
      </x:c>
      <x:c r="F1245" s="34" t="n">
        <x:f>-Assumptions!$B$7*E1245</x:f>
        <x:v>1.33390145249323</x:v>
      </x:c>
      <x:c r="G1245" s="34" t="n">
        <x:f>-Assumptions!$B$8*E1245</x:f>
        <x:v>1.8865622796715662</x:v>
      </x:c>
      <x:c r="H1245" s="34" t="n">
        <x:f>-Assumptions!$B$9*E1245</x:f>
        <x:v>1.2657781176663476</x:v>
      </x:c>
      <x:c r="I1245" s="34" t="n">
        <x:f>-Assumptions!$B$10*E1245</x:f>
        <x:v>2.113723362718952</x:v>
      </x:c>
      <x:c r="J1245" s="36" t="n">
        <x:f>IF(C1245&lt;-F1245,1,0)</x:f>
        <x:v>0</x:v>
      </x:c>
      <x:c r="K1245" s="36" t="n">
        <x:f>IF(C1245&lt;-G1245,1,0)</x:f>
        <x:v>0</x:v>
      </x:c>
      <x:c r="L1245" s="36" t="n">
        <x:f>IF(C1245&lt;-H1245,1,0)</x:f>
        <x:v>0</x:v>
      </x:c>
      <x:c r="M1245" s="36" t="n">
        <x:f>IF(C1245&lt;-I1245,1,0)</x:f>
        <x:v>0</x:v>
      </x:c>
      <x:c r="N1245" s="34" t="n">
        <x:f>-F1245</x:f>
        <x:v>-1.33390145249323</x:v>
      </x:c>
      <x:c r="O1245" s="34" t="n">
        <x:f>-H1245</x:f>
        <x:v>-1.2657781176663476</x:v>
      </x:c>
      <x:c r="P1245" s="34" t="n">
        <x:f>-G1245</x:f>
        <x:v>-1.8865622796715662</x:v>
      </x:c>
      <x:c r="Q1245" s="34" t="n">
        <x:f>-I1245</x:f>
        <x:v>-2.113723362718952</x:v>
      </x:c>
      <x:c r="R1245" s="36" t="n">
        <x:f>YEAR(A1245)</x:f>
        <x:v>2025</x:v>
      </x:c>
    </x:row>
    <x:row r="1246">
      <x:c r="A1246" s="30" t="n">
        <x:v>45999</x:v>
      </x:c>
      <x:c r="B1246" s="38" t="n">
        <x:v>6846.51</x:v>
      </x:c>
      <x:c r="C1246" s="34" t="n">
        <x:f>(B1246/B1245-1)*100</x:f>
        <x:v>-0.34772356776897606</x:v>
      </x:c>
      <x:c r="D1246" s="34" t="n">
        <x:f>Assumptions!$B$4*D1245+(1-Assumptions!$B$4)*C1245^2</x:f>
        <x:v>0.6204387924139688</x:v>
      </x:c>
      <x:c r="E1246" s="34" t="n">
        <x:f>SQRT(D1246)</x:f>
        <x:v>0.7876793715808285</x:v>
      </x:c>
      <x:c r="F1246" s="34" t="n">
        <x:f>-Assumptions!$B$7*E1246</x:f>
        <x:v>1.2956172712195826</x:v>
      </x:c>
      <x:c r="G1246" s="34" t="n">
        <x:f>-Assumptions!$B$8*E1246</x:f>
        <x:v>1.8324162315028854</x:v>
      </x:c>
      <x:c r="H1246" s="34" t="n">
        <x:f>-Assumptions!$B$9*E1246</x:f>
        <x:v>1.22944913787674</x:v>
      </x:c>
      <x:c r="I1246" s="34" t="n">
        <x:f>-Assumptions!$B$10*E1246</x:f>
        <x:v>2.053057585476246</x:v>
      </x:c>
      <x:c r="J1246" s="36" t="n">
        <x:f>IF(C1246&lt;-F1246,1,0)</x:f>
        <x:v>0</x:v>
      </x:c>
      <x:c r="K1246" s="36" t="n">
        <x:f>IF(C1246&lt;-G1246,1,0)</x:f>
        <x:v>0</x:v>
      </x:c>
      <x:c r="L1246" s="36" t="n">
        <x:f>IF(C1246&lt;-H1246,1,0)</x:f>
        <x:v>0</x:v>
      </x:c>
      <x:c r="M1246" s="36" t="n">
        <x:f>IF(C1246&lt;-I1246,1,0)</x:f>
        <x:v>0</x:v>
      </x:c>
      <x:c r="N1246" s="34" t="n">
        <x:f>-F1246</x:f>
        <x:v>-1.2956172712195826</x:v>
      </x:c>
      <x:c r="O1246" s="34" t="n">
        <x:f>-H1246</x:f>
        <x:v>-1.22944913787674</x:v>
      </x:c>
      <x:c r="P1246" s="34" t="n">
        <x:f>-G1246</x:f>
        <x:v>-1.8324162315028854</x:v>
      </x:c>
      <x:c r="Q1246" s="34" t="n">
        <x:f>-I1246</x:f>
        <x:v>-2.053057585476246</x:v>
      </x:c>
      <x:c r="R1246" s="36" t="n">
        <x:f>YEAR(A1246)</x:f>
        <x:v>2025</x:v>
      </x:c>
    </x:row>
    <x:row r="1247">
      <x:c r="A1247" s="30" t="n">
        <x:v>46000</x:v>
      </x:c>
      <x:c r="B1247" s="38" t="n">
        <x:v>6840.51</x:v>
      </x:c>
      <x:c r="C1247" s="34" t="n">
        <x:f>(B1247/B1246-1)*100</x:f>
        <x:v>-0.08763589040255981</x:v>
      </x:c>
      <x:c r="D1247" s="34" t="n">
        <x:f>Assumptions!$B$4*D1246+(1-Assumptions!$B$4)*C1246^2</x:f>
        <x:v>0.5904671656440499</x:v>
      </x:c>
      <x:c r="E1247" s="34" t="n">
        <x:f>SQRT(D1247)</x:f>
        <x:v>0.7684186135460606</x:v>
      </x:c>
      <x:c r="F1247" s="34" t="n">
        <x:f>-Assumptions!$B$7*E1247</x:f>
        <x:v>1.26393614350826</x:v>
      </x:c>
      <x:c r="G1247" s="34" t="n">
        <x:f>-Assumptions!$B$8*E1247</x:f>
        <x:v>1.787609007996288</x:v>
      </x:c>
      <x:c r="H1247" s="34" t="n">
        <x:f>-Assumptions!$B$9*E1247</x:f>
        <x:v>1.199385988814993</x:v>
      </x:c>
      <x:c r="I1247" s="34" t="n">
        <x:f>-Assumptions!$B$10*E1247</x:f>
        <x:v>2.00285512136202</x:v>
      </x:c>
      <x:c r="J1247" s="36" t="n">
        <x:f>IF(C1247&lt;-F1247,1,0)</x:f>
        <x:v>0</x:v>
      </x:c>
      <x:c r="K1247" s="36" t="n">
        <x:f>IF(C1247&lt;-G1247,1,0)</x:f>
        <x:v>0</x:v>
      </x:c>
      <x:c r="L1247" s="36" t="n">
        <x:f>IF(C1247&lt;-H1247,1,0)</x:f>
        <x:v>0</x:v>
      </x:c>
      <x:c r="M1247" s="36" t="n">
        <x:f>IF(C1247&lt;-I1247,1,0)</x:f>
        <x:v>0</x:v>
      </x:c>
      <x:c r="N1247" s="34" t="n">
        <x:f>-F1247</x:f>
        <x:v>-1.26393614350826</x:v>
      </x:c>
      <x:c r="O1247" s="34" t="n">
        <x:f>-H1247</x:f>
        <x:v>-1.199385988814993</x:v>
      </x:c>
      <x:c r="P1247" s="34" t="n">
        <x:f>-G1247</x:f>
        <x:v>-1.787609007996288</x:v>
      </x:c>
      <x:c r="Q1247" s="34" t="n">
        <x:f>-I1247</x:f>
        <x:v>-2.00285512136202</x:v>
      </x:c>
      <x:c r="R1247" s="36" t="n">
        <x:f>YEAR(A1247)</x:f>
        <x:v>2025</x:v>
      </x:c>
    </x:row>
    <x:row r="1248">
      <x:c r="A1248" s="30" t="n">
        <x:v>46001</x:v>
      </x:c>
      <x:c r="B1248" s="38" t="n">
        <x:v>6886.68</x:v>
      </x:c>
      <x:c r="C1248" s="34" t="n">
        <x:f>(B1248/B1247-1)*100</x:f>
        <x:v>0.6749496748049477</x:v>
      </x:c>
      <x:c r="D1248" s="34" t="n">
        <x:f>Assumptions!$B$4*D1247+(1-Assumptions!$B$4)*C1247^2</x:f>
        <x:v>0.5554999386626058</x:v>
      </x:c>
      <x:c r="E1248" s="34" t="n">
        <x:f>SQRT(D1248)</x:f>
        <x:v>0.7453186826201298</x:v>
      </x:c>
      <x:c r="F1248" s="34" t="n">
        <x:f>-Assumptions!$B$7*E1248</x:f>
        <x:v>1.2259401383424142</x:v>
      </x:c>
      <x:c r="G1248" s="34" t="n">
        <x:f>-Assumptions!$B$8*E1248</x:f>
        <x:v>1.7338705327962587</x:v>
      </x:c>
      <x:c r="H1248" s="34" t="n">
        <x:f>-Assumptions!$B$9*E1248</x:f>
        <x:v>1.1633304677659901</x:v>
      </x:c>
      <x:c r="I1248" s="34" t="n">
        <x:f>-Assumptions!$B$10*E1248</x:f>
        <x:v>1.9426459929748194</x:v>
      </x:c>
      <x:c r="J1248" s="36" t="n">
        <x:f>IF(C1248&lt;-F1248,1,0)</x:f>
        <x:v>0</x:v>
      </x:c>
      <x:c r="K1248" s="36" t="n">
        <x:f>IF(C1248&lt;-G1248,1,0)</x:f>
        <x:v>0</x:v>
      </x:c>
      <x:c r="L1248" s="36" t="n">
        <x:f>IF(C1248&lt;-H1248,1,0)</x:f>
        <x:v>0</x:v>
      </x:c>
      <x:c r="M1248" s="36" t="n">
        <x:f>IF(C1248&lt;-I1248,1,0)</x:f>
        <x:v>0</x:v>
      </x:c>
      <x:c r="N1248" s="34" t="n">
        <x:f>-F1248</x:f>
        <x:v>-1.2259401383424142</x:v>
      </x:c>
      <x:c r="O1248" s="34" t="n">
        <x:f>-H1248</x:f>
        <x:v>-1.1633304677659901</x:v>
      </x:c>
      <x:c r="P1248" s="34" t="n">
        <x:f>-G1248</x:f>
        <x:v>-1.7338705327962587</x:v>
      </x:c>
      <x:c r="Q1248" s="34" t="n">
        <x:f>-I1248</x:f>
        <x:v>-1.9426459929748194</x:v>
      </x:c>
      <x:c r="R1248" s="36" t="n">
        <x:f>YEAR(A1248)</x:f>
        <x:v>2025</x:v>
      </x:c>
    </x:row>
    <x:row r="1249">
      <x:c r="A1249" s="30" t="n">
        <x:v>46002</x:v>
      </x:c>
      <x:c r="B1249" s="38" t="n">
        <x:v>6901</x:v>
      </x:c>
      <x:c r="C1249" s="34" t="n">
        <x:f>(B1249/B1248-1)*100</x:f>
        <x:v>0.20793764194066977</x:v>
      </x:c>
      <x:c r="D1249" s="34" t="n">
        <x:f>Assumptions!$B$4*D1248+(1-Assumptions!$B$4)*C1248^2</x:f>
        <x:v>0.5495033661540077</x:v>
      </x:c>
      <x:c r="E1249" s="34" t="n">
        <x:f>SQRT(D1249)</x:f>
        <x:v>0.7412849426192385</x:v>
      </x:c>
      <x:c r="F1249" s="34" t="n">
        <x:f>-Assumptions!$B$7*E1249</x:f>
        <x:v>1.219305226471769</x:v>
      </x:c>
      <x:c r="G1249" s="34" t="n">
        <x:f>-Assumptions!$B$8*E1249</x:f>
        <x:v>1.7244866503207519</x:v>
      </x:c>
      <x:c r="H1249" s="34" t="n">
        <x:f>-Assumptions!$B$9*E1249</x:f>
        <x:v>1.1570344057572037</x:v>
      </x:c>
      <x:c r="I1249" s="34" t="n">
        <x:f>-Assumptions!$B$10*E1249</x:f>
        <x:v>1.9321321966187612</x:v>
      </x:c>
      <x:c r="J1249" s="36" t="n">
        <x:f>IF(C1249&lt;-F1249,1,0)</x:f>
        <x:v>0</x:v>
      </x:c>
      <x:c r="K1249" s="36" t="n">
        <x:f>IF(C1249&lt;-G1249,1,0)</x:f>
        <x:v>0</x:v>
      </x:c>
      <x:c r="L1249" s="36" t="n">
        <x:f>IF(C1249&lt;-H1249,1,0)</x:f>
        <x:v>0</x:v>
      </x:c>
      <x:c r="M1249" s="36" t="n">
        <x:f>IF(C1249&lt;-I1249,1,0)</x:f>
        <x:v>0</x:v>
      </x:c>
      <x:c r="N1249" s="34" t="n">
        <x:f>-F1249</x:f>
        <x:v>-1.219305226471769</x:v>
      </x:c>
      <x:c r="O1249" s="34" t="n">
        <x:f>-H1249</x:f>
        <x:v>-1.1570344057572037</x:v>
      </x:c>
      <x:c r="P1249" s="34" t="n">
        <x:f>-G1249</x:f>
        <x:v>-1.7244866503207519</x:v>
      </x:c>
      <x:c r="Q1249" s="34" t="n">
        <x:f>-I1249</x:f>
        <x:v>-1.9321321966187612</x:v>
      </x:c>
      <x:c r="R1249" s="36" t="n">
        <x:f>YEAR(A1249)</x:f>
        <x:v>2025</x:v>
      </x:c>
    </x:row>
    <x:row r="1250">
      <x:c r="A1250" s="30" t="n">
        <x:v>46003</x:v>
      </x:c>
      <x:c r="B1250" s="38" t="n">
        <x:v>6827.41</x:v>
      </x:c>
      <x:c r="C1250" s="34" t="n">
        <x:f>(B1250/B1249-1)*100</x:f>
        <x:v>-1.0663671931604113</x:v>
      </x:c>
      <x:c r="D1250" s="34" t="n">
        <x:f>Assumptions!$B$4*D1249+(1-Assumptions!$B$4)*C1249^2</x:f>
        <x:v>0.519127447960918</x:v>
      </x:c>
      <x:c r="E1250" s="34" t="n">
        <x:f>SQRT(D1250)</x:f>
        <x:v>0.7205049950978258</x:v>
      </x:c>
      <x:c r="F1250" s="34" t="n">
        <x:f>-Assumptions!$B$7*E1250</x:f>
        <x:v>1.185125254423312</x:v>
      </x:c>
      <x:c r="G1250" s="34" t="n">
        <x:f>-Assumptions!$B$8*E1250</x:f>
        <x:v>1.6761452635816332</x:v>
      </x:c>
      <x:c r="H1250" s="34" t="n">
        <x:f>-Assumptions!$B$9*E1250</x:f>
        <x:v>1.1246000301888155</x:v>
      </x:c>
      <x:c r="I1250" s="34" t="n">
        <x:f>-Assumptions!$B$10*E1250</x:f>
        <x:v>1.8779700204543488</x:v>
      </x:c>
      <x:c r="J1250" s="36" t="n">
        <x:f>IF(C1250&lt;-F1250,1,0)</x:f>
        <x:v>0</x:v>
      </x:c>
      <x:c r="K1250" s="36" t="n">
        <x:f>IF(C1250&lt;-G1250,1,0)</x:f>
        <x:v>0</x:v>
      </x:c>
      <x:c r="L1250" s="36" t="n">
        <x:f>IF(C1250&lt;-H1250,1,0)</x:f>
        <x:v>0</x:v>
      </x:c>
      <x:c r="M1250" s="36" t="n">
        <x:f>IF(C1250&lt;-I1250,1,0)</x:f>
        <x:v>0</x:v>
      </x:c>
      <x:c r="N1250" s="34" t="n">
        <x:f>-F1250</x:f>
        <x:v>-1.185125254423312</x:v>
      </x:c>
      <x:c r="O1250" s="34" t="n">
        <x:f>-H1250</x:f>
        <x:v>-1.1246000301888155</x:v>
      </x:c>
      <x:c r="P1250" s="34" t="n">
        <x:f>-G1250</x:f>
        <x:v>-1.6761452635816332</x:v>
      </x:c>
      <x:c r="Q1250" s="34" t="n">
        <x:f>-I1250</x:f>
        <x:v>-1.8779700204543488</x:v>
      </x:c>
      <x:c r="R1250" s="36" t="n">
        <x:f>YEAR(A1250)</x:f>
        <x:v>2025</x:v>
      </x:c>
    </x:row>
    <x:row r="1251">
      <x:c r="A1251" s="30" t="n">
        <x:v>46006</x:v>
      </x:c>
      <x:c r="B1251" s="38" t="n">
        <x:v>6816.51</x:v>
      </x:c>
      <x:c r="C1251" s="34" t="n">
        <x:f>(B1251/B1250-1)*100</x:f>
        <x:v>-0.15965058492165562</x:v>
      </x:c>
      <x:c r="D1251" s="34" t="n">
        <x:f>Assumptions!$B$4*D1250+(1-Assumptions!$B$4)*C1250^2</x:f>
        <x:v>0.5562081405221918</x:v>
      </x:c>
      <x:c r="E1251" s="34" t="n">
        <x:f>SQRT(D1251)</x:f>
        <x:v>0.7457936313231642</x:v>
      </x:c>
      <x:c r="F1251" s="34" t="n">
        <x:f>-Assumptions!$B$7*E1251</x:f>
        <x:v>1.2267213594392163</x:v>
      </x:c>
      <x:c r="G1251" s="34" t="n">
        <x:f>-Assumptions!$B$8*E1251</x:f>
        <x:v>1.7349754287018413</x:v>
      </x:c>
      <x:c r="H1251" s="34" t="n">
        <x:f>-Assumptions!$B$9*E1251</x:f>
        <x:v>1.1640717913229464</x:v>
      </x:c>
      <x:c r="I1251" s="34" t="n">
        <x:f>-Assumptions!$B$10*E1251</x:f>
        <x:v>1.9438839294660597</x:v>
      </x:c>
      <x:c r="J1251" s="36" t="n">
        <x:f>IF(C1251&lt;-F1251,1,0)</x:f>
        <x:v>0</x:v>
      </x:c>
      <x:c r="K1251" s="36" t="n">
        <x:f>IF(C1251&lt;-G1251,1,0)</x:f>
        <x:v>0</x:v>
      </x:c>
      <x:c r="L1251" s="36" t="n">
        <x:f>IF(C1251&lt;-H1251,1,0)</x:f>
        <x:v>0</x:v>
      </x:c>
      <x:c r="M1251" s="36" t="n">
        <x:f>IF(C1251&lt;-I1251,1,0)</x:f>
        <x:v>0</x:v>
      </x:c>
      <x:c r="N1251" s="34" t="n">
        <x:f>-F1251</x:f>
        <x:v>-1.2267213594392163</x:v>
      </x:c>
      <x:c r="O1251" s="34" t="n">
        <x:f>-H1251</x:f>
        <x:v>-1.1640717913229464</x:v>
      </x:c>
      <x:c r="P1251" s="34" t="n">
        <x:f>-G1251</x:f>
        <x:v>-1.7349754287018413</x:v>
      </x:c>
      <x:c r="Q1251" s="34" t="n">
        <x:f>-I1251</x:f>
        <x:v>-1.9438839294660597</x:v>
      </x:c>
      <x:c r="R1251" s="36" t="n">
        <x:f>YEAR(A1251)</x:f>
        <x:v>2025</x:v>
      </x:c>
    </x:row>
    <x:row r="1252">
      <x:c r="A1252" s="30" t="n">
        <x:v>46007</x:v>
      </x:c>
      <x:c r="B1252" s="38" t="n">
        <x:v>6800.26</x:v>
      </x:c>
      <x:c r="C1252" s="34" t="n">
        <x:f>(B1252/B1251-1)*100</x:f>
        <x:v>-0.23839178699950336</x:v>
      </x:c>
      <x:c r="D1252" s="34" t="n">
        <x:f>Assumptions!$B$4*D1251+(1-Assumptions!$B$4)*C1251^2</x:f>
        <x:v>0.5243649506468099</x:v>
      </x:c>
      <x:c r="E1252" s="34" t="n">
        <x:f>SQRT(D1252)</x:f>
        <x:v>0.7241304790207425</x:v>
      </x:c>
      <x:c r="F1252" s="34" t="n">
        <x:f>-Assumptions!$B$7*E1252</x:f>
        <x:v>1.1910886448033757</x:v>
      </x:c>
      <x:c r="G1252" s="34" t="n">
        <x:f>-Assumptions!$B$8*E1252</x:f>
        <x:v>1.6845794003980796</x:v>
      </x:c>
      <x:c r="H1252" s="34" t="n">
        <x:f>-Assumptions!$B$9*E1252</x:f>
        <x:v>1.1302588658067525</x:v>
      </x:c>
      <x:c r="I1252" s="34" t="n">
        <x:f>-Assumptions!$B$10*E1252</x:f>
        <x:v>1.8874197122166552</x:v>
      </x:c>
      <x:c r="J1252" s="36" t="n">
        <x:f>IF(C1252&lt;-F1252,1,0)</x:f>
        <x:v>0</x:v>
      </x:c>
      <x:c r="K1252" s="36" t="n">
        <x:f>IF(C1252&lt;-G1252,1,0)</x:f>
        <x:v>0</x:v>
      </x:c>
      <x:c r="L1252" s="36" t="n">
        <x:f>IF(C1252&lt;-H1252,1,0)</x:f>
        <x:v>0</x:v>
      </x:c>
      <x:c r="M1252" s="36" t="n">
        <x:f>IF(C1252&lt;-I1252,1,0)</x:f>
        <x:v>0</x:v>
      </x:c>
      <x:c r="N1252" s="34" t="n">
        <x:f>-F1252</x:f>
        <x:v>-1.1910886448033757</x:v>
      </x:c>
      <x:c r="O1252" s="34" t="n">
        <x:f>-H1252</x:f>
        <x:v>-1.1302588658067525</x:v>
      </x:c>
      <x:c r="P1252" s="34" t="n">
        <x:f>-G1252</x:f>
        <x:v>-1.6845794003980796</x:v>
      </x:c>
      <x:c r="Q1252" s="34" t="n">
        <x:f>-I1252</x:f>
        <x:v>-1.8874197122166552</x:v>
      </x:c>
      <x:c r="R1252" s="36" t="n">
        <x:f>YEAR(A1252)</x:f>
        <x:v>2025</x:v>
      </x:c>
    </x:row>
    <x:row r="1253">
      <x:c r="A1253" s="30" t="n">
        <x:v>46008</x:v>
      </x:c>
      <x:c r="B1253" s="38" t="n">
        <x:v>6721.43</x:v>
      </x:c>
      <x:c r="C1253" s="34" t="n">
        <x:f>(B1253/B1252-1)*100</x:f>
        <x:v>-1.1592203827500702</x:v>
      </x:c>
      <x:c r="D1253" s="34" t="n">
        <x:f>Assumptions!$B$4*D1252+(1-Assumptions!$B$4)*C1252^2</x:f>
        <x:v>0.49631289225453024</x:v>
      </x:c>
      <x:c r="E1253" s="34" t="n">
        <x:f>SQRT(D1253)</x:f>
        <x:v>0.7044947780179284</x:v>
      </x:c>
      <x:c r="F1253" s="34" t="n">
        <x:f>-Assumptions!$B$7*E1253</x:f>
        <x:v>1.1587907907911623</x:v>
      </x:c>
      <x:c r="G1253" s="34" t="n">
        <x:f>-Assumptions!$B$8*E1253</x:f>
        <x:v>1.6388999291148814</x:v>
      </x:c>
      <x:c r="H1253" s="34" t="n">
        <x:f>-Assumptions!$B$9*E1253</x:f>
        <x:v>1.0996104871129377</x:v>
      </x:c>
      <x:c r="I1253" s="34" t="n">
        <x:f>-Assumptions!$B$10*E1253</x:f>
        <x:v>1.8362399729160503</x:v>
      </x:c>
      <x:c r="J1253" s="36" t="n">
        <x:f>IF(C1253&lt;-F1253,1,0)</x:f>
        <x:v>1</x:v>
      </x:c>
      <x:c r="K1253" s="36" t="n">
        <x:f>IF(C1253&lt;-G1253,1,0)</x:f>
        <x:v>0</x:v>
      </x:c>
      <x:c r="L1253" s="36" t="n">
        <x:f>IF(C1253&lt;-H1253,1,0)</x:f>
        <x:v>1</x:v>
      </x:c>
      <x:c r="M1253" s="36" t="n">
        <x:f>IF(C1253&lt;-I1253,1,0)</x:f>
        <x:v>0</x:v>
      </x:c>
      <x:c r="N1253" s="34" t="n">
        <x:f>-F1253</x:f>
        <x:v>-1.1587907907911623</x:v>
      </x:c>
      <x:c r="O1253" s="34" t="n">
        <x:f>-H1253</x:f>
        <x:v>-1.0996104871129377</x:v>
      </x:c>
      <x:c r="P1253" s="34" t="n">
        <x:f>-G1253</x:f>
        <x:v>-1.6388999291148814</x:v>
      </x:c>
      <x:c r="Q1253" s="34" t="n">
        <x:f>-I1253</x:f>
        <x:v>-1.8362399729160503</x:v>
      </x:c>
      <x:c r="R1253" s="36" t="n">
        <x:f>YEAR(A1253)</x:f>
        <x:v>2025</x:v>
      </x:c>
    </x:row>
    <x:row r="1254">
      <x:c r="A1254" s="30" t="n">
        <x:v>46009</x:v>
      </x:c>
      <x:c r="B1254" s="38" t="n">
        <x:v>6774.76</x:v>
      </x:c>
      <x:c r="C1254" s="34" t="n">
        <x:f>(B1254/B1253-1)*100</x:f>
        <x:v>0.7934323499612317</x:v>
      </x:c>
      <x:c r="D1254" s="34" t="n">
        <x:f>Assumptions!$B$4*D1253+(1-Assumptions!$B$4)*C1253^2</x:f>
        <x:v>0.5471616324662516</x:v>
      </x:c>
      <x:c r="E1254" s="34" t="n">
        <x:f>SQRT(D1254)</x:f>
        <x:v>0.7397037464189644</x:v>
      </x:c>
      <x:c r="F1254" s="34" t="n">
        <x:f>-Assumptions!$B$7*E1254</x:f>
        <x:v>1.2167043901668262</x:v>
      </x:c>
      <x:c r="G1254" s="34" t="n">
        <x:f>-Assumptions!$B$8*E1254</x:f>
        <x:v>1.7208082379018028</x:v>
      </x:c>
      <x:c r="H1254" s="34" t="n">
        <x:f>-Assumptions!$B$9*E1254</x:f>
        <x:v>1.1545663960880672</x:v>
      </x:c>
      <x:c r="I1254" s="34" t="n">
        <x:f>-Assumptions!$B$10*E1254</x:f>
        <x:v>1.928010866328514</x:v>
      </x:c>
      <x:c r="J1254" s="36" t="n">
        <x:f>IF(C1254&lt;-F1254,1,0)</x:f>
        <x:v>0</x:v>
      </x:c>
      <x:c r="K1254" s="36" t="n">
        <x:f>IF(C1254&lt;-G1254,1,0)</x:f>
        <x:v>0</x:v>
      </x:c>
      <x:c r="L1254" s="36" t="n">
        <x:f>IF(C1254&lt;-H1254,1,0)</x:f>
        <x:v>0</x:v>
      </x:c>
      <x:c r="M1254" s="36" t="n">
        <x:f>IF(C1254&lt;-I1254,1,0)</x:f>
        <x:v>0</x:v>
      </x:c>
      <x:c r="N1254" s="34" t="n">
        <x:f>-F1254</x:f>
        <x:v>-1.2167043901668262</x:v>
      </x:c>
      <x:c r="O1254" s="34" t="n">
        <x:f>-H1254</x:f>
        <x:v>-1.1545663960880672</x:v>
      </x:c>
      <x:c r="P1254" s="34" t="n">
        <x:f>-G1254</x:f>
        <x:v>-1.7208082379018028</x:v>
      </x:c>
      <x:c r="Q1254" s="34" t="n">
        <x:f>-I1254</x:f>
        <x:v>-1.928010866328514</x:v>
      </x:c>
      <x:c r="R1254" s="36" t="n">
        <x:f>YEAR(A1254)</x:f>
        <x:v>2025</x:v>
      </x:c>
    </x:row>
    <x:row r="1255">
      <x:c r="A1255" s="30" t="n">
        <x:v>46010</x:v>
      </x:c>
      <x:c r="B1255" s="38" t="n">
        <x:v>6834.5</x:v>
      </x:c>
      <x:c r="C1255" s="34" t="n">
        <x:f>(B1255/B1254-1)*100</x:f>
        <x:v>0.8818024549947179</x:v>
      </x:c>
      <x:c r="D1255" s="34" t="n">
        <x:f>Assumptions!$B$4*D1254+(1-Assumptions!$B$4)*C1254^2</x:f>
        <x:v>0.5521040281561767</x:v>
      </x:c>
      <x:c r="E1255" s="34" t="n">
        <x:f>SQRT(D1255)</x:f>
        <x:v>0.7430370301379176</x:v>
      </x:c>
      <x:c r="F1255" s="34" t="n">
        <x:f>-Assumptions!$B$7*E1255</x:f>
        <x:v>1.2221871539816045</x:v>
      </x:c>
      <x:c r="G1255" s="34" t="n">
        <x:f>-Assumptions!$B$8*E1255</x:f>
        <x:v>1.7285626153949643</x:v>
      </x:c>
      <x:c r="H1255" s="34" t="n">
        <x:f>-Assumptions!$B$9*E1255</x:f>
        <x:v>1.1597691510952737</x:v>
      </x:c>
      <x:c r="I1255" s="34" t="n">
        <x:f>-Assumptions!$B$10*E1255</x:f>
        <x:v>1.9366989489045587</x:v>
      </x:c>
      <x:c r="J1255" s="36" t="n">
        <x:f>IF(C1255&lt;-F1255,1,0)</x:f>
        <x:v>0</x:v>
      </x:c>
      <x:c r="K1255" s="36" t="n">
        <x:f>IF(C1255&lt;-G1255,1,0)</x:f>
        <x:v>0</x:v>
      </x:c>
      <x:c r="L1255" s="36" t="n">
        <x:f>IF(C1255&lt;-H1255,1,0)</x:f>
        <x:v>0</x:v>
      </x:c>
      <x:c r="M1255" s="36" t="n">
        <x:f>IF(C1255&lt;-I1255,1,0)</x:f>
        <x:v>0</x:v>
      </x:c>
      <x:c r="N1255" s="34" t="n">
        <x:f>-F1255</x:f>
        <x:v>-1.2221871539816045</x:v>
      </x:c>
      <x:c r="O1255" s="34" t="n">
        <x:f>-H1255</x:f>
        <x:v>-1.1597691510952737</x:v>
      </x:c>
      <x:c r="P1255" s="34" t="n">
        <x:f>-G1255</x:f>
        <x:v>-1.7285626153949643</x:v>
      </x:c>
      <x:c r="Q1255" s="34" t="n">
        <x:f>-I1255</x:f>
        <x:v>-1.9366989489045587</x:v>
      </x:c>
      <x:c r="R1255" s="36" t="n">
        <x:f>YEAR(A1255)</x:f>
        <x:v>2025</x:v>
      </x:c>
    </x:row>
    <x:row r="1256">
      <x:c r="A1256" s="30" t="n">
        <x:v>46013</x:v>
      </x:c>
      <x:c r="B1256" s="38" t="n">
        <x:v>6878.49</x:v>
      </x:c>
      <x:c r="C1256" s="34" t="n">
        <x:f>(B1256/B1255-1)*100</x:f>
        <x:v>0.6436462067451965</x:v>
      </x:c>
      <x:c r="D1256" s="34" t="n">
        <x:f>Assumptions!$B$4*D1255+(1-Assumptions!$B$4)*C1255^2</x:f>
        <x:v>0.5656323206448888</x:v>
      </x:c>
      <x:c r="E1256" s="34" t="n">
        <x:f>SQRT(D1256)</x:f>
        <x:v>0.7520853147382209</x:v>
      </x:c>
      <x:c r="F1256" s="34" t="n">
        <x:f>-Assumptions!$B$7*E1256</x:f>
        <x:v>1.2370702577241026</x:v>
      </x:c>
      <x:c r="G1256" s="34" t="n">
        <x:f>-Assumptions!$B$8*E1256</x:f>
        <x:v>1.7496120730385964</x:v>
      </x:c>
      <x:c r="H1256" s="34" t="n">
        <x:f>-Assumptions!$B$9*E1256</x:f>
        <x:v>1.1738921637098867</x:v>
      </x:c>
      <x:c r="I1256" s="34" t="n">
        <x:f>-Assumptions!$B$10*E1256</x:f>
        <x:v>1.960282973070278</x:v>
      </x:c>
      <x:c r="J1256" s="36" t="n">
        <x:f>IF(C1256&lt;-F1256,1,0)</x:f>
        <x:v>0</x:v>
      </x:c>
      <x:c r="K1256" s="36" t="n">
        <x:f>IF(C1256&lt;-G1256,1,0)</x:f>
        <x:v>0</x:v>
      </x:c>
      <x:c r="L1256" s="36" t="n">
        <x:f>IF(C1256&lt;-H1256,1,0)</x:f>
        <x:v>0</x:v>
      </x:c>
      <x:c r="M1256" s="36" t="n">
        <x:f>IF(C1256&lt;-I1256,1,0)</x:f>
        <x:v>0</x:v>
      </x:c>
      <x:c r="N1256" s="34" t="n">
        <x:f>-F1256</x:f>
        <x:v>-1.2370702577241026</x:v>
      </x:c>
      <x:c r="O1256" s="34" t="n">
        <x:f>-H1256</x:f>
        <x:v>-1.1738921637098867</x:v>
      </x:c>
      <x:c r="P1256" s="34" t="n">
        <x:f>-G1256</x:f>
        <x:v>-1.7496120730385964</x:v>
      </x:c>
      <x:c r="Q1256" s="34" t="n">
        <x:f>-I1256</x:f>
        <x:v>-1.960282973070278</x:v>
      </x:c>
      <x:c r="R1256" s="36" t="n">
        <x:f>YEAR(A1256)</x:f>
        <x:v>2025</x:v>
      </x:c>
    </x:row>
    <x:row r="1257">
      <x:c r="A1257" s="30" t="n">
        <x:v>46014</x:v>
      </x:c>
      <x:c r="B1257" s="38" t="n">
        <x:v>6909.79</x:v>
      </x:c>
      <x:c r="C1257" s="34" t="n">
        <x:f>(B1257/B1256-1)*100</x:f>
        <x:v>0.4550417315428268</x:v>
      </x:c>
      <x:c r="D1257" s="34" t="n">
        <x:f>Assumptions!$B$4*D1256+(1-Assumptions!$B$4)*C1256^2</x:f>
        <x:v>0.5565512077736442</x:v>
      </x:c>
      <x:c r="E1257" s="34" t="n">
        <x:f>SQRT(D1257)</x:f>
        <x:v>0.7460235973303018</x:v>
      </x:c>
      <x:c r="F1257" s="34" t="n">
        <x:f>-Assumptions!$B$7*E1257</x:f>
        <x:v>1.227099619860132</x:v>
      </x:c>
      <x:c r="G1257" s="34" t="n">
        <x:f>-Assumptions!$B$8*E1257</x:f>
        <x:v>1.7355104096336473</x:v>
      </x:c>
      <x:c r="H1257" s="34" t="n">
        <x:f>-Assumptions!$B$9*E1257</x:f>
        <x:v>1.164430733704094</x:v>
      </x:c>
      <x:c r="I1257" s="34" t="n">
        <x:f>-Assumptions!$B$10*E1257</x:f>
        <x:v>1.9444833274855962</x:v>
      </x:c>
      <x:c r="J1257" s="36" t="n">
        <x:f>IF(C1257&lt;-F1257,1,0)</x:f>
        <x:v>0</x:v>
      </x:c>
      <x:c r="K1257" s="36" t="n">
        <x:f>IF(C1257&lt;-G1257,1,0)</x:f>
        <x:v>0</x:v>
      </x:c>
      <x:c r="L1257" s="36" t="n">
        <x:f>IF(C1257&lt;-H1257,1,0)</x:f>
        <x:v>0</x:v>
      </x:c>
      <x:c r="M1257" s="36" t="n">
        <x:f>IF(C1257&lt;-I1257,1,0)</x:f>
        <x:v>0</x:v>
      </x:c>
      <x:c r="N1257" s="34" t="n">
        <x:f>-F1257</x:f>
        <x:v>-1.227099619860132</x:v>
      </x:c>
      <x:c r="O1257" s="34" t="n">
        <x:f>-H1257</x:f>
        <x:v>-1.164430733704094</x:v>
      </x:c>
      <x:c r="P1257" s="34" t="n">
        <x:f>-G1257</x:f>
        <x:v>-1.7355104096336473</x:v>
      </x:c>
      <x:c r="Q1257" s="34" t="n">
        <x:f>-I1257</x:f>
        <x:v>-1.9444833274855962</x:v>
      </x:c>
      <x:c r="R1257" s="36" t="n">
        <x:f>YEAR(A1257)</x:f>
        <x:v>2025</x:v>
      </x:c>
    </x:row>
    <x:row r="1258">
      <x:c r="A1258" s="30" t="n">
        <x:v>46015</x:v>
      </x:c>
      <x:c r="B1258" s="38" t="n">
        <x:v>6932.05</x:v>
      </x:c>
      <x:c r="C1258" s="34" t="n">
        <x:f>(B1258/B1257-1)*100</x:f>
        <x:v>0.32215161386959235</x:v>
      </x:c>
      <x:c r="D1258" s="34" t="n">
        <x:f>Assumptions!$B$4*D1257+(1-Assumptions!$B$4)*C1257^2</x:f>
        <x:v>0.5355819139539552</x:v>
      </x:c>
      <x:c r="E1258" s="34" t="n">
        <x:f>SQRT(D1258)</x:f>
        <x:v>0.7318346219973165</x:v>
      </x:c>
      <x:c r="F1258" s="34" t="n">
        <x:f>-Assumptions!$B$7*E1258</x:f>
        <x:v>1.2037608323209463</x:v>
      </x:c>
      <x:c r="G1258" s="34" t="n">
        <x:f>-Assumptions!$B$8*E1258</x:f>
        <x:v>1.7025019170329392</x:v>
      </x:c>
      <x:c r="H1258" s="34" t="n">
        <x:f>-Assumptions!$B$9*E1258</x:f>
        <x:v>1.1422838753250526</x:v>
      </x:c>
      <x:c r="I1258" s="34" t="n">
        <x:f>-Assumptions!$B$10*E1258</x:f>
        <x:v>1.9075002802095746</x:v>
      </x:c>
      <x:c r="J1258" s="36" t="n">
        <x:f>IF(C1258&lt;-F1258,1,0)</x:f>
        <x:v>0</x:v>
      </x:c>
      <x:c r="K1258" s="36" t="n">
        <x:f>IF(C1258&lt;-G1258,1,0)</x:f>
        <x:v>0</x:v>
      </x:c>
      <x:c r="L1258" s="36" t="n">
        <x:f>IF(C1258&lt;-H1258,1,0)</x:f>
        <x:v>0</x:v>
      </x:c>
      <x:c r="M1258" s="36" t="n">
        <x:f>IF(C1258&lt;-I1258,1,0)</x:f>
        <x:v>0</x:v>
      </x:c>
      <x:c r="N1258" s="34" t="n">
        <x:f>-F1258</x:f>
        <x:v>-1.2037608323209463</x:v>
      </x:c>
      <x:c r="O1258" s="34" t="n">
        <x:f>-H1258</x:f>
        <x:v>-1.1422838753250526</x:v>
      </x:c>
      <x:c r="P1258" s="34" t="n">
        <x:f>-G1258</x:f>
        <x:v>-1.7025019170329392</x:v>
      </x:c>
      <x:c r="Q1258" s="34" t="n">
        <x:f>-I1258</x:f>
        <x:v>-1.9075002802095746</x:v>
      </x:c>
      <x:c r="R1258" s="36" t="n">
        <x:f>YEAR(A1258)</x:f>
        <x:v>2025</x:v>
      </x:c>
    </x:row>
    <x:row r="1259">
      <x:c r="A1259" s="30" t="n">
        <x:v>46017</x:v>
      </x:c>
      <x:c r="B1259" s="38" t="n">
        <x:v>6929.94</x:v>
      </x:c>
      <x:c r="C1259" s="34" t="n">
        <x:f>(B1259/B1258-1)*100</x:f>
        <x:v>-0.03043832632483312</x:v>
      </x:c>
      <x:c r="D1259" s="34" t="n">
        <x:f>Assumptions!$B$4*D1258+(1-Assumptions!$B$4)*C1258^2</x:f>
        <x:v>0.5096738988558448</x:v>
      </x:c>
      <x:c r="E1259" s="34" t="n">
        <x:f>SQRT(D1259)</x:f>
        <x:v>0.7139144898766552</x:v>
      </x:c>
      <x:c r="F1259" s="34" t="n">
        <x:f>-Assumptions!$B$7*E1259</x:f>
        <x:v>1.174284838006827</x:v>
      </x:c>
      <x:c r="G1259" s="34" t="n">
        <x:f>-Assumptions!$B$8*E1259</x:f>
        <x:v>1.6608134557715077</x:v>
      </x:c>
      <x:c r="H1259" s="34" t="n">
        <x:f>-Assumptions!$B$9*E1259</x:f>
        <x:v>1.1143132418651873</x:v>
      </x:c>
      <x:c r="I1259" s="34" t="n">
        <x:f>-Assumptions!$B$10*E1259</x:f>
        <x:v>1.8607921086991</x:v>
      </x:c>
      <x:c r="J1259" s="36" t="n">
        <x:f>IF(C1259&lt;-F1259,1,0)</x:f>
        <x:v>0</x:v>
      </x:c>
      <x:c r="K1259" s="36" t="n">
        <x:f>IF(C1259&lt;-G1259,1,0)</x:f>
        <x:v>0</x:v>
      </x:c>
      <x:c r="L1259" s="36" t="n">
        <x:f>IF(C1259&lt;-H1259,1,0)</x:f>
        <x:v>0</x:v>
      </x:c>
      <x:c r="M1259" s="36" t="n">
        <x:f>IF(C1259&lt;-I1259,1,0)</x:f>
        <x:v>0</x:v>
      </x:c>
      <x:c r="N1259" s="34" t="n">
        <x:f>-F1259</x:f>
        <x:v>-1.174284838006827</x:v>
      </x:c>
      <x:c r="O1259" s="34" t="n">
        <x:f>-H1259</x:f>
        <x:v>-1.1143132418651873</x:v>
      </x:c>
      <x:c r="P1259" s="34" t="n">
        <x:f>-G1259</x:f>
        <x:v>-1.6608134557715077</x:v>
      </x:c>
      <x:c r="Q1259" s="34" t="n">
        <x:f>-I1259</x:f>
        <x:v>-1.8607921086991</x:v>
      </x:c>
      <x:c r="R1259" s="36" t="n">
        <x:f>YEAR(A1259)</x:f>
        <x:v>2025</x:v>
      </x:c>
    </x:row>
    <x:row r="1260">
      <x:c r="A1260" s="30" t="n">
        <x:v>46020</x:v>
      </x:c>
      <x:c r="B1260" s="38" t="n">
        <x:v>6905.74</x:v>
      </x:c>
      <x:c r="C1260" s="34" t="n">
        <x:f>(B1260/B1259-1)*100</x:f>
        <x:v>-0.34920937266411656</x:v>
      </x:c>
      <x:c r="D1260" s="34" t="n">
        <x:f>Assumptions!$B$4*D1259+(1-Assumptions!$B$4)*C1259^2</x:f>
        <x:v>0.47914905442706146</x:v>
      </x:c>
      <x:c r="E1260" s="34" t="n">
        <x:f>SQRT(D1260)</x:f>
        <x:v>0.6922059335393345</x:v>
      </x:c>
      <x:c r="F1260" s="34" t="n">
        <x:f>-Assumptions!$B$7*E1260</x:f>
        <x:v>1.1385774403795044</x:v>
      </x:c>
      <x:c r="G1260" s="34" t="n">
        <x:f>-Assumptions!$B$8*E1260</x:f>
        <x:v>1.6103118018876859</x:v>
      </x:c>
      <x:c r="H1260" s="34" t="n">
        <x:f>-Assumptions!$B$9*E1260</x:f>
        <x:v>1.0804294474731835</x:v>
      </x:c>
      <x:c r="I1260" s="34" t="n">
        <x:f>-Assumptions!$B$10*E1260</x:f>
        <x:v>1.8042095474868807</x:v>
      </x:c>
      <x:c r="J1260" s="36" t="n">
        <x:f>IF(C1260&lt;-F1260,1,0)</x:f>
        <x:v>0</x:v>
      </x:c>
      <x:c r="K1260" s="36" t="n">
        <x:f>IF(C1260&lt;-G1260,1,0)</x:f>
        <x:v>0</x:v>
      </x:c>
      <x:c r="L1260" s="36" t="n">
        <x:f>IF(C1260&lt;-H1260,1,0)</x:f>
        <x:v>0</x:v>
      </x:c>
      <x:c r="M1260" s="36" t="n">
        <x:f>IF(C1260&lt;-I1260,1,0)</x:f>
        <x:v>0</x:v>
      </x:c>
      <x:c r="N1260" s="34" t="n">
        <x:f>-F1260</x:f>
        <x:v>-1.1385774403795044</x:v>
      </x:c>
      <x:c r="O1260" s="34" t="n">
        <x:f>-H1260</x:f>
        <x:v>-1.0804294474731835</x:v>
      </x:c>
      <x:c r="P1260" s="34" t="n">
        <x:f>-G1260</x:f>
        <x:v>-1.6103118018876859</x:v>
      </x:c>
      <x:c r="Q1260" s="34" t="n">
        <x:f>-I1260</x:f>
        <x:v>-1.8042095474868807</x:v>
      </x:c>
      <x:c r="R1260" s="36" t="n">
        <x:f>YEAR(A1260)</x:f>
        <x:v>2025</x:v>
      </x:c>
    </x:row>
    <x:row r="1261">
      <x:c r="A1261" s="30" t="n">
        <x:v>46021</x:v>
      </x:c>
      <x:c r="B1261" s="38" t="n">
        <x:v>6896.24</x:v>
      </x:c>
      <x:c r="C1261" s="34" t="n">
        <x:f>(B1261/B1260-1)*100</x:f>
        <x:v>-0.13756671985912794</x:v>
      </x:c>
      <x:c r="D1261" s="34" t="n">
        <x:f>Assumptions!$B$4*D1260+(1-Assumptions!$B$4)*C1260^2</x:f>
        <x:v>0.4577169423188257</x:v>
      </x:c>
      <x:c r="E1261" s="34" t="n">
        <x:f>SQRT(D1261)</x:f>
        <x:v>0.6765478122932819</x:v>
      </x:c>
      <x:c r="F1261" s="34" t="n">
        <x:f>-Assumptions!$B$7*E1261</x:f>
        <x:v>1.112822122856689</x:v>
      </x:c>
      <x:c r="G1261" s="34" t="n">
        <x:f>-Assumptions!$B$8*E1261</x:f>
        <x:v>1.5738855648154577</x:v>
      </x:c>
      <x:c r="H1261" s="34" t="n">
        <x:f>-Assumptions!$B$9*E1261</x:f>
        <x:v>1.0559894730860246</x:v>
      </x:c>
      <x:c r="I1261" s="34" t="n">
        <x:f>-Assumptions!$B$10*E1261</x:f>
        <x:v>1.7633972249120267</x:v>
      </x:c>
      <x:c r="J1261" s="36" t="n">
        <x:f>IF(C1261&lt;-F1261,1,0)</x:f>
        <x:v>0</x:v>
      </x:c>
      <x:c r="K1261" s="36" t="n">
        <x:f>IF(C1261&lt;-G1261,1,0)</x:f>
        <x:v>0</x:v>
      </x:c>
      <x:c r="L1261" s="36" t="n">
        <x:f>IF(C1261&lt;-H1261,1,0)</x:f>
        <x:v>0</x:v>
      </x:c>
      <x:c r="M1261" s="36" t="n">
        <x:f>IF(C1261&lt;-I1261,1,0)</x:f>
        <x:v>0</x:v>
      </x:c>
      <x:c r="N1261" s="34" t="n">
        <x:f>-F1261</x:f>
        <x:v>-1.112822122856689</x:v>
      </x:c>
      <x:c r="O1261" s="34" t="n">
        <x:f>-H1261</x:f>
        <x:v>-1.0559894730860246</x:v>
      </x:c>
      <x:c r="P1261" s="34" t="n">
        <x:f>-G1261</x:f>
        <x:v>-1.5738855648154577</x:v>
      </x:c>
      <x:c r="Q1261" s="34" t="n">
        <x:f>-I1261</x:f>
        <x:v>-1.7633972249120267</x:v>
      </x:c>
      <x:c r="R1261" s="36" t="n">
        <x:f>YEAR(A1261)</x:f>
        <x:v>2025</x:v>
      </x:c>
    </x:row>
    <x:row r="1262">
      <x:c r="A1262" s="30" t="n">
        <x:v>46022</x:v>
      </x:c>
      <x:c r="B1262" s="38" t="n">
        <x:v>6845.5</x:v>
      </x:c>
      <x:c r="C1262" s="34" t="n">
        <x:f>(B1262/B1261-1)*100</x:f>
        <x:v>-0.735763256499189</x:v>
      </x:c>
      <x:c r="D1262" s="34" t="n">
        <x:f>Assumptions!$B$4*D1261+(1-Assumptions!$B$4)*C1261^2</x:f>
        <x:v>0.4313894019244641</x:v>
      </x:c>
      <x:c r="E1262" s="34" t="n">
        <x:f>SQRT(D1262)</x:f>
        <x:v>0.6568024070635431</x:v>
      </x:c>
      <x:c r="F1262" s="34" t="n">
        <x:f>-Assumptions!$B$7*E1262</x:f>
        <x:v>1.0803438214489265</x:v>
      </x:c>
      <x:c r="G1262" s="34" t="n">
        <x:f>-Assumptions!$B$8*E1262</x:f>
        <x:v>1.52795088333718</x:v>
      </x:c>
      <x:c r="H1262" s="34" t="n">
        <x:f>-Assumptions!$B$9*E1262</x:f>
        <x:v>1.0251698625787584</x:v>
      </x:c>
      <x:c r="I1262" s="34" t="n">
        <x:f>-Assumptions!$B$10*E1262</x:f>
        <x:v>1.7119315455406612</x:v>
      </x:c>
      <x:c r="J1262" s="36" t="n">
        <x:f>IF(C1262&lt;-F1262,1,0)</x:f>
        <x:v>0</x:v>
      </x:c>
      <x:c r="K1262" s="36" t="n">
        <x:f>IF(C1262&lt;-G1262,1,0)</x:f>
        <x:v>0</x:v>
      </x:c>
      <x:c r="L1262" s="36" t="n">
        <x:f>IF(C1262&lt;-H1262,1,0)</x:f>
        <x:v>0</x:v>
      </x:c>
      <x:c r="M1262" s="36" t="n">
        <x:f>IF(C1262&lt;-I1262,1,0)</x:f>
        <x:v>0</x:v>
      </x:c>
      <x:c r="N1262" s="34" t="n">
        <x:f>-F1262</x:f>
        <x:v>-1.0803438214489265</x:v>
      </x:c>
      <x:c r="O1262" s="34" t="n">
        <x:f>-H1262</x:f>
        <x:v>-1.0251698625787584</x:v>
      </x:c>
      <x:c r="P1262" s="34" t="n">
        <x:f>-G1262</x:f>
        <x:v>-1.52795088333718</x:v>
      </x:c>
      <x:c r="Q1262" s="34" t="n">
        <x:f>-I1262</x:f>
        <x:v>-1.7119315455406612</x:v>
      </x:c>
      <x:c r="R1262" s="36" t="n">
        <x:f>YEAR(A1262)</x:f>
        <x:v>2025</x:v>
      </x:c>
    </x:row>
  </x:sheetData>
  <x:mergeCells>
    <x:mergeCell ref="A1:R1"/>
  </x:mergeCells>
  <x:conditionalFormatting sqref="J8:J1262">
    <x:cfRule type="cellIs" dxfId="0" priority="1" operator="equal">
      <x:formula>1</x:formula>
    </x:cfRule>
  </x:conditionalFormatting>
  <x:conditionalFormatting sqref="K8:K1262">
    <x:cfRule type="cellIs" dxfId="1" priority="2" operator="equal">
      <x:formula>1</x:formula>
    </x:cfRule>
  </x:conditionalFormatting>
  <x:conditionalFormatting sqref="L8:L1262">
    <x:cfRule type="cellIs" dxfId="2" priority="3" operator="equal">
      <x:formula>1</x:formula>
    </x:cfRule>
  </x:conditionalFormatting>
  <x:conditionalFormatting sqref="M8:M1262">
    <x:cfRule type="cellIs" dxfId="3" priority="4" operator="equal">
      <x:formula>1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6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9" customHeight="1">
      <x:c r="A1" s="3" t="str">
        <x:v>VaR backtesting | annual exceptions and Kupiec coverage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3">
      <x:c r="A3" t="str">
        <x:v>Breach condition: realized return &lt; -VaR (long S&amp;P 500 position).</x:v>
      </x:c>
    </x:row>
    <x:row r="5" ht="30" customHeight="1">
      <x:c r="A5" s="8" t="str">
        <x:v>Year</x:v>
      </x:c>
      <x:c r="B5" s="8" t="str">
        <x:v>Sessions</x:v>
      </x:c>
      <x:c r="C5" s="8" t="str">
        <x:v>Normal 5%</x:v>
      </x:c>
      <x:c r="D5" s="8" t="str">
        <x:v>Normal 1%</x:v>
      </x:c>
      <x:c r="E5" s="8" t="str">
        <x:v>Std-t 5%</x:v>
      </x:c>
      <x:c r="F5" s="8" t="str">
        <x:v>Std-t 1%</x:v>
      </x:c>
      <x:c r="G5" s="8" t="str">
        <x:v>Expected 5%</x:v>
      </x:c>
      <x:c r="H5" s="8" t="str">
        <x:v>Expected 1%</x:v>
      </x:c>
    </x:row>
    <x:row r="6">
      <x:c r="A6" t="n">
        <x:v>2021</x:v>
      </x:c>
      <x:c r="B6" t="n">
        <x:f>COUNTIF(Daily_Data!$R$8:$R$1262,A6)</x:f>
        <x:v>252</x:v>
      </x:c>
      <x:c r="C6" t="n">
        <x:f>SUMIF(Daily_Data!$R$8:$R$1262,A6,Daily_Data!$J$8:$J$1262)</x:f>
        <x:v>12</x:v>
      </x:c>
      <x:c r="D6" t="n">
        <x:f>SUMIF(Daily_Data!$R$8:$R$1262,A6,Daily_Data!$K$8:$K$1262)</x:f>
        <x:v>8</x:v>
      </x:c>
      <x:c r="E6" t="n">
        <x:f>SUMIF(Daily_Data!$R$8:$R$1262,A6,Daily_Data!$L$8:$L$1262)</x:f>
        <x:v>12</x:v>
      </x:c>
      <x:c r="F6" t="n">
        <x:f>SUMIF(Daily_Data!$R$8:$R$1262,A6,Daily_Data!$M$8:$M$1262)</x:f>
        <x:v>7</x:v>
      </x:c>
      <x:c r="G6" t="n">
        <x:f>B6*0.05</x:f>
        <x:v>12.600000000000001</x:v>
      </x:c>
      <x:c r="H6" t="n">
        <x:f>B6*0.01</x:f>
        <x:v>2.52</x:v>
      </x:c>
    </x:row>
    <x:row r="7">
      <x:c r="A7" t="n">
        <x:v>2022</x:v>
      </x:c>
      <x:c r="B7" t="n">
        <x:f>COUNTIF(Daily_Data!$R$8:$R$1262,A7)</x:f>
        <x:v>251</x:v>
      </x:c>
      <x:c r="C7" t="n">
        <x:f>SUMIF(Daily_Data!$R$8:$R$1262,A7,Daily_Data!$J$8:$J$1262)</x:f>
        <x:v>20</x:v>
      </x:c>
      <x:c r="D7" t="n">
        <x:f>SUMIF(Daily_Data!$R$8:$R$1262,A7,Daily_Data!$K$8:$K$1262)</x:f>
        <x:v>4</x:v>
      </x:c>
      <x:c r="E7" t="n">
        <x:f>SUMIF(Daily_Data!$R$8:$R$1262,A7,Daily_Data!$L$8:$L$1262)</x:f>
        <x:v>22</x:v>
      </x:c>
      <x:c r="F7" t="n">
        <x:f>SUMIF(Daily_Data!$R$8:$R$1262,A7,Daily_Data!$M$8:$M$1262)</x:f>
        <x:v>2</x:v>
      </x:c>
      <x:c r="G7" t="n">
        <x:f>B7*0.05</x:f>
        <x:v>12.55</x:v>
      </x:c>
      <x:c r="H7" t="n">
        <x:f>B7*0.01</x:f>
        <x:v>2.5100000000000002</x:v>
      </x:c>
    </x:row>
    <x:row r="8">
      <x:c r="A8" t="n">
        <x:v>2023</x:v>
      </x:c>
      <x:c r="B8" t="n">
        <x:f>COUNTIF(Daily_Data!$R$8:$R$1262,A8)</x:f>
        <x:v>250</x:v>
      </x:c>
      <x:c r="C8" t="n">
        <x:f>SUMIF(Daily_Data!$R$8:$R$1262,A8,Daily_Data!$J$8:$J$1262)</x:f>
        <x:v>13</x:v>
      </x:c>
      <x:c r="D8" t="n">
        <x:f>SUMIF(Daily_Data!$R$8:$R$1262,A8,Daily_Data!$K$8:$K$1262)</x:f>
        <x:v>2</x:v>
      </x:c>
      <x:c r="E8" t="n">
        <x:f>SUMIF(Daily_Data!$R$8:$R$1262,A8,Daily_Data!$L$8:$L$1262)</x:f>
        <x:v>15</x:v>
      </x:c>
      <x:c r="F8" t="n">
        <x:f>SUMIF(Daily_Data!$R$8:$R$1262,A8,Daily_Data!$M$8:$M$1262)</x:f>
        <x:v>0</x:v>
      </x:c>
      <x:c r="G8" t="n">
        <x:f>B8*0.05</x:f>
        <x:v>12.5</x:v>
      </x:c>
      <x:c r="H8" t="n">
        <x:f>B8*0.01</x:f>
        <x:v>2.5</x:v>
      </x:c>
    </x:row>
    <x:row r="9">
      <x:c r="A9" t="n">
        <x:v>2024</x:v>
      </x:c>
      <x:c r="B9" t="n">
        <x:f>COUNTIF(Daily_Data!$R$8:$R$1262,A9)</x:f>
        <x:v>252</x:v>
      </x:c>
      <x:c r="C9" t="n">
        <x:f>SUMIF(Daily_Data!$R$8:$R$1262,A9,Daily_Data!$J$8:$J$1262)</x:f>
        <x:v>14</x:v>
      </x:c>
      <x:c r="D9" t="n">
        <x:f>SUMIF(Daily_Data!$R$8:$R$1262,A9,Daily_Data!$K$8:$K$1262)</x:f>
        <x:v>6</x:v>
      </x:c>
      <x:c r="E9" t="n">
        <x:f>SUMIF(Daily_Data!$R$8:$R$1262,A9,Daily_Data!$L$8:$L$1262)</x:f>
        <x:v>16</x:v>
      </x:c>
      <x:c r="F9" t="n">
        <x:f>SUMIF(Daily_Data!$R$8:$R$1262,A9,Daily_Data!$M$8:$M$1262)</x:f>
        <x:v>5</x:v>
      </x:c>
      <x:c r="G9" t="n">
        <x:f>B9*0.05</x:f>
        <x:v>12.600000000000001</x:v>
      </x:c>
      <x:c r="H9" t="n">
        <x:f>B9*0.01</x:f>
        <x:v>2.52</x:v>
      </x:c>
    </x:row>
    <x:row r="10">
      <x:c r="A10" t="n">
        <x:v>2025</x:v>
      </x:c>
      <x:c r="B10" t="n">
        <x:f>COUNTIF(Daily_Data!$R$8:$R$1262,A10)</x:f>
        <x:v>250</x:v>
      </x:c>
      <x:c r="C10" t="n">
        <x:f>SUMIF(Daily_Data!$R$8:$R$1262,A10,Daily_Data!$J$8:$J$1262)</x:f>
        <x:v>15</x:v>
      </x:c>
      <x:c r="D10" t="n">
        <x:f>SUMIF(Daily_Data!$R$8:$R$1262,A10,Daily_Data!$K$8:$K$1262)</x:f>
        <x:v>6</x:v>
      </x:c>
      <x:c r="E10" t="n">
        <x:f>SUMIF(Daily_Data!$R$8:$R$1262,A10,Daily_Data!$L$8:$L$1262)</x:f>
        <x:v>16</x:v>
      </x:c>
      <x:c r="F10" t="n">
        <x:f>SUMIF(Daily_Data!$R$8:$R$1262,A10,Daily_Data!$M$8:$M$1262)</x:f>
        <x:v>5</x:v>
      </x:c>
      <x:c r="G10" t="n">
        <x:f>B10*0.05</x:f>
        <x:v>12.5</x:v>
      </x:c>
      <x:c r="H10" t="n">
        <x:f>B10*0.01</x:f>
        <x:v>2.5</x:v>
      </x:c>
    </x:row>
    <x:row r="12">
      <x:c r="A12" s="41" t="str">
        <x:v>TOTAL</x:v>
      </x:c>
      <x:c r="B12" s="41" t="n">
        <x:f>SUM(B6:B10)</x:f>
        <x:v>1255</x:v>
      </x:c>
      <x:c r="C12" s="41" t="n">
        <x:f>SUM(C6:C10)</x:f>
        <x:v>74</x:v>
      </x:c>
      <x:c r="D12" s="41" t="n">
        <x:f>SUM(D6:D10)</x:f>
        <x:v>26</x:v>
      </x:c>
      <x:c r="E12" s="41" t="n">
        <x:f>SUM(E6:E10)</x:f>
        <x:v>81</x:v>
      </x:c>
      <x:c r="F12" s="41" t="n">
        <x:f>SUM(F6:F10)</x:f>
        <x:v>19</x:v>
      </x:c>
      <x:c r="G12" s="41" t="n">
        <x:f>SUM(G6:G10)</x:f>
        <x:v>62.75000000000001</x:v>
      </x:c>
      <x:c r="H12" s="41" t="n">
        <x:f>SUM(H6:H10)</x:f>
        <x:v>12.55</x:v>
      </x:c>
    </x:row>
    <x:row r="15" ht="30" customHeight="1">
      <x:c r="A15" s="8" t="str">
        <x:v>Model</x:v>
      </x:c>
      <x:c r="B15" s="8" t="str">
        <x:v>Tail target</x:v>
      </x:c>
      <x:c r="C15" s="8" t="str">
        <x:v>Exceptions</x:v>
      </x:c>
      <x:c r="D15" s="8" t="str">
        <x:v>Observed rate</x:v>
      </x:c>
      <x:c r="E15" s="8" t="str">
        <x:v>Kupiec LR (1 df)</x:v>
      </x:c>
      <x:c r="F15" s="8" t="str">
        <x:v>Coverage p-value</x:v>
      </x:c>
    </x:row>
    <x:row r="16">
      <x:c r="A16" t="str">
        <x:v>Normal</x:v>
      </x:c>
      <x:c r="B16" s="44" t="n">
        <x:v>0.05</x:v>
      </x:c>
      <x:c r="C16" t="n">
        <x:f>C12</x:f>
        <x:v>74</x:v>
      </x:c>
      <x:c r="D16" s="46" t="n">
        <x:f>C16/$B$12</x:f>
        <x:v>0.05896414342629482</x:v>
      </x:c>
      <x:c r="E16" s="28" t="n">
        <x:f>2*(IF(C16=0,0,C16*LN((C16/$B$12)/B16))+IF(C16=$B$12,0,($B$12-C16)*LN((1-C16/$B$12)/(1-B16))))</x:f>
        <x:v>2.0126540514023645</x:v>
      </x:c>
      <x:c r="F16" s="28" t="n">
        <x:f>_xlfn.CHISQ.DIST.RT(E16,1)</x:f>
        <x:v>0.15599221662284446</x:v>
      </x:c>
    </x:row>
    <x:row r="17">
      <x:c r="A17" t="str">
        <x:v>Normal</x:v>
      </x:c>
      <x:c r="B17" s="44" t="n">
        <x:v>0.01</x:v>
      </x:c>
      <x:c r="C17" t="n">
        <x:f>D12</x:f>
        <x:v>26</x:v>
      </x:c>
      <x:c r="D17" s="46" t="n">
        <x:f>C17/$B$12</x:f>
        <x:v>0.020717131474103586</x:v>
      </x:c>
      <x:c r="E17" s="28" t="n">
        <x:f>2*(IF(C17=0,0,C17*LN((C17/$B$12)/B17))+IF(C17=$B$12,0,($B$12-C17)*LN((1-C17/$B$12)/(1-B17))))</x:f>
        <x:v>11.121675059348572</x:v>
      </x:c>
      <x:c r="F17" s="28" t="n">
        <x:f>_xlfn.CHISQ.DIST.RT(E17,1)</x:f>
        <x:v>0.0008532469427141587</x:v>
      </x:c>
    </x:row>
    <x:row r="18">
      <x:c r="A18" t="str">
        <x:v>Std-t ν=5</x:v>
      </x:c>
      <x:c r="B18" s="44" t="n">
        <x:v>0.05</x:v>
      </x:c>
      <x:c r="C18" t="n">
        <x:f>E12</x:f>
        <x:v>81</x:v>
      </x:c>
      <x:c r="D18" s="46" t="n">
        <x:f>C18/$B$12</x:f>
        <x:v>0.06454183266932272</x:v>
      </x:c>
      <x:c r="E18" s="28" t="n">
        <x:f>2*(IF(C18=0,0,C18*LN((C18/$B$12)/B18))+IF(C18=$B$12,0,($B$12-C18)*LN((1-C18/$B$12)/(1-B18))))</x:f>
        <x:v>5.137866075402961</x:v>
      </x:c>
      <x:c r="F18" s="28" t="n">
        <x:f>_xlfn.CHISQ.DIST.RT(E18,1)</x:f>
        <x:v>0.023409405451897847</x:v>
      </x:c>
    </x:row>
    <x:row r="19">
      <x:c r="A19" t="str">
        <x:v>Std-t ν=5</x:v>
      </x:c>
      <x:c r="B19" s="44" t="n">
        <x:v>0.01</x:v>
      </x:c>
      <x:c r="C19" t="n">
        <x:f>F12</x:f>
        <x:v>19</x:v>
      </x:c>
      <x:c r="D19" s="46" t="n">
        <x:f>C19/$B$12</x:f>
        <x:v>0.015139442231075698</x:v>
      </x:c>
      <x:c r="E19" s="28" t="n">
        <x:f>2*(IF(C19=0,0,C19*LN((C19/$B$12)/B19))+IF(C19=$B$12,0,($B$12-C19)*LN((1-C19/$B$12)/(1-B19))))</x:f>
        <x:v>2.8928382549546807</x:v>
      </x:c>
      <x:c r="F19" s="28" t="n">
        <x:f>_xlfn.CHISQ.DIST.RT(E19,1)</x:f>
        <x:v>0.0889740546365494</x:v>
      </x:c>
    </x:row>
    <x:row r="21">
      <x:c r="A21" t="str">
        <x:v>Kupiec null hypothesis: observed exception probability equals target tail probability.</x:v>
      </x:c>
      <x:c r="B21" t="str"/>
      <x:c r="C21" t="str"/>
      <x:c r="D21" t="str"/>
      <x:c r="E21" t="str"/>
      <x:c r="F21" t="str"/>
    </x:row>
    <x:row r="22">
      <x:c r="A22" t="str">
        <x:v>At the 5% significance level: reject a VaR model if coverage p-value &lt; 0.05.</x:v>
      </x:c>
      <x:c r="B22" t="str"/>
      <x:c r="C22" t="str"/>
      <x:c r="D22" t="str"/>
      <x:c r="E22" t="str"/>
      <x:c r="F22" t="str"/>
    </x:row>
    <x:row r="23">
      <x:c r="A23" t="str">
        <x:v>Coverage alone does not test independence; examine exception clustering separately.</x:v>
      </x:c>
      <x:c r="B23" t="str"/>
      <x:c r="C23" t="str"/>
      <x:c r="D23" t="str"/>
      <x:c r="E23" t="str"/>
      <x:c r="F23" t="str"/>
    </x:row>
    <x:row r="24">
      <x:c r="A24" t="str">
        <x:v>For 1% VaR, standardized Student-t typically sets a larger loss threshold than normal.</x:v>
      </x:c>
      <x:c r="B24" t="str"/>
      <x:c r="C24" t="str"/>
      <x:c r="D24" t="str"/>
      <x:c r="E24" t="str"/>
      <x:c r="F24" t="str"/>
    </x:row>
  </x:sheetData>
  <x:mergeCells>
    <x:mergeCell ref="A1:K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</x:cols>
  <x:sheetData>
    <x:row r="1" ht="29" customHeight="1">
      <x:c r="A1" s="3" t="str">
        <x:v>EXCEL-NATIVE TIME SERIES CHARTS | 2021-2025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>
      <x:c r="A2" t="str">
        <x:v>All figures below are native editable Excel charts sourced from the Daily_Data sheet.</x:v>
      </x:c>
    </x:row>
  </x:sheetData>
  <x:mergeCells>
    <x:mergeCell ref="A1:O1"/>
  </x:mergeCells>
  <x:pageMargins left="0.7" right="0.7" top="0.75" bottom="0.75" header="0.3" footer="0.3"/>
  <x:drawing xmlns:r="http://schemas.openxmlformats.org/officeDocument/2006/relationships" r:id="R46a95eb8a0734967"/>
</x:worksheet>
</file>